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embeddings/oleObject12.bin" ContentType="application/vnd.openxmlformats-officedocument.oleObject"/>
  <Override PartName="/xl/embeddings/oleObject13.bin" ContentType="application/vnd.openxmlformats-officedocument.oleObject"/>
  <Override PartName="/xl/embeddings/oleObject14.bin" ContentType="application/vnd.openxmlformats-officedocument.oleObject"/>
  <Override PartName="/xl/embeddings/oleObject15.bin" ContentType="application/vnd.openxmlformats-officedocument.oleObject"/>
  <Override PartName="/xl/embeddings/oleObject16.bin" ContentType="application/vnd.openxmlformats-officedocument.oleObject"/>
  <Override PartName="/xl/embeddings/oleObject17.bin" ContentType="application/vnd.openxmlformats-officedocument.oleObject"/>
  <Override PartName="/xl/embeddings/oleObject18.bin" ContentType="application/vnd.openxmlformats-officedocument.oleObject"/>
  <Override PartName="/xl/embeddings/oleObject19.bin" ContentType="application/vnd.openxmlformats-officedocument.oleObject"/>
  <Override PartName="/xl/embeddings/oleObject20.bin" ContentType="application/vnd.openxmlformats-officedocument.oleObject"/>
  <Override PartName="/xl/embeddings/oleObject21.bin" ContentType="application/vnd.openxmlformats-officedocument.oleObject"/>
  <Override PartName="/xl/embeddings/oleObject22.bin" ContentType="application/vnd.openxmlformats-officedocument.oleObject"/>
  <Override PartName="/xl/embeddings/oleObject23.bin" ContentType="application/vnd.openxmlformats-officedocument.oleObject"/>
  <Override PartName="/xl/embeddings/oleObject24.bin" ContentType="application/vnd.openxmlformats-officedocument.oleObject"/>
  <Override PartName="/xl/embeddings/oleObject25.bin" ContentType="application/vnd.openxmlformats-officedocument.oleObject"/>
  <Override PartName="/xl/embeddings/oleObject26.bin" ContentType="application/vnd.openxmlformats-officedocument.oleObject"/>
  <Override PartName="/xl/embeddings/oleObject27.bin" ContentType="application/vnd.openxmlformats-officedocument.oleObject"/>
  <Override PartName="/xl/embeddings/oleObject28.bin" ContentType="application/vnd.openxmlformats-officedocument.oleObject"/>
  <Override PartName="/xl/embeddings/oleObject29.bin" ContentType="application/vnd.openxmlformats-officedocument.oleObject"/>
  <Override PartName="/xl/embeddings/oleObject30.bin" ContentType="application/vnd.openxmlformats-officedocument.oleObject"/>
  <Override PartName="/xl/embeddings/oleObject31.bin" ContentType="application/vnd.openxmlformats-officedocument.oleObject"/>
  <Override PartName="/xl/embeddings/oleObject32.bin" ContentType="application/vnd.openxmlformats-officedocument.oleObject"/>
  <Override PartName="/xl/embeddings/oleObject33.bin" ContentType="application/vnd.openxmlformats-officedocument.oleObject"/>
  <Override PartName="/xl/embeddings/oleObject34.bin" ContentType="application/vnd.openxmlformats-officedocument.oleObject"/>
  <Override PartName="/xl/embeddings/oleObject35.bin" ContentType="application/vnd.openxmlformats-officedocument.oleObject"/>
  <Override PartName="/xl/embeddings/oleObject36.bin" ContentType="application/vnd.openxmlformats-officedocument.oleObject"/>
  <Override PartName="/xl/embeddings/oleObject37.bin" ContentType="application/vnd.openxmlformats-officedocument.oleObject"/>
  <Override PartName="/xl/embeddings/oleObject38.bin" ContentType="application/vnd.openxmlformats-officedocument.oleObject"/>
  <Override PartName="/xl/embeddings/oleObject39.bin" ContentType="application/vnd.openxmlformats-officedocument.oleObject"/>
  <Override PartName="/xl/embeddings/oleObject40.bin" ContentType="application/vnd.openxmlformats-officedocument.oleObject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ivanz\Desktop\HVACrate-2.0\output\"/>
    </mc:Choice>
  </mc:AlternateContent>
  <xr:revisionPtr revIDLastSave="0" documentId="8_{6B0069FC-AC84-4C5E-98F2-1D1D0E3CDABC}" xr6:coauthVersionLast="47" xr6:coauthVersionMax="47" xr10:uidLastSave="{00000000-0000-0000-0000-000000000000}"/>
  <bookViews>
    <workbookView xWindow="-108" yWindow="-108" windowWidth="23256" windowHeight="13896" xr2:uid="{99E63A2D-B61A-44AE-8EA9-D1851841B16A}"/>
  </bookViews>
  <sheets>
    <sheet name="Изчисления" sheetId="10" r:id="rId1"/>
    <sheet name="Стойности" sheetId="12" r:id="rId2"/>
    <sheet name="Климатични зони" sheetId="13" r:id="rId3"/>
    <sheet name="Как да ползваме" sheetId="14" r:id="rId4"/>
  </sheets>
  <definedNames>
    <definedName name="_xlnm.Print_Area" localSheetId="0">Изчисления!$A$1:$L$1439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O978" i="10" l="1"/>
  <c r="AO977" i="10"/>
  <c r="AO976" i="10"/>
  <c r="AO975" i="10"/>
  <c r="AO974" i="10"/>
  <c r="AO973" i="10"/>
  <c r="AO972" i="10"/>
  <c r="AO971" i="10"/>
  <c r="AO979" i="10" s="1"/>
  <c r="AO970" i="10"/>
  <c r="AO969" i="10"/>
  <c r="H358" i="10"/>
  <c r="G358" i="10"/>
  <c r="H357" i="10"/>
  <c r="G357" i="10"/>
  <c r="Y291" i="10"/>
  <c r="H356" i="10"/>
  <c r="G356" i="10"/>
  <c r="Y290" i="10"/>
  <c r="H355" i="10"/>
  <c r="G355" i="10"/>
  <c r="Y289" i="10" s="1"/>
  <c r="H354" i="10"/>
  <c r="G354" i="10"/>
  <c r="Y288" i="10" s="1"/>
  <c r="H353" i="10"/>
  <c r="G353" i="10"/>
  <c r="Y287" i="10" s="1"/>
  <c r="Z287" i="10" s="1"/>
  <c r="H352" i="10"/>
  <c r="G352" i="10"/>
  <c r="Y286" i="10" s="1"/>
  <c r="H351" i="10"/>
  <c r="Y285" i="10" s="1"/>
  <c r="G351" i="10"/>
  <c r="G348" i="10"/>
  <c r="O1449" i="10"/>
  <c r="O1450" i="10"/>
  <c r="AD978" i="10"/>
  <c r="AD975" i="10"/>
  <c r="AD976" i="10"/>
  <c r="AD977" i="10"/>
  <c r="G1488" i="10"/>
  <c r="I1488" i="10" s="1"/>
  <c r="G1485" i="10"/>
  <c r="G1479" i="10"/>
  <c r="I1479" i="10" s="1"/>
  <c r="I1469" i="10"/>
  <c r="H348" i="10"/>
  <c r="Y282" i="10"/>
  <c r="O981" i="10"/>
  <c r="O982" i="10"/>
  <c r="O983" i="10"/>
  <c r="O984" i="10"/>
  <c r="O975" i="10"/>
  <c r="O976" i="10"/>
  <c r="O977" i="10"/>
  <c r="O978" i="10"/>
  <c r="L208" i="10"/>
  <c r="AJ974" i="10" s="1"/>
  <c r="G317" i="10"/>
  <c r="H317" i="10"/>
  <c r="G331" i="10"/>
  <c r="H331" i="10"/>
  <c r="H335" i="10"/>
  <c r="G335" i="10"/>
  <c r="H334" i="10"/>
  <c r="G334" i="10"/>
  <c r="H330" i="10"/>
  <c r="G330" i="10"/>
  <c r="H329" i="10"/>
  <c r="G329" i="10"/>
  <c r="H328" i="10"/>
  <c r="G328" i="10"/>
  <c r="H327" i="10"/>
  <c r="G327" i="10"/>
  <c r="L327" i="10" s="1"/>
  <c r="H326" i="10"/>
  <c r="G326" i="10"/>
  <c r="H325" i="10"/>
  <c r="G325" i="10"/>
  <c r="H324" i="10"/>
  <c r="G324" i="10"/>
  <c r="U289" i="10" s="1"/>
  <c r="V289" i="10" s="1"/>
  <c r="H323" i="10"/>
  <c r="G323" i="10"/>
  <c r="H322" i="10"/>
  <c r="G322" i="10"/>
  <c r="H320" i="10"/>
  <c r="G320" i="10"/>
  <c r="H319" i="10"/>
  <c r="G319" i="10"/>
  <c r="U284" i="10" s="1"/>
  <c r="G318" i="10"/>
  <c r="U283" i="10" s="1"/>
  <c r="H318" i="10"/>
  <c r="H293" i="10"/>
  <c r="H294" i="10"/>
  <c r="H295" i="10"/>
  <c r="H296" i="10"/>
  <c r="H297" i="10"/>
  <c r="P288" i="10" s="1"/>
  <c r="H298" i="10"/>
  <c r="P289" i="10" s="1"/>
  <c r="H299" i="10"/>
  <c r="H300" i="10"/>
  <c r="P291" i="10" s="1"/>
  <c r="H301" i="10"/>
  <c r="P292" i="10" s="1"/>
  <c r="H302" i="10"/>
  <c r="P293" i="10" s="1"/>
  <c r="H303" i="10"/>
  <c r="H304" i="10"/>
  <c r="H305" i="10"/>
  <c r="H292" i="10"/>
  <c r="H306" i="10"/>
  <c r="G293" i="10"/>
  <c r="G294" i="10"/>
  <c r="P285" i="10"/>
  <c r="G295" i="10"/>
  <c r="G296" i="10"/>
  <c r="G297" i="10"/>
  <c r="G298" i="10"/>
  <c r="G299" i="10"/>
  <c r="G300" i="10"/>
  <c r="G301" i="10"/>
  <c r="G302" i="10"/>
  <c r="G303" i="10"/>
  <c r="G304" i="10"/>
  <c r="G305" i="10"/>
  <c r="G306" i="10"/>
  <c r="G292" i="10"/>
  <c r="J308" i="10" s="1"/>
  <c r="K807" i="10"/>
  <c r="D291" i="10"/>
  <c r="F18" i="10"/>
  <c r="F19" i="10"/>
  <c r="F20" i="10"/>
  <c r="F21" i="10"/>
  <c r="F22" i="10"/>
  <c r="F23" i="10"/>
  <c r="L42" i="10"/>
  <c r="G18" i="10" s="1"/>
  <c r="H18" i="10" s="1"/>
  <c r="L43" i="10"/>
  <c r="G19" i="10" s="1"/>
  <c r="H19" i="10" s="1"/>
  <c r="L44" i="10"/>
  <c r="G20" i="10"/>
  <c r="H20" i="10"/>
  <c r="L45" i="10"/>
  <c r="G21" i="10" s="1"/>
  <c r="H21" i="10" s="1"/>
  <c r="L46" i="10"/>
  <c r="G22" i="10"/>
  <c r="H22" i="10" s="1"/>
  <c r="L47" i="10"/>
  <c r="G23" i="10" s="1"/>
  <c r="H23" i="10" s="1"/>
  <c r="L48" i="10"/>
  <c r="G24" i="10" s="1"/>
  <c r="H24" i="10" s="1"/>
  <c r="C42" i="10"/>
  <c r="C43" i="10"/>
  <c r="N43" i="10"/>
  <c r="C44" i="10"/>
  <c r="C45" i="10"/>
  <c r="N45" i="10"/>
  <c r="C46" i="10"/>
  <c r="C47" i="10"/>
  <c r="N47" i="10"/>
  <c r="A42" i="10"/>
  <c r="A43" i="10"/>
  <c r="A44" i="10"/>
  <c r="A45" i="10"/>
  <c r="A46" i="10"/>
  <c r="A47" i="10"/>
  <c r="F24" i="10"/>
  <c r="R1467" i="10"/>
  <c r="R1464" i="10"/>
  <c r="D350" i="10"/>
  <c r="D349" i="10"/>
  <c r="AG979" i="10"/>
  <c r="AD970" i="10"/>
  <c r="AD971" i="10"/>
  <c r="AD972" i="10"/>
  <c r="AD973" i="10"/>
  <c r="AD974" i="10"/>
  <c r="AD969" i="10"/>
  <c r="AJ970" i="10"/>
  <c r="R1465" i="10"/>
  <c r="R1463" i="10"/>
  <c r="N1471" i="10"/>
  <c r="N1472" i="10"/>
  <c r="N1473" i="10"/>
  <c r="N1470" i="10"/>
  <c r="N1464" i="10"/>
  <c r="N1465" i="10"/>
  <c r="N1466" i="10"/>
  <c r="N1467" i="10"/>
  <c r="N1463" i="10"/>
  <c r="O1458" i="10"/>
  <c r="O1454" i="10"/>
  <c r="O1455" i="10"/>
  <c r="O1456" i="10"/>
  <c r="O1457" i="10"/>
  <c r="O1444" i="10"/>
  <c r="O1445" i="10"/>
  <c r="O1446" i="10"/>
  <c r="O1447" i="10"/>
  <c r="O1448" i="10"/>
  <c r="O1443" i="10"/>
  <c r="I1504" i="10"/>
  <c r="Z133" i="10"/>
  <c r="Y133" i="10"/>
  <c r="Z132" i="10"/>
  <c r="Y132" i="10"/>
  <c r="Z131" i="10"/>
  <c r="Y131" i="10"/>
  <c r="Z130" i="10"/>
  <c r="Y130" i="10"/>
  <c r="Z129" i="10"/>
  <c r="Y129" i="10"/>
  <c r="Z128" i="10"/>
  <c r="Y128" i="10"/>
  <c r="Z127" i="10"/>
  <c r="Y127" i="10"/>
  <c r="Z126" i="10"/>
  <c r="Y126" i="10"/>
  <c r="Z125" i="10"/>
  <c r="Y125" i="10"/>
  <c r="Z124" i="10"/>
  <c r="Y124" i="10"/>
  <c r="Z123" i="10"/>
  <c r="Y123" i="10"/>
  <c r="Z122" i="10"/>
  <c r="Y122" i="10"/>
  <c r="Z121" i="10"/>
  <c r="Y121" i="10"/>
  <c r="Z120" i="10"/>
  <c r="Y120" i="10"/>
  <c r="Z119" i="10"/>
  <c r="Y119" i="10"/>
  <c r="Z118" i="10"/>
  <c r="Y118" i="10"/>
  <c r="Z117" i="10"/>
  <c r="Y117" i="10"/>
  <c r="Z116" i="10"/>
  <c r="Y116" i="10"/>
  <c r="Z115" i="10"/>
  <c r="Y115" i="10"/>
  <c r="Z114" i="10"/>
  <c r="Y114" i="10"/>
  <c r="Z113" i="10"/>
  <c r="Y113" i="10"/>
  <c r="Z112" i="10"/>
  <c r="Y112" i="10"/>
  <c r="Z111" i="10"/>
  <c r="Y111" i="10"/>
  <c r="Z110" i="10"/>
  <c r="Y110" i="10"/>
  <c r="Z109" i="10"/>
  <c r="Y109" i="10"/>
  <c r="Z108" i="10"/>
  <c r="Y108" i="10"/>
  <c r="Z107" i="10"/>
  <c r="Y107" i="10"/>
  <c r="Z106" i="10"/>
  <c r="Y106" i="10"/>
  <c r="Z105" i="10"/>
  <c r="Y105" i="10"/>
  <c r="Z104" i="10"/>
  <c r="Y104" i="10"/>
  <c r="Z103" i="10"/>
  <c r="Y103" i="10"/>
  <c r="Z102" i="10"/>
  <c r="Y102" i="10"/>
  <c r="Z101" i="10"/>
  <c r="Y101" i="10"/>
  <c r="Z100" i="10"/>
  <c r="Y100" i="10"/>
  <c r="Z99" i="10"/>
  <c r="Y99" i="10"/>
  <c r="Z91" i="10"/>
  <c r="Y91" i="10"/>
  <c r="Z90" i="10"/>
  <c r="Y90" i="10"/>
  <c r="Z89" i="10"/>
  <c r="Y89" i="10"/>
  <c r="Z88" i="10"/>
  <c r="Y88" i="10"/>
  <c r="Z87" i="10"/>
  <c r="Y87" i="10"/>
  <c r="Z86" i="10"/>
  <c r="Y86" i="10"/>
  <c r="Z85" i="10"/>
  <c r="Y85" i="10"/>
  <c r="Z84" i="10"/>
  <c r="Y84" i="10"/>
  <c r="Z83" i="10"/>
  <c r="Y83" i="10"/>
  <c r="Z82" i="10"/>
  <c r="Y82" i="10"/>
  <c r="Z81" i="10"/>
  <c r="Y81" i="10"/>
  <c r="Z80" i="10"/>
  <c r="Y80" i="10"/>
  <c r="Z79" i="10"/>
  <c r="Y79" i="10"/>
  <c r="Z78" i="10"/>
  <c r="Y78" i="10"/>
  <c r="Z77" i="10"/>
  <c r="Y77" i="10"/>
  <c r="Z76" i="10"/>
  <c r="Y76" i="10"/>
  <c r="Z75" i="10"/>
  <c r="Y75" i="10"/>
  <c r="Z74" i="10"/>
  <c r="Y74" i="10"/>
  <c r="Z73" i="10"/>
  <c r="Y73" i="10"/>
  <c r="Z72" i="10"/>
  <c r="Y72" i="10"/>
  <c r="Z71" i="10"/>
  <c r="Y71" i="10"/>
  <c r="Z70" i="10"/>
  <c r="Y70" i="10"/>
  <c r="Z69" i="10"/>
  <c r="Y69" i="10"/>
  <c r="Z68" i="10"/>
  <c r="Y68" i="10"/>
  <c r="Z67" i="10"/>
  <c r="Y67" i="10"/>
  <c r="Z66" i="10"/>
  <c r="Y66" i="10"/>
  <c r="Z65" i="10"/>
  <c r="Y65" i="10"/>
  <c r="Z64" i="10"/>
  <c r="Y64" i="10"/>
  <c r="Z63" i="10"/>
  <c r="Y63" i="10"/>
  <c r="Z62" i="10"/>
  <c r="Y62" i="10"/>
  <c r="Z61" i="10"/>
  <c r="Y61" i="10"/>
  <c r="Z60" i="10"/>
  <c r="Y60" i="10"/>
  <c r="Z59" i="10"/>
  <c r="Y59" i="10"/>
  <c r="Z58" i="10"/>
  <c r="Y58" i="10"/>
  <c r="Z57" i="10"/>
  <c r="Y57" i="10"/>
  <c r="O970" i="10"/>
  <c r="O971" i="10"/>
  <c r="O972" i="10"/>
  <c r="O973" i="10"/>
  <c r="O974" i="10"/>
  <c r="O969" i="10"/>
  <c r="G984" i="10"/>
  <c r="T1457" i="10" s="1"/>
  <c r="AJ969" i="10"/>
  <c r="P1375" i="10"/>
  <c r="P1374" i="10"/>
  <c r="P1372" i="10"/>
  <c r="P1365" i="10"/>
  <c r="P1358" i="10"/>
  <c r="I390" i="10"/>
  <c r="R1473" i="10" s="1"/>
  <c r="P1357" i="10"/>
  <c r="P1309" i="10"/>
  <c r="P1234" i="10"/>
  <c r="P1235" i="10"/>
  <c r="P1236" i="10"/>
  <c r="P1082" i="10"/>
  <c r="I1027" i="10"/>
  <c r="B128" i="12"/>
  <c r="B127" i="12"/>
  <c r="B126" i="12"/>
  <c r="B125" i="12"/>
  <c r="B124" i="12"/>
  <c r="B123" i="12"/>
  <c r="B119" i="12"/>
  <c r="B118" i="12"/>
  <c r="B117" i="12"/>
  <c r="B116" i="12"/>
  <c r="B115" i="12"/>
  <c r="B114" i="12"/>
  <c r="B110" i="12"/>
  <c r="B109" i="12"/>
  <c r="B108" i="12"/>
  <c r="B107" i="12"/>
  <c r="B106" i="12"/>
  <c r="B105" i="12"/>
  <c r="B101" i="12"/>
  <c r="B100" i="12"/>
  <c r="B99" i="12"/>
  <c r="B98" i="12"/>
  <c r="B97" i="12"/>
  <c r="B96" i="12"/>
  <c r="B92" i="12"/>
  <c r="B91" i="12"/>
  <c r="B90" i="12"/>
  <c r="B89" i="12"/>
  <c r="B88" i="12"/>
  <c r="B87" i="12"/>
  <c r="B83" i="12"/>
  <c r="B82" i="12"/>
  <c r="B81" i="12"/>
  <c r="B80" i="12"/>
  <c r="B79" i="12"/>
  <c r="B78" i="12"/>
  <c r="B74" i="12"/>
  <c r="B73" i="12"/>
  <c r="B72" i="12"/>
  <c r="B71" i="12"/>
  <c r="B70" i="12"/>
  <c r="B69" i="12"/>
  <c r="B65" i="12"/>
  <c r="B64" i="12"/>
  <c r="B63" i="12"/>
  <c r="B62" i="12"/>
  <c r="B61" i="12"/>
  <c r="B60" i="12"/>
  <c r="B56" i="12"/>
  <c r="B55" i="12"/>
  <c r="B54" i="12"/>
  <c r="B53" i="12"/>
  <c r="B52" i="12"/>
  <c r="B51" i="12"/>
  <c r="B47" i="12"/>
  <c r="B46" i="12"/>
  <c r="B45" i="12"/>
  <c r="B44" i="12"/>
  <c r="B43" i="12"/>
  <c r="B42" i="12"/>
  <c r="B34" i="12"/>
  <c r="B35" i="12"/>
  <c r="B36" i="12"/>
  <c r="B37" i="12"/>
  <c r="B38" i="12"/>
  <c r="B33" i="12"/>
  <c r="D333" i="10"/>
  <c r="D336" i="10"/>
  <c r="D321" i="10"/>
  <c r="H321" i="10" s="1"/>
  <c r="F1009" i="10"/>
  <c r="F1010" i="10"/>
  <c r="O621" i="10"/>
  <c r="O1074" i="10"/>
  <c r="J890" i="10"/>
  <c r="AR771" i="10"/>
  <c r="K857" i="10"/>
  <c r="K860" i="10"/>
  <c r="K859" i="10"/>
  <c r="K863" i="10" s="1"/>
  <c r="K841" i="10"/>
  <c r="K840" i="10"/>
  <c r="I1596" i="10"/>
  <c r="K1595" i="10" s="1"/>
  <c r="I1591" i="10"/>
  <c r="D2" i="12"/>
  <c r="R139" i="12"/>
  <c r="R140" i="12"/>
  <c r="O168" i="12"/>
  <c r="O169" i="12" s="1"/>
  <c r="O172" i="12"/>
  <c r="O177" i="12"/>
  <c r="O178" i="12" s="1"/>
  <c r="O181" i="12" s="1"/>
  <c r="O183" i="12" s="1"/>
  <c r="O184" i="12" s="1"/>
  <c r="F7" i="10"/>
  <c r="O7" i="10"/>
  <c r="F8" i="10"/>
  <c r="O8" i="10"/>
  <c r="F9" i="10"/>
  <c r="O9" i="10"/>
  <c r="F10" i="10"/>
  <c r="O10" i="10"/>
  <c r="F11" i="10"/>
  <c r="O11" i="10"/>
  <c r="F12" i="10"/>
  <c r="O12" i="10"/>
  <c r="F13" i="10"/>
  <c r="O13" i="10"/>
  <c r="F14" i="10"/>
  <c r="O14" i="10"/>
  <c r="F15" i="10"/>
  <c r="O15" i="10"/>
  <c r="F16" i="10"/>
  <c r="O16" i="10"/>
  <c r="F17" i="10"/>
  <c r="O17" i="10"/>
  <c r="O24" i="10"/>
  <c r="C25" i="10"/>
  <c r="I25" i="10"/>
  <c r="J25" i="10"/>
  <c r="L428" i="10" s="1"/>
  <c r="K437" i="10" s="1"/>
  <c r="P415" i="10" s="1"/>
  <c r="A31" i="10"/>
  <c r="C31" i="10"/>
  <c r="U31" i="10" s="1"/>
  <c r="L31" i="10"/>
  <c r="A32" i="10"/>
  <c r="C32" i="10"/>
  <c r="L32" i="10"/>
  <c r="A33" i="10"/>
  <c r="C33" i="10"/>
  <c r="Q33" i="10" s="1"/>
  <c r="L33" i="10"/>
  <c r="G9" i="10"/>
  <c r="A34" i="10"/>
  <c r="C34" i="10"/>
  <c r="L34" i="10"/>
  <c r="G10" i="10"/>
  <c r="H10" i="10" s="1"/>
  <c r="A35" i="10"/>
  <c r="C35" i="10"/>
  <c r="Q35" i="10"/>
  <c r="L35" i="10"/>
  <c r="G11" i="10" s="1"/>
  <c r="H11" i="10"/>
  <c r="A36" i="10"/>
  <c r="C36" i="10"/>
  <c r="L36" i="10"/>
  <c r="G12" i="10" s="1"/>
  <c r="H12" i="10" s="1"/>
  <c r="A37" i="10"/>
  <c r="C37" i="10"/>
  <c r="Q37" i="10"/>
  <c r="L37" i="10"/>
  <c r="G13" i="10"/>
  <c r="H13" i="10"/>
  <c r="A38" i="10"/>
  <c r="C38" i="10"/>
  <c r="L38" i="10"/>
  <c r="G14" i="10"/>
  <c r="H14" i="10" s="1"/>
  <c r="A39" i="10"/>
  <c r="C39" i="10"/>
  <c r="U39" i="10"/>
  <c r="L39" i="10"/>
  <c r="G15" i="10"/>
  <c r="H15" i="10"/>
  <c r="A40" i="10"/>
  <c r="C40" i="10"/>
  <c r="L40" i="10"/>
  <c r="G16" i="10"/>
  <c r="H16" i="10" s="1"/>
  <c r="A41" i="10"/>
  <c r="C41" i="10"/>
  <c r="Q41" i="10" s="1"/>
  <c r="L41" i="10"/>
  <c r="G17" i="10"/>
  <c r="H17" i="10"/>
  <c r="A48" i="10"/>
  <c r="C48" i="10"/>
  <c r="N57" i="10"/>
  <c r="O57" i="10"/>
  <c r="P57" i="10"/>
  <c r="Q57" i="10"/>
  <c r="R57" i="10"/>
  <c r="S57" i="10"/>
  <c r="T57" i="10"/>
  <c r="U57" i="10"/>
  <c r="V57" i="10"/>
  <c r="W57" i="10"/>
  <c r="X57" i="10"/>
  <c r="N58" i="10"/>
  <c r="O58" i="10"/>
  <c r="P58" i="10"/>
  <c r="Q58" i="10"/>
  <c r="R58" i="10"/>
  <c r="S58" i="10"/>
  <c r="T58" i="10"/>
  <c r="U58" i="10"/>
  <c r="V58" i="10"/>
  <c r="W58" i="10"/>
  <c r="X58" i="10"/>
  <c r="N59" i="10"/>
  <c r="O59" i="10"/>
  <c r="P59" i="10"/>
  <c r="Q59" i="10"/>
  <c r="R59" i="10"/>
  <c r="S59" i="10"/>
  <c r="T59" i="10"/>
  <c r="U59" i="10"/>
  <c r="V59" i="10"/>
  <c r="W59" i="10"/>
  <c r="X59" i="10"/>
  <c r="N60" i="10"/>
  <c r="O60" i="10"/>
  <c r="P60" i="10"/>
  <c r="Q60" i="10"/>
  <c r="R60" i="10"/>
  <c r="S60" i="10"/>
  <c r="T60" i="10"/>
  <c r="U60" i="10"/>
  <c r="V60" i="10"/>
  <c r="W60" i="10"/>
  <c r="X60" i="10"/>
  <c r="N61" i="10"/>
  <c r="O61" i="10"/>
  <c r="P61" i="10"/>
  <c r="Q61" i="10"/>
  <c r="R61" i="10"/>
  <c r="S61" i="10"/>
  <c r="T61" i="10"/>
  <c r="U61" i="10"/>
  <c r="V61" i="10"/>
  <c r="W61" i="10"/>
  <c r="X61" i="10"/>
  <c r="N62" i="10"/>
  <c r="O62" i="10"/>
  <c r="P62" i="10"/>
  <c r="Q62" i="10"/>
  <c r="R62" i="10"/>
  <c r="S62" i="10"/>
  <c r="T62" i="10"/>
  <c r="U62" i="10"/>
  <c r="V62" i="10"/>
  <c r="W62" i="10"/>
  <c r="X62" i="10"/>
  <c r="N63" i="10"/>
  <c r="O63" i="10"/>
  <c r="P63" i="10"/>
  <c r="Q63" i="10"/>
  <c r="R63" i="10"/>
  <c r="S63" i="10"/>
  <c r="T63" i="10"/>
  <c r="U63" i="10"/>
  <c r="V63" i="10"/>
  <c r="W63" i="10"/>
  <c r="X63" i="10"/>
  <c r="N64" i="10"/>
  <c r="O64" i="10"/>
  <c r="P64" i="10"/>
  <c r="Q64" i="10"/>
  <c r="R64" i="10"/>
  <c r="S64" i="10"/>
  <c r="T64" i="10"/>
  <c r="U64" i="10"/>
  <c r="V64" i="10"/>
  <c r="W64" i="10"/>
  <c r="X64" i="10"/>
  <c r="N65" i="10"/>
  <c r="O65" i="10"/>
  <c r="P65" i="10"/>
  <c r="Q65" i="10"/>
  <c r="R65" i="10"/>
  <c r="S65" i="10"/>
  <c r="T65" i="10"/>
  <c r="U65" i="10"/>
  <c r="V65" i="10"/>
  <c r="W65" i="10"/>
  <c r="X65" i="10"/>
  <c r="N66" i="10"/>
  <c r="O66" i="10"/>
  <c r="P66" i="10"/>
  <c r="Q66" i="10"/>
  <c r="R66" i="10"/>
  <c r="S66" i="10"/>
  <c r="T66" i="10"/>
  <c r="U66" i="10"/>
  <c r="V66" i="10"/>
  <c r="W66" i="10"/>
  <c r="X66" i="10"/>
  <c r="N67" i="10"/>
  <c r="O67" i="10"/>
  <c r="P67" i="10"/>
  <c r="Q67" i="10"/>
  <c r="R67" i="10"/>
  <c r="S67" i="10"/>
  <c r="T67" i="10"/>
  <c r="U67" i="10"/>
  <c r="V67" i="10"/>
  <c r="W67" i="10"/>
  <c r="X67" i="10"/>
  <c r="N68" i="10"/>
  <c r="O68" i="10"/>
  <c r="P68" i="10"/>
  <c r="Q68" i="10"/>
  <c r="R68" i="10"/>
  <c r="S68" i="10"/>
  <c r="T68" i="10"/>
  <c r="U68" i="10"/>
  <c r="V68" i="10"/>
  <c r="W68" i="10"/>
  <c r="X68" i="10"/>
  <c r="N69" i="10"/>
  <c r="O69" i="10"/>
  <c r="P69" i="10"/>
  <c r="Q69" i="10"/>
  <c r="R69" i="10"/>
  <c r="S69" i="10"/>
  <c r="T69" i="10"/>
  <c r="U69" i="10"/>
  <c r="V69" i="10"/>
  <c r="W69" i="10"/>
  <c r="X69" i="10"/>
  <c r="N70" i="10"/>
  <c r="O70" i="10"/>
  <c r="P70" i="10"/>
  <c r="Q70" i="10"/>
  <c r="R70" i="10"/>
  <c r="S70" i="10"/>
  <c r="T70" i="10"/>
  <c r="U70" i="10"/>
  <c r="V70" i="10"/>
  <c r="W70" i="10"/>
  <c r="X70" i="10"/>
  <c r="N71" i="10"/>
  <c r="O71" i="10"/>
  <c r="P71" i="10"/>
  <c r="Q71" i="10"/>
  <c r="R71" i="10"/>
  <c r="S71" i="10"/>
  <c r="T71" i="10"/>
  <c r="U71" i="10"/>
  <c r="V71" i="10"/>
  <c r="W71" i="10"/>
  <c r="X71" i="10"/>
  <c r="N72" i="10"/>
  <c r="O72" i="10"/>
  <c r="P72" i="10"/>
  <c r="Q72" i="10"/>
  <c r="R72" i="10"/>
  <c r="S72" i="10"/>
  <c r="T72" i="10"/>
  <c r="U72" i="10"/>
  <c r="V72" i="10"/>
  <c r="W72" i="10"/>
  <c r="X72" i="10"/>
  <c r="N73" i="10"/>
  <c r="O73" i="10"/>
  <c r="P73" i="10"/>
  <c r="Q73" i="10"/>
  <c r="R73" i="10"/>
  <c r="S73" i="10"/>
  <c r="T73" i="10"/>
  <c r="U73" i="10"/>
  <c r="V73" i="10"/>
  <c r="W73" i="10"/>
  <c r="X73" i="10"/>
  <c r="N74" i="10"/>
  <c r="O74" i="10"/>
  <c r="P74" i="10"/>
  <c r="Q74" i="10"/>
  <c r="R74" i="10"/>
  <c r="S74" i="10"/>
  <c r="T74" i="10"/>
  <c r="U74" i="10"/>
  <c r="V74" i="10"/>
  <c r="W74" i="10"/>
  <c r="X74" i="10"/>
  <c r="N75" i="10"/>
  <c r="O75" i="10"/>
  <c r="P75" i="10"/>
  <c r="Q75" i="10"/>
  <c r="R75" i="10"/>
  <c r="S75" i="10"/>
  <c r="T75" i="10"/>
  <c r="U75" i="10"/>
  <c r="V75" i="10"/>
  <c r="W75" i="10"/>
  <c r="X75" i="10"/>
  <c r="N76" i="10"/>
  <c r="O76" i="10"/>
  <c r="P76" i="10"/>
  <c r="Q76" i="10"/>
  <c r="R76" i="10"/>
  <c r="S76" i="10"/>
  <c r="T76" i="10"/>
  <c r="U76" i="10"/>
  <c r="V76" i="10"/>
  <c r="W76" i="10"/>
  <c r="X76" i="10"/>
  <c r="N77" i="10"/>
  <c r="O77" i="10"/>
  <c r="P77" i="10"/>
  <c r="Q77" i="10"/>
  <c r="R77" i="10"/>
  <c r="S77" i="10"/>
  <c r="T77" i="10"/>
  <c r="U77" i="10"/>
  <c r="V77" i="10"/>
  <c r="W77" i="10"/>
  <c r="X77" i="10"/>
  <c r="N78" i="10"/>
  <c r="O78" i="10"/>
  <c r="P78" i="10"/>
  <c r="Q78" i="10"/>
  <c r="R78" i="10"/>
  <c r="S78" i="10"/>
  <c r="T78" i="10"/>
  <c r="U78" i="10"/>
  <c r="V78" i="10"/>
  <c r="W78" i="10"/>
  <c r="X78" i="10"/>
  <c r="N79" i="10"/>
  <c r="O79" i="10"/>
  <c r="P79" i="10"/>
  <c r="Q79" i="10"/>
  <c r="R79" i="10"/>
  <c r="S79" i="10"/>
  <c r="T79" i="10"/>
  <c r="U79" i="10"/>
  <c r="V79" i="10"/>
  <c r="W79" i="10"/>
  <c r="X79" i="10"/>
  <c r="N80" i="10"/>
  <c r="O80" i="10"/>
  <c r="P80" i="10"/>
  <c r="Q80" i="10"/>
  <c r="R80" i="10"/>
  <c r="S80" i="10"/>
  <c r="T80" i="10"/>
  <c r="U80" i="10"/>
  <c r="V80" i="10"/>
  <c r="W80" i="10"/>
  <c r="X80" i="10"/>
  <c r="N81" i="10"/>
  <c r="O81" i="10"/>
  <c r="P81" i="10"/>
  <c r="Q81" i="10"/>
  <c r="R81" i="10"/>
  <c r="S81" i="10"/>
  <c r="T81" i="10"/>
  <c r="U81" i="10"/>
  <c r="V81" i="10"/>
  <c r="W81" i="10"/>
  <c r="X81" i="10"/>
  <c r="N82" i="10"/>
  <c r="O82" i="10"/>
  <c r="P82" i="10"/>
  <c r="Q82" i="10"/>
  <c r="R82" i="10"/>
  <c r="S82" i="10"/>
  <c r="T82" i="10"/>
  <c r="U82" i="10"/>
  <c r="V82" i="10"/>
  <c r="W82" i="10"/>
  <c r="X82" i="10"/>
  <c r="N83" i="10"/>
  <c r="O83" i="10"/>
  <c r="P83" i="10"/>
  <c r="Q83" i="10"/>
  <c r="R83" i="10"/>
  <c r="S83" i="10"/>
  <c r="T83" i="10"/>
  <c r="U83" i="10"/>
  <c r="V83" i="10"/>
  <c r="W83" i="10"/>
  <c r="X83" i="10"/>
  <c r="N84" i="10"/>
  <c r="O84" i="10"/>
  <c r="P84" i="10"/>
  <c r="Q84" i="10"/>
  <c r="R84" i="10"/>
  <c r="S84" i="10"/>
  <c r="T84" i="10"/>
  <c r="U84" i="10"/>
  <c r="V84" i="10"/>
  <c r="W84" i="10"/>
  <c r="X84" i="10"/>
  <c r="N85" i="10"/>
  <c r="O85" i="10"/>
  <c r="P85" i="10"/>
  <c r="Q85" i="10"/>
  <c r="R85" i="10"/>
  <c r="S85" i="10"/>
  <c r="T85" i="10"/>
  <c r="U85" i="10"/>
  <c r="V85" i="10"/>
  <c r="W85" i="10"/>
  <c r="X85" i="10"/>
  <c r="N86" i="10"/>
  <c r="O86" i="10"/>
  <c r="P86" i="10"/>
  <c r="Q86" i="10"/>
  <c r="R86" i="10"/>
  <c r="S86" i="10"/>
  <c r="T86" i="10"/>
  <c r="U86" i="10"/>
  <c r="V86" i="10"/>
  <c r="W86" i="10"/>
  <c r="X86" i="10"/>
  <c r="N87" i="10"/>
  <c r="O87" i="10"/>
  <c r="P87" i="10"/>
  <c r="Q87" i="10"/>
  <c r="R87" i="10"/>
  <c r="S87" i="10"/>
  <c r="T87" i="10"/>
  <c r="U87" i="10"/>
  <c r="V87" i="10"/>
  <c r="W87" i="10"/>
  <c r="X87" i="10"/>
  <c r="N88" i="10"/>
  <c r="O88" i="10"/>
  <c r="P88" i="10"/>
  <c r="Q88" i="10"/>
  <c r="R88" i="10"/>
  <c r="S88" i="10"/>
  <c r="T88" i="10"/>
  <c r="U88" i="10"/>
  <c r="V88" i="10"/>
  <c r="W88" i="10"/>
  <c r="X88" i="10"/>
  <c r="N89" i="10"/>
  <c r="O89" i="10"/>
  <c r="P89" i="10"/>
  <c r="Q89" i="10"/>
  <c r="R89" i="10"/>
  <c r="S89" i="10"/>
  <c r="T89" i="10"/>
  <c r="U89" i="10"/>
  <c r="V89" i="10"/>
  <c r="W89" i="10"/>
  <c r="X89" i="10"/>
  <c r="N90" i="10"/>
  <c r="O90" i="10"/>
  <c r="P90" i="10"/>
  <c r="Q90" i="10"/>
  <c r="R90" i="10"/>
  <c r="S90" i="10"/>
  <c r="T90" i="10"/>
  <c r="U90" i="10"/>
  <c r="V90" i="10"/>
  <c r="W90" i="10"/>
  <c r="X90" i="10"/>
  <c r="N91" i="10"/>
  <c r="O91" i="10"/>
  <c r="P91" i="10"/>
  <c r="Q91" i="10"/>
  <c r="R91" i="10"/>
  <c r="S91" i="10"/>
  <c r="T91" i="10"/>
  <c r="U91" i="10"/>
  <c r="V91" i="10"/>
  <c r="W91" i="10"/>
  <c r="X91" i="10"/>
  <c r="N99" i="10"/>
  <c r="O99" i="10"/>
  <c r="P99" i="10"/>
  <c r="Q99" i="10"/>
  <c r="R99" i="10"/>
  <c r="S99" i="10"/>
  <c r="T99" i="10"/>
  <c r="U99" i="10"/>
  <c r="V99" i="10"/>
  <c r="W99" i="10"/>
  <c r="X99" i="10"/>
  <c r="N100" i="10"/>
  <c r="O100" i="10"/>
  <c r="P100" i="10"/>
  <c r="Q100" i="10"/>
  <c r="R100" i="10"/>
  <c r="S100" i="10"/>
  <c r="T100" i="10"/>
  <c r="U100" i="10"/>
  <c r="V100" i="10"/>
  <c r="W100" i="10"/>
  <c r="X100" i="10"/>
  <c r="N101" i="10"/>
  <c r="O101" i="10"/>
  <c r="P101" i="10"/>
  <c r="Q101" i="10"/>
  <c r="R101" i="10"/>
  <c r="S101" i="10"/>
  <c r="T101" i="10"/>
  <c r="U101" i="10"/>
  <c r="V101" i="10"/>
  <c r="W101" i="10"/>
  <c r="X101" i="10"/>
  <c r="N102" i="10"/>
  <c r="O102" i="10"/>
  <c r="P102" i="10"/>
  <c r="Q102" i="10"/>
  <c r="R102" i="10"/>
  <c r="S102" i="10"/>
  <c r="T102" i="10"/>
  <c r="U102" i="10"/>
  <c r="V102" i="10"/>
  <c r="W102" i="10"/>
  <c r="X102" i="10"/>
  <c r="N103" i="10"/>
  <c r="O103" i="10"/>
  <c r="P103" i="10"/>
  <c r="Q103" i="10"/>
  <c r="R103" i="10"/>
  <c r="S103" i="10"/>
  <c r="T103" i="10"/>
  <c r="U103" i="10"/>
  <c r="V103" i="10"/>
  <c r="W103" i="10"/>
  <c r="X103" i="10"/>
  <c r="N104" i="10"/>
  <c r="O104" i="10"/>
  <c r="P104" i="10"/>
  <c r="Q104" i="10"/>
  <c r="R104" i="10"/>
  <c r="S104" i="10"/>
  <c r="T104" i="10"/>
  <c r="U104" i="10"/>
  <c r="V104" i="10"/>
  <c r="W104" i="10"/>
  <c r="X104" i="10"/>
  <c r="N105" i="10"/>
  <c r="O105" i="10"/>
  <c r="P105" i="10"/>
  <c r="Q105" i="10"/>
  <c r="R105" i="10"/>
  <c r="S105" i="10"/>
  <c r="T105" i="10"/>
  <c r="U105" i="10"/>
  <c r="V105" i="10"/>
  <c r="W105" i="10"/>
  <c r="X105" i="10"/>
  <c r="N106" i="10"/>
  <c r="O106" i="10"/>
  <c r="P106" i="10"/>
  <c r="Q106" i="10"/>
  <c r="R106" i="10"/>
  <c r="S106" i="10"/>
  <c r="T106" i="10"/>
  <c r="U106" i="10"/>
  <c r="V106" i="10"/>
  <c r="W106" i="10"/>
  <c r="X106" i="10"/>
  <c r="N107" i="10"/>
  <c r="O107" i="10"/>
  <c r="P107" i="10"/>
  <c r="Q107" i="10"/>
  <c r="R107" i="10"/>
  <c r="S107" i="10"/>
  <c r="T107" i="10"/>
  <c r="U107" i="10"/>
  <c r="V107" i="10"/>
  <c r="W107" i="10"/>
  <c r="X107" i="10"/>
  <c r="N108" i="10"/>
  <c r="O108" i="10"/>
  <c r="P108" i="10"/>
  <c r="Q108" i="10"/>
  <c r="R108" i="10"/>
  <c r="S108" i="10"/>
  <c r="T108" i="10"/>
  <c r="U108" i="10"/>
  <c r="V108" i="10"/>
  <c r="W108" i="10"/>
  <c r="X108" i="10"/>
  <c r="N109" i="10"/>
  <c r="O109" i="10"/>
  <c r="P109" i="10"/>
  <c r="Q109" i="10"/>
  <c r="R109" i="10"/>
  <c r="S109" i="10"/>
  <c r="T109" i="10"/>
  <c r="U109" i="10"/>
  <c r="V109" i="10"/>
  <c r="W109" i="10"/>
  <c r="X109" i="10"/>
  <c r="N110" i="10"/>
  <c r="O110" i="10"/>
  <c r="P110" i="10"/>
  <c r="Q110" i="10"/>
  <c r="R110" i="10"/>
  <c r="S110" i="10"/>
  <c r="T110" i="10"/>
  <c r="U110" i="10"/>
  <c r="V110" i="10"/>
  <c r="W110" i="10"/>
  <c r="X110" i="10"/>
  <c r="N111" i="10"/>
  <c r="O111" i="10"/>
  <c r="P111" i="10"/>
  <c r="Q111" i="10"/>
  <c r="R111" i="10"/>
  <c r="S111" i="10"/>
  <c r="T111" i="10"/>
  <c r="U111" i="10"/>
  <c r="V111" i="10"/>
  <c r="W111" i="10"/>
  <c r="X111" i="10"/>
  <c r="N112" i="10"/>
  <c r="O112" i="10"/>
  <c r="P112" i="10"/>
  <c r="Q112" i="10"/>
  <c r="R112" i="10"/>
  <c r="S112" i="10"/>
  <c r="T112" i="10"/>
  <c r="U112" i="10"/>
  <c r="V112" i="10"/>
  <c r="W112" i="10"/>
  <c r="V138" i="10" s="1"/>
  <c r="X112" i="10"/>
  <c r="N113" i="10"/>
  <c r="O113" i="10"/>
  <c r="P113" i="10"/>
  <c r="Q113" i="10"/>
  <c r="R113" i="10"/>
  <c r="S113" i="10"/>
  <c r="T113" i="10"/>
  <c r="U113" i="10"/>
  <c r="V113" i="10"/>
  <c r="W113" i="10"/>
  <c r="X113" i="10"/>
  <c r="N114" i="10"/>
  <c r="O114" i="10"/>
  <c r="P114" i="10"/>
  <c r="Q114" i="10"/>
  <c r="R114" i="10"/>
  <c r="S114" i="10"/>
  <c r="T114" i="10"/>
  <c r="U114" i="10"/>
  <c r="V114" i="10"/>
  <c r="W114" i="10"/>
  <c r="X114" i="10"/>
  <c r="N115" i="10"/>
  <c r="O115" i="10"/>
  <c r="P115" i="10"/>
  <c r="Q115" i="10"/>
  <c r="R115" i="10"/>
  <c r="S115" i="10"/>
  <c r="T115" i="10"/>
  <c r="U115" i="10"/>
  <c r="V115" i="10"/>
  <c r="W115" i="10"/>
  <c r="X115" i="10"/>
  <c r="N116" i="10"/>
  <c r="O116" i="10"/>
  <c r="P116" i="10"/>
  <c r="Q116" i="10"/>
  <c r="R116" i="10"/>
  <c r="S116" i="10"/>
  <c r="T116" i="10"/>
  <c r="U116" i="10"/>
  <c r="V116" i="10"/>
  <c r="W116" i="10"/>
  <c r="X116" i="10"/>
  <c r="N117" i="10"/>
  <c r="O117" i="10"/>
  <c r="P117" i="10"/>
  <c r="Q117" i="10"/>
  <c r="R117" i="10"/>
  <c r="S117" i="10"/>
  <c r="T117" i="10"/>
  <c r="U117" i="10"/>
  <c r="V117" i="10"/>
  <c r="W117" i="10"/>
  <c r="X117" i="10"/>
  <c r="N118" i="10"/>
  <c r="O118" i="10"/>
  <c r="P118" i="10"/>
  <c r="Q118" i="10"/>
  <c r="R118" i="10"/>
  <c r="S118" i="10"/>
  <c r="T118" i="10"/>
  <c r="U118" i="10"/>
  <c r="V118" i="10"/>
  <c r="W118" i="10"/>
  <c r="X118" i="10"/>
  <c r="N119" i="10"/>
  <c r="O119" i="10"/>
  <c r="P119" i="10"/>
  <c r="Q119" i="10"/>
  <c r="R119" i="10"/>
  <c r="S119" i="10"/>
  <c r="T119" i="10"/>
  <c r="U119" i="10"/>
  <c r="V119" i="10"/>
  <c r="W119" i="10"/>
  <c r="X119" i="10"/>
  <c r="N120" i="10"/>
  <c r="O120" i="10"/>
  <c r="P120" i="10"/>
  <c r="Q120" i="10"/>
  <c r="R120" i="10"/>
  <c r="S120" i="10"/>
  <c r="T120" i="10"/>
  <c r="U120" i="10"/>
  <c r="V120" i="10"/>
  <c r="W120" i="10"/>
  <c r="X120" i="10"/>
  <c r="N121" i="10"/>
  <c r="O121" i="10"/>
  <c r="P121" i="10"/>
  <c r="Q121" i="10"/>
  <c r="R121" i="10"/>
  <c r="S121" i="10"/>
  <c r="T121" i="10"/>
  <c r="U121" i="10"/>
  <c r="V121" i="10"/>
  <c r="W121" i="10"/>
  <c r="X121" i="10"/>
  <c r="N122" i="10"/>
  <c r="O122" i="10"/>
  <c r="P122" i="10"/>
  <c r="Q122" i="10"/>
  <c r="R122" i="10"/>
  <c r="S122" i="10"/>
  <c r="T122" i="10"/>
  <c r="U122" i="10"/>
  <c r="V122" i="10"/>
  <c r="W122" i="10"/>
  <c r="X122" i="10"/>
  <c r="N123" i="10"/>
  <c r="O123" i="10"/>
  <c r="P123" i="10"/>
  <c r="Q123" i="10"/>
  <c r="R123" i="10"/>
  <c r="S123" i="10"/>
  <c r="T123" i="10"/>
  <c r="U123" i="10"/>
  <c r="V123" i="10"/>
  <c r="W123" i="10"/>
  <c r="X123" i="10"/>
  <c r="N124" i="10"/>
  <c r="O124" i="10"/>
  <c r="P124" i="10"/>
  <c r="Q124" i="10"/>
  <c r="R124" i="10"/>
  <c r="S124" i="10"/>
  <c r="T124" i="10"/>
  <c r="U124" i="10"/>
  <c r="V124" i="10"/>
  <c r="W124" i="10"/>
  <c r="X124" i="10"/>
  <c r="N125" i="10"/>
  <c r="O125" i="10"/>
  <c r="P125" i="10"/>
  <c r="Q125" i="10"/>
  <c r="R125" i="10"/>
  <c r="S125" i="10"/>
  <c r="T125" i="10"/>
  <c r="U125" i="10"/>
  <c r="V125" i="10"/>
  <c r="W125" i="10"/>
  <c r="X125" i="10"/>
  <c r="N126" i="10"/>
  <c r="O126" i="10"/>
  <c r="P126" i="10"/>
  <c r="Q126" i="10"/>
  <c r="R126" i="10"/>
  <c r="S126" i="10"/>
  <c r="T126" i="10"/>
  <c r="U126" i="10"/>
  <c r="V126" i="10"/>
  <c r="W126" i="10"/>
  <c r="X126" i="10"/>
  <c r="N127" i="10"/>
  <c r="O127" i="10"/>
  <c r="P127" i="10"/>
  <c r="Q127" i="10"/>
  <c r="R127" i="10"/>
  <c r="S127" i="10"/>
  <c r="T127" i="10"/>
  <c r="U127" i="10"/>
  <c r="V127" i="10"/>
  <c r="W127" i="10"/>
  <c r="X127" i="10"/>
  <c r="N128" i="10"/>
  <c r="O128" i="10"/>
  <c r="P128" i="10"/>
  <c r="Q128" i="10"/>
  <c r="R128" i="10"/>
  <c r="S128" i="10"/>
  <c r="T128" i="10"/>
  <c r="U128" i="10"/>
  <c r="V128" i="10"/>
  <c r="W128" i="10"/>
  <c r="X128" i="10"/>
  <c r="N129" i="10"/>
  <c r="O129" i="10"/>
  <c r="P129" i="10"/>
  <c r="Q129" i="10"/>
  <c r="R129" i="10"/>
  <c r="S129" i="10"/>
  <c r="T129" i="10"/>
  <c r="U129" i="10"/>
  <c r="V129" i="10"/>
  <c r="W129" i="10"/>
  <c r="X129" i="10"/>
  <c r="N130" i="10"/>
  <c r="O130" i="10"/>
  <c r="P130" i="10"/>
  <c r="Q130" i="10"/>
  <c r="R130" i="10"/>
  <c r="S130" i="10"/>
  <c r="T130" i="10"/>
  <c r="U130" i="10"/>
  <c r="V130" i="10"/>
  <c r="W130" i="10"/>
  <c r="X130" i="10"/>
  <c r="N131" i="10"/>
  <c r="O131" i="10"/>
  <c r="P131" i="10"/>
  <c r="Q131" i="10"/>
  <c r="R131" i="10"/>
  <c r="S131" i="10"/>
  <c r="T131" i="10"/>
  <c r="U131" i="10"/>
  <c r="V131" i="10"/>
  <c r="W131" i="10"/>
  <c r="X131" i="10"/>
  <c r="N132" i="10"/>
  <c r="O132" i="10"/>
  <c r="P132" i="10"/>
  <c r="Q132" i="10"/>
  <c r="R132" i="10"/>
  <c r="S132" i="10"/>
  <c r="T132" i="10"/>
  <c r="U132" i="10"/>
  <c r="V132" i="10"/>
  <c r="W132" i="10"/>
  <c r="X132" i="10"/>
  <c r="N133" i="10"/>
  <c r="O133" i="10"/>
  <c r="P133" i="10"/>
  <c r="Q133" i="10"/>
  <c r="R133" i="10"/>
  <c r="S133" i="10"/>
  <c r="T133" i="10"/>
  <c r="U133" i="10"/>
  <c r="V133" i="10"/>
  <c r="W133" i="10"/>
  <c r="X133" i="10"/>
  <c r="W137" i="10"/>
  <c r="W138" i="10"/>
  <c r="E140" i="10"/>
  <c r="B1416" i="10" s="1"/>
  <c r="F140" i="10"/>
  <c r="B1418" i="10" s="1"/>
  <c r="G140" i="10"/>
  <c r="B1420" i="10"/>
  <c r="H151" i="10"/>
  <c r="H153" i="10"/>
  <c r="H154" i="10"/>
  <c r="L1085" i="10"/>
  <c r="K158" i="10"/>
  <c r="N158" i="10"/>
  <c r="L1231" i="10" s="1"/>
  <c r="K160" i="10"/>
  <c r="N160" i="10"/>
  <c r="K162" i="10"/>
  <c r="N162" i="10"/>
  <c r="L1348" i="10"/>
  <c r="P1348" i="10"/>
  <c r="N164" i="10"/>
  <c r="N165" i="10"/>
  <c r="L1306" i="10" s="1"/>
  <c r="N167" i="10"/>
  <c r="L1307" i="10"/>
  <c r="P1307" i="10" s="1"/>
  <c r="N169" i="10"/>
  <c r="L1350" i="10" s="1"/>
  <c r="P1350" i="10" s="1"/>
  <c r="N171" i="10"/>
  <c r="L1351" i="10"/>
  <c r="P1351" i="10" s="1"/>
  <c r="O177" i="10"/>
  <c r="P177" i="10"/>
  <c r="P213" i="10" s="1"/>
  <c r="Q177" i="10"/>
  <c r="R177" i="10"/>
  <c r="R213" i="10" s="1"/>
  <c r="S177" i="10"/>
  <c r="T177" i="10"/>
  <c r="U177" i="10"/>
  <c r="V177" i="10"/>
  <c r="W177" i="10"/>
  <c r="X177" i="10"/>
  <c r="Y177" i="10"/>
  <c r="Z177" i="10"/>
  <c r="AA177" i="10"/>
  <c r="AB177" i="10"/>
  <c r="AC177" i="10"/>
  <c r="AC203" i="10" s="1"/>
  <c r="AD177" i="10"/>
  <c r="AE177" i="10"/>
  <c r="AF177" i="10"/>
  <c r="AG177" i="10"/>
  <c r="AH177" i="10"/>
  <c r="AI177" i="10"/>
  <c r="AI203" i="10" s="1"/>
  <c r="AJ177" i="10"/>
  <c r="AK177" i="10"/>
  <c r="AK203" i="10" s="1"/>
  <c r="AL177" i="10"/>
  <c r="O179" i="10"/>
  <c r="P179" i="10"/>
  <c r="Q179" i="10"/>
  <c r="Q203" i="10" s="1"/>
  <c r="R179" i="10"/>
  <c r="S179" i="10"/>
  <c r="S204" i="10" s="1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I179" i="10"/>
  <c r="AJ179" i="10"/>
  <c r="AK179" i="10"/>
  <c r="AL179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AJ181" i="10"/>
  <c r="AK181" i="10"/>
  <c r="AL181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H210" i="10" s="1"/>
  <c r="AI187" i="10"/>
  <c r="AJ187" i="10"/>
  <c r="AK187" i="10"/>
  <c r="AL187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AJ188" i="10"/>
  <c r="AK188" i="10"/>
  <c r="AL188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AJ189" i="10"/>
  <c r="AK189" i="10"/>
  <c r="AL189" i="10"/>
  <c r="K198" i="10"/>
  <c r="AP835" i="10" s="1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AJ218" i="10"/>
  <c r="AK218" i="10"/>
  <c r="AL218" i="10"/>
  <c r="AL239" i="10" s="1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I219" i="10"/>
  <c r="AJ219" i="10"/>
  <c r="AK219" i="10"/>
  <c r="AL219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AJ220" i="10"/>
  <c r="AK220" i="10"/>
  <c r="AL220" i="10"/>
  <c r="A224" i="10"/>
  <c r="M221" i="10" s="1"/>
  <c r="C224" i="10"/>
  <c r="E224" i="10"/>
  <c r="G224" i="10"/>
  <c r="I224" i="10"/>
  <c r="K224" i="10"/>
  <c r="O224" i="10"/>
  <c r="P224" i="10"/>
  <c r="Q224" i="10"/>
  <c r="R224" i="10"/>
  <c r="S224" i="10"/>
  <c r="T224" i="10"/>
  <c r="U224" i="10"/>
  <c r="V224" i="10"/>
  <c r="W224" i="10"/>
  <c r="X224" i="10"/>
  <c r="X234" i="10" s="1"/>
  <c r="Y224" i="10"/>
  <c r="Z224" i="10"/>
  <c r="AA224" i="10"/>
  <c r="AB224" i="10"/>
  <c r="AB235" i="10" s="1"/>
  <c r="AC224" i="10"/>
  <c r="AC234" i="10" s="1"/>
  <c r="AD224" i="10"/>
  <c r="AE224" i="10"/>
  <c r="AF224" i="10"/>
  <c r="AG224" i="10"/>
  <c r="AG235" i="10" s="1"/>
  <c r="AH224" i="10"/>
  <c r="AI224" i="10"/>
  <c r="AJ224" i="10"/>
  <c r="AJ232" i="10" s="1"/>
  <c r="AK224" i="10"/>
  <c r="AL224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AJ225" i="10"/>
  <c r="AK225" i="10"/>
  <c r="AL225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AJ226" i="10"/>
  <c r="AK226" i="10"/>
  <c r="AL226" i="10"/>
  <c r="A232" i="10"/>
  <c r="C232" i="10"/>
  <c r="E232" i="10"/>
  <c r="G232" i="10"/>
  <c r="I232" i="10"/>
  <c r="K232" i="10"/>
  <c r="O251" i="10"/>
  <c r="P251" i="10"/>
  <c r="P255" i="10" s="1"/>
  <c r="Q251" i="10"/>
  <c r="R251" i="10"/>
  <c r="S251" i="10"/>
  <c r="T251" i="10"/>
  <c r="U251" i="10"/>
  <c r="V251" i="10"/>
  <c r="W251" i="10"/>
  <c r="W255" i="10" s="1"/>
  <c r="X251" i="10"/>
  <c r="Y251" i="10"/>
  <c r="Z251" i="10"/>
  <c r="AA251" i="10"/>
  <c r="AB251" i="10"/>
  <c r="AC251" i="10"/>
  <c r="AD251" i="10"/>
  <c r="AE251" i="10"/>
  <c r="AF251" i="10"/>
  <c r="AG251" i="10"/>
  <c r="AH251" i="10"/>
  <c r="AI251" i="10"/>
  <c r="AJ251" i="10"/>
  <c r="AK251" i="10"/>
  <c r="AL251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AJ252" i="10"/>
  <c r="AK252" i="10"/>
  <c r="AL252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AJ253" i="10"/>
  <c r="AK253" i="10"/>
  <c r="AL253" i="10"/>
  <c r="A254" i="10"/>
  <c r="T621" i="10"/>
  <c r="E254" i="10"/>
  <c r="U621" i="10" s="1"/>
  <c r="I254" i="10"/>
  <c r="V621" i="10" s="1"/>
  <c r="W621" i="10" s="1"/>
  <c r="W626" i="10" s="1"/>
  <c r="L622" i="10" s="1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C261" i="10" s="1"/>
  <c r="AD257" i="10"/>
  <c r="AE257" i="10"/>
  <c r="AF257" i="10"/>
  <c r="AG257" i="10"/>
  <c r="AH257" i="10"/>
  <c r="AI257" i="10"/>
  <c r="AJ257" i="10"/>
  <c r="AK257" i="10"/>
  <c r="AL257" i="10"/>
  <c r="O258" i="10"/>
  <c r="P258" i="10"/>
  <c r="Q258" i="10"/>
  <c r="R258" i="10"/>
  <c r="S258" i="10"/>
  <c r="T258" i="10"/>
  <c r="U258" i="10"/>
  <c r="V258" i="10"/>
  <c r="W258" i="10"/>
  <c r="W261" i="10" s="1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AJ258" i="10"/>
  <c r="AK258" i="10"/>
  <c r="AL258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I259" i="10"/>
  <c r="AJ259" i="10"/>
  <c r="AK259" i="10"/>
  <c r="AL259" i="10"/>
  <c r="A260" i="10"/>
  <c r="T622" i="10"/>
  <c r="E260" i="10"/>
  <c r="U622" i="10"/>
  <c r="I260" i="10"/>
  <c r="V622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H267" i="10" s="1"/>
  <c r="AI263" i="10"/>
  <c r="AJ263" i="10"/>
  <c r="AK263" i="10"/>
  <c r="AL263" i="10"/>
  <c r="O264" i="10"/>
  <c r="P264" i="10"/>
  <c r="P267" i="10" s="1"/>
  <c r="Q264" i="10"/>
  <c r="R264" i="10"/>
  <c r="R267" i="10" s="1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AJ264" i="10"/>
  <c r="AK264" i="10"/>
  <c r="AL264" i="10"/>
  <c r="O265" i="10"/>
  <c r="P265" i="10"/>
  <c r="Q265" i="10"/>
  <c r="R265" i="10"/>
  <c r="S265" i="10"/>
  <c r="T265" i="10"/>
  <c r="U265" i="10"/>
  <c r="V265" i="10"/>
  <c r="V267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AJ265" i="10"/>
  <c r="AJ267" i="10" s="1"/>
  <c r="AK265" i="10"/>
  <c r="AL265" i="10"/>
  <c r="A266" i="10"/>
  <c r="T623" i="10"/>
  <c r="E266" i="10"/>
  <c r="U623" i="10" s="1"/>
  <c r="I266" i="10"/>
  <c r="V623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AJ269" i="10"/>
  <c r="AK269" i="10"/>
  <c r="AL269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AJ270" i="10"/>
  <c r="AK270" i="10"/>
  <c r="AL270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AJ271" i="10"/>
  <c r="AK271" i="10"/>
  <c r="AL271" i="10"/>
  <c r="A272" i="10"/>
  <c r="T624" i="10"/>
  <c r="E272" i="10"/>
  <c r="U624" i="10"/>
  <c r="I272" i="10"/>
  <c r="V624" i="10" s="1"/>
  <c r="AA624" i="10" s="1"/>
  <c r="O275" i="10"/>
  <c r="P275" i="10"/>
  <c r="Q275" i="10"/>
  <c r="R275" i="10"/>
  <c r="S275" i="10"/>
  <c r="S279" i="10" s="1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I275" i="10"/>
  <c r="AJ275" i="10"/>
  <c r="AK275" i="10"/>
  <c r="AL275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AJ276" i="10"/>
  <c r="AK276" i="10"/>
  <c r="AL276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AJ277" i="10"/>
  <c r="AK277" i="10"/>
  <c r="AL277" i="10"/>
  <c r="A278" i="10"/>
  <c r="T625" i="10" s="1"/>
  <c r="E278" i="10"/>
  <c r="U625" i="10"/>
  <c r="I278" i="10"/>
  <c r="V625" i="10" s="1"/>
  <c r="W282" i="10"/>
  <c r="AA282" i="10"/>
  <c r="R283" i="10"/>
  <c r="W283" i="10"/>
  <c r="R284" i="10"/>
  <c r="W284" i="10"/>
  <c r="R285" i="10"/>
  <c r="W285" i="10"/>
  <c r="AA285" i="10"/>
  <c r="R286" i="10"/>
  <c r="AA286" i="10"/>
  <c r="R287" i="10"/>
  <c r="W287" i="10"/>
  <c r="AA287" i="10"/>
  <c r="R288" i="10"/>
  <c r="W288" i="10"/>
  <c r="AA288" i="10"/>
  <c r="R289" i="10"/>
  <c r="W289" i="10"/>
  <c r="AA289" i="10"/>
  <c r="R290" i="10"/>
  <c r="W290" i="10"/>
  <c r="AA290" i="10"/>
  <c r="R291" i="10"/>
  <c r="W291" i="10"/>
  <c r="AA291" i="10"/>
  <c r="F292" i="10"/>
  <c r="R292" i="10"/>
  <c r="W292" i="10"/>
  <c r="Y292" i="10"/>
  <c r="AA292" i="10"/>
  <c r="F293" i="10"/>
  <c r="M293" i="10" s="1"/>
  <c r="R293" i="10"/>
  <c r="W293" i="10"/>
  <c r="F294" i="10"/>
  <c r="R294" i="10"/>
  <c r="W294" i="10"/>
  <c r="F295" i="10"/>
  <c r="R295" i="10"/>
  <c r="W295" i="10"/>
  <c r="F296" i="10"/>
  <c r="R296" i="10"/>
  <c r="W296" i="10"/>
  <c r="F297" i="10"/>
  <c r="R297" i="10"/>
  <c r="F298" i="10"/>
  <c r="J298" i="10" s="1"/>
  <c r="F299" i="10"/>
  <c r="W299" i="10"/>
  <c r="F300" i="10"/>
  <c r="W300" i="10"/>
  <c r="F301" i="10"/>
  <c r="M301" i="10"/>
  <c r="F302" i="10"/>
  <c r="O293" i="10" s="1"/>
  <c r="Q293" i="10" s="1"/>
  <c r="F303" i="10"/>
  <c r="O294" i="10" s="1"/>
  <c r="F304" i="10"/>
  <c r="O295" i="10" s="1"/>
  <c r="M304" i="10"/>
  <c r="F305" i="10"/>
  <c r="F306" i="10"/>
  <c r="O297" i="10" s="1"/>
  <c r="F317" i="10"/>
  <c r="T282" i="10" s="1"/>
  <c r="F318" i="10"/>
  <c r="F319" i="10"/>
  <c r="F320" i="10"/>
  <c r="F322" i="10"/>
  <c r="F323" i="10"/>
  <c r="M323" i="10" s="1"/>
  <c r="F324" i="10"/>
  <c r="T289" i="10" s="1"/>
  <c r="F325" i="10"/>
  <c r="K325" i="10" s="1"/>
  <c r="F326" i="10"/>
  <c r="F327" i="10"/>
  <c r="F328" i="10"/>
  <c r="T293" i="10"/>
  <c r="F329" i="10"/>
  <c r="F330" i="10"/>
  <c r="F331" i="10"/>
  <c r="F334" i="10"/>
  <c r="O334" i="10"/>
  <c r="P334" i="10"/>
  <c r="P369" i="10" s="1"/>
  <c r="Q334" i="10"/>
  <c r="Q356" i="10" s="1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C358" i="10" s="1"/>
  <c r="AD334" i="10"/>
  <c r="AE334" i="10"/>
  <c r="AF334" i="10"/>
  <c r="AG334" i="10"/>
  <c r="AH334" i="10"/>
  <c r="AI334" i="10"/>
  <c r="AJ334" i="10"/>
  <c r="AK334" i="10"/>
  <c r="AL334" i="10"/>
  <c r="F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I335" i="10"/>
  <c r="AJ335" i="10"/>
  <c r="AK335" i="10"/>
  <c r="AL335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I336" i="10"/>
  <c r="AJ336" i="10"/>
  <c r="AK336" i="10"/>
  <c r="AL336" i="10"/>
  <c r="O338" i="10"/>
  <c r="P338" i="10"/>
  <c r="Q338" i="10"/>
  <c r="R338" i="10"/>
  <c r="S338" i="10"/>
  <c r="T338" i="10"/>
  <c r="U338" i="10"/>
  <c r="V338" i="10"/>
  <c r="W338" i="10"/>
  <c r="W356" i="10" s="1"/>
  <c r="X338" i="10"/>
  <c r="Y338" i="10"/>
  <c r="Z338" i="10"/>
  <c r="AA338" i="10"/>
  <c r="AB338" i="10"/>
  <c r="AC338" i="10"/>
  <c r="AD338" i="10"/>
  <c r="AE338" i="10"/>
  <c r="AF338" i="10"/>
  <c r="AG338" i="10"/>
  <c r="AH338" i="10"/>
  <c r="AI338" i="10"/>
  <c r="AJ338" i="10"/>
  <c r="AK338" i="10"/>
  <c r="AK357" i="10" s="1"/>
  <c r="AL338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I341" i="10"/>
  <c r="AJ341" i="10"/>
  <c r="AK341" i="10"/>
  <c r="AL341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I342" i="10"/>
  <c r="AJ342" i="10"/>
  <c r="AK342" i="10"/>
  <c r="AL342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B365" i="10" s="1"/>
  <c r="AC344" i="10"/>
  <c r="AD344" i="10"/>
  <c r="AE344" i="10"/>
  <c r="AF344" i="10"/>
  <c r="AG344" i="10"/>
  <c r="AH344" i="10"/>
  <c r="AI344" i="10"/>
  <c r="AJ344" i="10"/>
  <c r="AK344" i="10"/>
  <c r="AL344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I345" i="10"/>
  <c r="AJ345" i="10"/>
  <c r="AK345" i="10"/>
  <c r="AL345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I346" i="10"/>
  <c r="AJ346" i="10"/>
  <c r="AK346" i="10"/>
  <c r="AL346" i="10"/>
  <c r="F348" i="10"/>
  <c r="J348" i="10" s="1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I348" i="10"/>
  <c r="AJ348" i="10"/>
  <c r="AK348" i="10"/>
  <c r="AL348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I349" i="10"/>
  <c r="AJ349" i="10"/>
  <c r="AK349" i="10"/>
  <c r="AL349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I350" i="10"/>
  <c r="AJ350" i="10"/>
  <c r="AK350" i="10"/>
  <c r="AL350" i="10"/>
  <c r="F351" i="10"/>
  <c r="F352" i="10"/>
  <c r="X286" i="10"/>
  <c r="O352" i="10"/>
  <c r="P352" i="10"/>
  <c r="Q352" i="10"/>
  <c r="R352" i="10"/>
  <c r="S352" i="10"/>
  <c r="T352" i="10"/>
  <c r="U352" i="10"/>
  <c r="V352" i="10"/>
  <c r="V367" i="10" s="1"/>
  <c r="W352" i="10"/>
  <c r="W359" i="10" s="1"/>
  <c r="X352" i="10"/>
  <c r="Y352" i="10"/>
  <c r="Z352" i="10"/>
  <c r="AA352" i="10"/>
  <c r="AB352" i="10"/>
  <c r="AC352" i="10"/>
  <c r="AD352" i="10"/>
  <c r="AE352" i="10"/>
  <c r="AF352" i="10"/>
  <c r="AG352" i="10"/>
  <c r="AH352" i="10"/>
  <c r="AI352" i="10"/>
  <c r="AJ352" i="10"/>
  <c r="AK352" i="10"/>
  <c r="AL352" i="10"/>
  <c r="F353" i="10"/>
  <c r="X287" i="10" s="1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D356" i="10" s="1"/>
  <c r="AE353" i="10"/>
  <c r="AF353" i="10"/>
  <c r="AG353" i="10"/>
  <c r="AH353" i="10"/>
  <c r="AI353" i="10"/>
  <c r="AJ353" i="10"/>
  <c r="AK353" i="10"/>
  <c r="AL353" i="10"/>
  <c r="F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D367" i="10" s="1"/>
  <c r="AE354" i="10"/>
  <c r="AF354" i="10"/>
  <c r="AG354" i="10"/>
  <c r="AH354" i="10"/>
  <c r="AI354" i="10"/>
  <c r="AJ354" i="10"/>
  <c r="AK354" i="10"/>
  <c r="AL354" i="10"/>
  <c r="F355" i="10"/>
  <c r="J355" i="10"/>
  <c r="F356" i="10"/>
  <c r="F357" i="10"/>
  <c r="J357" i="10"/>
  <c r="F358" i="10"/>
  <c r="F371" i="10"/>
  <c r="I371" i="10" s="1"/>
  <c r="F372" i="10"/>
  <c r="I372" i="10"/>
  <c r="J372" i="10"/>
  <c r="F373" i="10"/>
  <c r="I373" i="10"/>
  <c r="J373" i="10" s="1"/>
  <c r="F374" i="10"/>
  <c r="G374" i="10"/>
  <c r="AT383" i="10"/>
  <c r="AU383" i="10"/>
  <c r="AV383" i="10"/>
  <c r="AW383" i="10"/>
  <c r="AX383" i="10"/>
  <c r="AY383" i="10"/>
  <c r="AZ383" i="10"/>
  <c r="BA383" i="10"/>
  <c r="BB383" i="10"/>
  <c r="BC383" i="10"/>
  <c r="BD383" i="10"/>
  <c r="BE383" i="10"/>
  <c r="BF383" i="10"/>
  <c r="BG383" i="10"/>
  <c r="BH383" i="10"/>
  <c r="BI383" i="10"/>
  <c r="BJ383" i="10"/>
  <c r="BK383" i="10"/>
  <c r="BL383" i="10"/>
  <c r="BM383" i="10"/>
  <c r="BN383" i="10"/>
  <c r="BO383" i="10"/>
  <c r="BP383" i="10"/>
  <c r="BQ383" i="10"/>
  <c r="AT398" i="10"/>
  <c r="AU398" i="10"/>
  <c r="AV398" i="10"/>
  <c r="AW398" i="10"/>
  <c r="AX398" i="10"/>
  <c r="AY398" i="10"/>
  <c r="AZ398" i="10"/>
  <c r="BA398" i="10"/>
  <c r="BB398" i="10"/>
  <c r="BC398" i="10"/>
  <c r="BD398" i="10"/>
  <c r="BE398" i="10"/>
  <c r="BF398" i="10"/>
  <c r="BG398" i="10"/>
  <c r="BH398" i="10"/>
  <c r="BI398" i="10"/>
  <c r="BJ398" i="10"/>
  <c r="BK398" i="10"/>
  <c r="BL398" i="10"/>
  <c r="BM398" i="10"/>
  <c r="BN398" i="10"/>
  <c r="BO398" i="10"/>
  <c r="BP398" i="10"/>
  <c r="BQ398" i="10"/>
  <c r="T404" i="10"/>
  <c r="T405" i="10"/>
  <c r="O406" i="10"/>
  <c r="K435" i="10"/>
  <c r="P413" i="10" s="1"/>
  <c r="J447" i="10"/>
  <c r="L1008" i="10" s="1"/>
  <c r="S1470" i="10"/>
  <c r="S1474" i="10" s="1"/>
  <c r="J448" i="10"/>
  <c r="J449" i="10"/>
  <c r="S1472" i="10"/>
  <c r="A461" i="10"/>
  <c r="C461" i="10"/>
  <c r="O461" i="10" s="1"/>
  <c r="N461" i="10"/>
  <c r="L461" i="10"/>
  <c r="A462" i="10"/>
  <c r="C462" i="10"/>
  <c r="L462" i="10"/>
  <c r="A463" i="10"/>
  <c r="C463" i="10"/>
  <c r="S463" i="10"/>
  <c r="L463" i="10"/>
  <c r="A464" i="10"/>
  <c r="C464" i="10"/>
  <c r="L464" i="10"/>
  <c r="A465" i="10"/>
  <c r="C465" i="10"/>
  <c r="L465" i="10"/>
  <c r="A466" i="10"/>
  <c r="C466" i="10"/>
  <c r="L466" i="10"/>
  <c r="A467" i="10"/>
  <c r="C467" i="10"/>
  <c r="L467" i="10"/>
  <c r="A468" i="10"/>
  <c r="C468" i="10"/>
  <c r="O468" i="10" s="1"/>
  <c r="L468" i="10"/>
  <c r="A469" i="10"/>
  <c r="C469" i="10"/>
  <c r="P469" i="10" s="1"/>
  <c r="L469" i="10"/>
  <c r="A470" i="10"/>
  <c r="C470" i="10"/>
  <c r="S470" i="10" s="1"/>
  <c r="Q470" i="10"/>
  <c r="L470" i="10"/>
  <c r="A471" i="10"/>
  <c r="C471" i="10"/>
  <c r="U471" i="10"/>
  <c r="L471" i="10"/>
  <c r="A472" i="10"/>
  <c r="C472" i="10"/>
  <c r="L472" i="10"/>
  <c r="N481" i="10"/>
  <c r="O481" i="10"/>
  <c r="P481" i="10"/>
  <c r="Q481" i="10"/>
  <c r="R481" i="10"/>
  <c r="S481" i="10"/>
  <c r="T481" i="10"/>
  <c r="U481" i="10"/>
  <c r="X481" i="10"/>
  <c r="AA481" i="10"/>
  <c r="N482" i="10"/>
  <c r="O482" i="10"/>
  <c r="P482" i="10"/>
  <c r="Q482" i="10"/>
  <c r="R482" i="10"/>
  <c r="S482" i="10"/>
  <c r="T482" i="10"/>
  <c r="U482" i="10"/>
  <c r="X482" i="10"/>
  <c r="AA482" i="10"/>
  <c r="N483" i="10"/>
  <c r="O483" i="10"/>
  <c r="P483" i="10"/>
  <c r="G516" i="10" s="1"/>
  <c r="Q483" i="10"/>
  <c r="R483" i="10"/>
  <c r="I516" i="10" s="1"/>
  <c r="S483" i="10"/>
  <c r="T483" i="10"/>
  <c r="U483" i="10"/>
  <c r="X483" i="10"/>
  <c r="AA483" i="10"/>
  <c r="N484" i="10"/>
  <c r="O484" i="10"/>
  <c r="P484" i="10"/>
  <c r="Q484" i="10"/>
  <c r="R484" i="10"/>
  <c r="S484" i="10"/>
  <c r="T484" i="10"/>
  <c r="U484" i="10"/>
  <c r="X484" i="10"/>
  <c r="AA484" i="10"/>
  <c r="N485" i="10"/>
  <c r="O485" i="10"/>
  <c r="P485" i="10"/>
  <c r="Q485" i="10"/>
  <c r="R485" i="10"/>
  <c r="S485" i="10"/>
  <c r="T485" i="10"/>
  <c r="K516" i="10" s="1"/>
  <c r="U485" i="10"/>
  <c r="X485" i="10"/>
  <c r="AA485" i="10"/>
  <c r="N486" i="10"/>
  <c r="O486" i="10"/>
  <c r="P486" i="10"/>
  <c r="Q486" i="10"/>
  <c r="R486" i="10"/>
  <c r="S486" i="10"/>
  <c r="T486" i="10"/>
  <c r="U486" i="10"/>
  <c r="X486" i="10"/>
  <c r="AA486" i="10"/>
  <c r="N487" i="10"/>
  <c r="O487" i="10"/>
  <c r="P487" i="10"/>
  <c r="Q487" i="10"/>
  <c r="R487" i="10"/>
  <c r="S487" i="10"/>
  <c r="T487" i="10"/>
  <c r="U487" i="10"/>
  <c r="X487" i="10"/>
  <c r="AA487" i="10"/>
  <c r="N488" i="10"/>
  <c r="O488" i="10"/>
  <c r="P488" i="10"/>
  <c r="Q488" i="10"/>
  <c r="R488" i="10"/>
  <c r="S488" i="10"/>
  <c r="T488" i="10"/>
  <c r="U488" i="10"/>
  <c r="X488" i="10"/>
  <c r="AA488" i="10"/>
  <c r="N489" i="10"/>
  <c r="O489" i="10"/>
  <c r="P489" i="10"/>
  <c r="Q489" i="10"/>
  <c r="R489" i="10"/>
  <c r="S489" i="10"/>
  <c r="T489" i="10"/>
  <c r="U489" i="10"/>
  <c r="X489" i="10"/>
  <c r="AA489" i="10"/>
  <c r="N490" i="10"/>
  <c r="O490" i="10"/>
  <c r="P490" i="10"/>
  <c r="Q490" i="10"/>
  <c r="R490" i="10"/>
  <c r="S490" i="10"/>
  <c r="T490" i="10"/>
  <c r="U490" i="10"/>
  <c r="X490" i="10"/>
  <c r="AA490" i="10"/>
  <c r="N491" i="10"/>
  <c r="O491" i="10"/>
  <c r="P491" i="10"/>
  <c r="Q491" i="10"/>
  <c r="R491" i="10"/>
  <c r="S491" i="10"/>
  <c r="T491" i="10"/>
  <c r="U491" i="10"/>
  <c r="X491" i="10"/>
  <c r="AA491" i="10"/>
  <c r="N492" i="10"/>
  <c r="O492" i="10"/>
  <c r="P492" i="10"/>
  <c r="Q492" i="10"/>
  <c r="R492" i="10"/>
  <c r="S492" i="10"/>
  <c r="T492" i="10"/>
  <c r="U492" i="10"/>
  <c r="X492" i="10"/>
  <c r="AA492" i="10"/>
  <c r="N493" i="10"/>
  <c r="W493" i="10" s="1"/>
  <c r="V493" i="10" s="1"/>
  <c r="O493" i="10"/>
  <c r="P493" i="10"/>
  <c r="Q493" i="10"/>
  <c r="R493" i="10"/>
  <c r="S493" i="10"/>
  <c r="T493" i="10"/>
  <c r="U493" i="10"/>
  <c r="X493" i="10"/>
  <c r="AA493" i="10"/>
  <c r="N494" i="10"/>
  <c r="O494" i="10"/>
  <c r="P494" i="10"/>
  <c r="Q494" i="10"/>
  <c r="R494" i="10"/>
  <c r="S494" i="10"/>
  <c r="T494" i="10"/>
  <c r="U494" i="10"/>
  <c r="X494" i="10"/>
  <c r="AA494" i="10"/>
  <c r="N495" i="10"/>
  <c r="O495" i="10"/>
  <c r="P495" i="10"/>
  <c r="Q495" i="10"/>
  <c r="R495" i="10"/>
  <c r="S495" i="10"/>
  <c r="T495" i="10"/>
  <c r="U495" i="10"/>
  <c r="X495" i="10"/>
  <c r="AA495" i="10"/>
  <c r="N496" i="10"/>
  <c r="W496" i="10" s="1"/>
  <c r="V496" i="10" s="1"/>
  <c r="O496" i="10"/>
  <c r="P496" i="10"/>
  <c r="Q496" i="10"/>
  <c r="R496" i="10"/>
  <c r="S496" i="10"/>
  <c r="T496" i="10"/>
  <c r="U496" i="10"/>
  <c r="X496" i="10"/>
  <c r="AA496" i="10"/>
  <c r="N497" i="10"/>
  <c r="O497" i="10"/>
  <c r="P497" i="10"/>
  <c r="Q497" i="10"/>
  <c r="R497" i="10"/>
  <c r="S497" i="10"/>
  <c r="T497" i="10"/>
  <c r="U497" i="10"/>
  <c r="X497" i="10"/>
  <c r="AA497" i="10"/>
  <c r="N498" i="10"/>
  <c r="O498" i="10"/>
  <c r="P498" i="10"/>
  <c r="Q498" i="10"/>
  <c r="R498" i="10"/>
  <c r="S498" i="10"/>
  <c r="T498" i="10"/>
  <c r="U498" i="10"/>
  <c r="X498" i="10"/>
  <c r="AA498" i="10"/>
  <c r="N499" i="10"/>
  <c r="O499" i="10"/>
  <c r="P499" i="10"/>
  <c r="Q499" i="10"/>
  <c r="R499" i="10"/>
  <c r="S499" i="10"/>
  <c r="T499" i="10"/>
  <c r="U499" i="10"/>
  <c r="X499" i="10"/>
  <c r="AA499" i="10"/>
  <c r="N500" i="10"/>
  <c r="O500" i="10"/>
  <c r="P500" i="10"/>
  <c r="Q500" i="10"/>
  <c r="R500" i="10"/>
  <c r="S500" i="10"/>
  <c r="T500" i="10"/>
  <c r="U500" i="10"/>
  <c r="X500" i="10"/>
  <c r="AA500" i="10"/>
  <c r="N501" i="10"/>
  <c r="O501" i="10"/>
  <c r="P501" i="10"/>
  <c r="Q501" i="10"/>
  <c r="R501" i="10"/>
  <c r="S501" i="10"/>
  <c r="T501" i="10"/>
  <c r="U501" i="10"/>
  <c r="X501" i="10"/>
  <c r="AA501" i="10"/>
  <c r="N502" i="10"/>
  <c r="O502" i="10"/>
  <c r="P502" i="10"/>
  <c r="Q502" i="10"/>
  <c r="R502" i="10"/>
  <c r="S502" i="10"/>
  <c r="T502" i="10"/>
  <c r="U502" i="10"/>
  <c r="X502" i="10"/>
  <c r="AA502" i="10"/>
  <c r="N503" i="10"/>
  <c r="O503" i="10"/>
  <c r="P503" i="10"/>
  <c r="W503" i="10" s="1"/>
  <c r="Q503" i="10"/>
  <c r="R503" i="10"/>
  <c r="S503" i="10"/>
  <c r="T503" i="10"/>
  <c r="U503" i="10"/>
  <c r="X503" i="10"/>
  <c r="AA503" i="10"/>
  <c r="N504" i="10"/>
  <c r="O504" i="10"/>
  <c r="P504" i="10"/>
  <c r="Q504" i="10"/>
  <c r="R504" i="10"/>
  <c r="S504" i="10"/>
  <c r="T504" i="10"/>
  <c r="U504" i="10"/>
  <c r="X504" i="10"/>
  <c r="AA504" i="10"/>
  <c r="N505" i="10"/>
  <c r="O505" i="10"/>
  <c r="P505" i="10"/>
  <c r="Q505" i="10"/>
  <c r="R505" i="10"/>
  <c r="S505" i="10"/>
  <c r="T505" i="10"/>
  <c r="U505" i="10"/>
  <c r="X505" i="10"/>
  <c r="AA505" i="10"/>
  <c r="N506" i="10"/>
  <c r="O506" i="10"/>
  <c r="P506" i="10"/>
  <c r="Q506" i="10"/>
  <c r="R506" i="10"/>
  <c r="S506" i="10"/>
  <c r="T506" i="10"/>
  <c r="U506" i="10"/>
  <c r="X506" i="10"/>
  <c r="AA506" i="10"/>
  <c r="N507" i="10"/>
  <c r="O507" i="10"/>
  <c r="P507" i="10"/>
  <c r="Q507" i="10"/>
  <c r="R507" i="10"/>
  <c r="S507" i="10"/>
  <c r="T507" i="10"/>
  <c r="U507" i="10"/>
  <c r="X507" i="10"/>
  <c r="AA507" i="10"/>
  <c r="N508" i="10"/>
  <c r="W508" i="10" s="1"/>
  <c r="O508" i="10"/>
  <c r="P508" i="10"/>
  <c r="Q508" i="10"/>
  <c r="R508" i="10"/>
  <c r="S508" i="10"/>
  <c r="T508" i="10"/>
  <c r="U508" i="10"/>
  <c r="X508" i="10"/>
  <c r="AA508" i="10"/>
  <c r="N509" i="10"/>
  <c r="O509" i="10"/>
  <c r="P509" i="10"/>
  <c r="Q509" i="10"/>
  <c r="R509" i="10"/>
  <c r="S509" i="10"/>
  <c r="T509" i="10"/>
  <c r="U509" i="10"/>
  <c r="X509" i="10"/>
  <c r="AA509" i="10"/>
  <c r="N510" i="10"/>
  <c r="O510" i="10"/>
  <c r="P510" i="10"/>
  <c r="Q510" i="10"/>
  <c r="R510" i="10"/>
  <c r="S510" i="10"/>
  <c r="T510" i="10"/>
  <c r="U510" i="10"/>
  <c r="X510" i="10"/>
  <c r="AA510" i="10"/>
  <c r="N511" i="10"/>
  <c r="O511" i="10"/>
  <c r="P511" i="10"/>
  <c r="Q511" i="10"/>
  <c r="R511" i="10"/>
  <c r="S511" i="10"/>
  <c r="T511" i="10"/>
  <c r="U511" i="10"/>
  <c r="X511" i="10"/>
  <c r="AA511" i="10"/>
  <c r="N512" i="10"/>
  <c r="O512" i="10"/>
  <c r="P512" i="10"/>
  <c r="Q512" i="10"/>
  <c r="R512" i="10"/>
  <c r="S512" i="10"/>
  <c r="T512" i="10"/>
  <c r="U512" i="10"/>
  <c r="X512" i="10"/>
  <c r="AA512" i="10"/>
  <c r="N513" i="10"/>
  <c r="O513" i="10"/>
  <c r="P513" i="10"/>
  <c r="Q513" i="10"/>
  <c r="R513" i="10"/>
  <c r="S513" i="10"/>
  <c r="T513" i="10"/>
  <c r="U513" i="10"/>
  <c r="X513" i="10"/>
  <c r="AA513" i="10"/>
  <c r="N514" i="10"/>
  <c r="O514" i="10"/>
  <c r="P514" i="10"/>
  <c r="Q514" i="10"/>
  <c r="R514" i="10"/>
  <c r="S514" i="10"/>
  <c r="T514" i="10"/>
  <c r="U514" i="10"/>
  <c r="X514" i="10"/>
  <c r="AA514" i="10"/>
  <c r="N515" i="10"/>
  <c r="O515" i="10"/>
  <c r="P515" i="10"/>
  <c r="Q515" i="10"/>
  <c r="R515" i="10"/>
  <c r="S515" i="10"/>
  <c r="T515" i="10"/>
  <c r="U515" i="10"/>
  <c r="X515" i="10"/>
  <c r="AA515" i="10"/>
  <c r="A522" i="10"/>
  <c r="C522" i="10"/>
  <c r="U522" i="10" s="1"/>
  <c r="L522" i="10"/>
  <c r="A523" i="10"/>
  <c r="C523" i="10"/>
  <c r="L523" i="10"/>
  <c r="A524" i="10"/>
  <c r="C524" i="10"/>
  <c r="U524" i="10" s="1"/>
  <c r="L524" i="10"/>
  <c r="A525" i="10"/>
  <c r="C525" i="10"/>
  <c r="L525" i="10"/>
  <c r="A526" i="10"/>
  <c r="C526" i="10"/>
  <c r="R526" i="10" s="1"/>
  <c r="L526" i="10"/>
  <c r="A527" i="10"/>
  <c r="C527" i="10"/>
  <c r="L527" i="10"/>
  <c r="A528" i="10"/>
  <c r="C528" i="10"/>
  <c r="T528" i="10" s="1"/>
  <c r="L528" i="10"/>
  <c r="A529" i="10"/>
  <c r="C529" i="10"/>
  <c r="S529" i="10"/>
  <c r="L529" i="10"/>
  <c r="A530" i="10"/>
  <c r="C530" i="10"/>
  <c r="N530" i="10" s="1"/>
  <c r="L530" i="10"/>
  <c r="A531" i="10"/>
  <c r="C531" i="10"/>
  <c r="Q531" i="10" s="1"/>
  <c r="T531" i="10"/>
  <c r="L531" i="10"/>
  <c r="A532" i="10"/>
  <c r="C532" i="10"/>
  <c r="L532" i="10"/>
  <c r="A533" i="10"/>
  <c r="C533" i="10"/>
  <c r="T533" i="10" s="1"/>
  <c r="L533" i="10"/>
  <c r="N542" i="10"/>
  <c r="W542" i="10" s="1"/>
  <c r="O542" i="10"/>
  <c r="P542" i="10"/>
  <c r="Q542" i="10"/>
  <c r="R542" i="10"/>
  <c r="S542" i="10"/>
  <c r="T542" i="10"/>
  <c r="U542" i="10"/>
  <c r="X542" i="10"/>
  <c r="AA542" i="10"/>
  <c r="N543" i="10"/>
  <c r="O543" i="10"/>
  <c r="P543" i="10"/>
  <c r="Q543" i="10"/>
  <c r="R543" i="10"/>
  <c r="S543" i="10"/>
  <c r="T543" i="10"/>
  <c r="U543" i="10"/>
  <c r="X543" i="10"/>
  <c r="AA543" i="10"/>
  <c r="N544" i="10"/>
  <c r="O544" i="10"/>
  <c r="P544" i="10"/>
  <c r="Q544" i="10"/>
  <c r="R544" i="10"/>
  <c r="W544" i="10" s="1"/>
  <c r="V544" i="10" s="1"/>
  <c r="S544" i="10"/>
  <c r="T544" i="10"/>
  <c r="U544" i="10"/>
  <c r="X544" i="10"/>
  <c r="AA544" i="10"/>
  <c r="N545" i="10"/>
  <c r="O545" i="10"/>
  <c r="P545" i="10"/>
  <c r="Q545" i="10"/>
  <c r="R545" i="10"/>
  <c r="S545" i="10"/>
  <c r="T545" i="10"/>
  <c r="U545" i="10"/>
  <c r="X545" i="10"/>
  <c r="AA545" i="10"/>
  <c r="N546" i="10"/>
  <c r="O546" i="10"/>
  <c r="P546" i="10"/>
  <c r="Q546" i="10"/>
  <c r="R546" i="10"/>
  <c r="S546" i="10"/>
  <c r="T546" i="10"/>
  <c r="U546" i="10"/>
  <c r="X546" i="10"/>
  <c r="X577" i="10" s="1"/>
  <c r="AA546" i="10"/>
  <c r="N547" i="10"/>
  <c r="O547" i="10"/>
  <c r="P547" i="10"/>
  <c r="Q547" i="10"/>
  <c r="R547" i="10"/>
  <c r="S547" i="10"/>
  <c r="T547" i="10"/>
  <c r="U547" i="10"/>
  <c r="X547" i="10"/>
  <c r="AA547" i="10"/>
  <c r="N548" i="10"/>
  <c r="O548" i="10"/>
  <c r="P548" i="10"/>
  <c r="Q548" i="10"/>
  <c r="R548" i="10"/>
  <c r="S548" i="10"/>
  <c r="T548" i="10"/>
  <c r="U548" i="10"/>
  <c r="X548" i="10"/>
  <c r="AA548" i="10"/>
  <c r="N549" i="10"/>
  <c r="O549" i="10"/>
  <c r="F577" i="10" s="1"/>
  <c r="P549" i="10"/>
  <c r="G577" i="10" s="1"/>
  <c r="Q549" i="10"/>
  <c r="R549" i="10"/>
  <c r="S549" i="10"/>
  <c r="T549" i="10"/>
  <c r="U549" i="10"/>
  <c r="X549" i="10"/>
  <c r="AA549" i="10"/>
  <c r="N550" i="10"/>
  <c r="O550" i="10"/>
  <c r="P550" i="10"/>
  <c r="Q550" i="10"/>
  <c r="R550" i="10"/>
  <c r="S550" i="10"/>
  <c r="T550" i="10"/>
  <c r="U550" i="10"/>
  <c r="X550" i="10"/>
  <c r="AA550" i="10"/>
  <c r="N551" i="10"/>
  <c r="O551" i="10"/>
  <c r="P551" i="10"/>
  <c r="Q551" i="10"/>
  <c r="R551" i="10"/>
  <c r="S551" i="10"/>
  <c r="J577" i="10" s="1"/>
  <c r="T551" i="10"/>
  <c r="U551" i="10"/>
  <c r="X551" i="10"/>
  <c r="AA551" i="10"/>
  <c r="N552" i="10"/>
  <c r="O552" i="10"/>
  <c r="P552" i="10"/>
  <c r="Q552" i="10"/>
  <c r="R552" i="10"/>
  <c r="S552" i="10"/>
  <c r="T552" i="10"/>
  <c r="U552" i="10"/>
  <c r="X552" i="10"/>
  <c r="AA552" i="10"/>
  <c r="N553" i="10"/>
  <c r="O553" i="10"/>
  <c r="P553" i="10"/>
  <c r="Q553" i="10"/>
  <c r="R553" i="10"/>
  <c r="S553" i="10"/>
  <c r="T553" i="10"/>
  <c r="U553" i="10"/>
  <c r="X553" i="10"/>
  <c r="AA553" i="10"/>
  <c r="N554" i="10"/>
  <c r="O554" i="10"/>
  <c r="P554" i="10"/>
  <c r="Q554" i="10"/>
  <c r="R554" i="10"/>
  <c r="S554" i="10"/>
  <c r="T554" i="10"/>
  <c r="U554" i="10"/>
  <c r="X554" i="10"/>
  <c r="AA554" i="10"/>
  <c r="N555" i="10"/>
  <c r="O555" i="10"/>
  <c r="P555" i="10"/>
  <c r="Q555" i="10"/>
  <c r="R555" i="10"/>
  <c r="S555" i="10"/>
  <c r="T555" i="10"/>
  <c r="U555" i="10"/>
  <c r="X555" i="10"/>
  <c r="AA555" i="10"/>
  <c r="N556" i="10"/>
  <c r="O556" i="10"/>
  <c r="P556" i="10"/>
  <c r="W556" i="10" s="1"/>
  <c r="V556" i="10" s="1"/>
  <c r="Q556" i="10"/>
  <c r="R556" i="10"/>
  <c r="S556" i="10"/>
  <c r="T556" i="10"/>
  <c r="U556" i="10"/>
  <c r="X556" i="10"/>
  <c r="AA556" i="10"/>
  <c r="N557" i="10"/>
  <c r="O557" i="10"/>
  <c r="P557" i="10"/>
  <c r="Q557" i="10"/>
  <c r="R557" i="10"/>
  <c r="S557" i="10"/>
  <c r="T557" i="10"/>
  <c r="U557" i="10"/>
  <c r="X557" i="10"/>
  <c r="AA557" i="10"/>
  <c r="N558" i="10"/>
  <c r="O558" i="10"/>
  <c r="P558" i="10"/>
  <c r="Q558" i="10"/>
  <c r="R558" i="10"/>
  <c r="S558" i="10"/>
  <c r="T558" i="10"/>
  <c r="W558" i="10" s="1"/>
  <c r="V558" i="10" s="1"/>
  <c r="U558" i="10"/>
  <c r="X558" i="10"/>
  <c r="AA558" i="10"/>
  <c r="N559" i="10"/>
  <c r="O559" i="10"/>
  <c r="P559" i="10"/>
  <c r="Q559" i="10"/>
  <c r="R559" i="10"/>
  <c r="S559" i="10"/>
  <c r="T559" i="10"/>
  <c r="U559" i="10"/>
  <c r="X559" i="10"/>
  <c r="AA559" i="10"/>
  <c r="N560" i="10"/>
  <c r="O560" i="10"/>
  <c r="P560" i="10"/>
  <c r="Q560" i="10"/>
  <c r="R560" i="10"/>
  <c r="S560" i="10"/>
  <c r="T560" i="10"/>
  <c r="U560" i="10"/>
  <c r="X560" i="10"/>
  <c r="AA560" i="10"/>
  <c r="N561" i="10"/>
  <c r="W561" i="10" s="1"/>
  <c r="V561" i="10" s="1"/>
  <c r="O561" i="10"/>
  <c r="P561" i="10"/>
  <c r="Q561" i="10"/>
  <c r="R561" i="10"/>
  <c r="S561" i="10"/>
  <c r="T561" i="10"/>
  <c r="U561" i="10"/>
  <c r="X561" i="10"/>
  <c r="AA561" i="10"/>
  <c r="N562" i="10"/>
  <c r="O562" i="10"/>
  <c r="P562" i="10"/>
  <c r="Q562" i="10"/>
  <c r="R562" i="10"/>
  <c r="S562" i="10"/>
  <c r="T562" i="10"/>
  <c r="U562" i="10"/>
  <c r="X562" i="10"/>
  <c r="AA562" i="10"/>
  <c r="N563" i="10"/>
  <c r="O563" i="10"/>
  <c r="P563" i="10"/>
  <c r="Q563" i="10"/>
  <c r="R563" i="10"/>
  <c r="W563" i="10" s="1"/>
  <c r="V563" i="10" s="1"/>
  <c r="S563" i="10"/>
  <c r="T563" i="10"/>
  <c r="U563" i="10"/>
  <c r="X563" i="10"/>
  <c r="AA563" i="10"/>
  <c r="N564" i="10"/>
  <c r="O564" i="10"/>
  <c r="P564" i="10"/>
  <c r="Q564" i="10"/>
  <c r="R564" i="10"/>
  <c r="S564" i="10"/>
  <c r="T564" i="10"/>
  <c r="U564" i="10"/>
  <c r="X564" i="10"/>
  <c r="AA564" i="10"/>
  <c r="N565" i="10"/>
  <c r="O565" i="10"/>
  <c r="P565" i="10"/>
  <c r="Q565" i="10"/>
  <c r="R565" i="10"/>
  <c r="S565" i="10"/>
  <c r="T565" i="10"/>
  <c r="U565" i="10"/>
  <c r="X565" i="10"/>
  <c r="AA565" i="10"/>
  <c r="N566" i="10"/>
  <c r="O566" i="10"/>
  <c r="P566" i="10"/>
  <c r="Q566" i="10"/>
  <c r="R566" i="10"/>
  <c r="S566" i="10"/>
  <c r="T566" i="10"/>
  <c r="U566" i="10"/>
  <c r="X566" i="10"/>
  <c r="AA566" i="10"/>
  <c r="N567" i="10"/>
  <c r="O567" i="10"/>
  <c r="P567" i="10"/>
  <c r="Q567" i="10"/>
  <c r="R567" i="10"/>
  <c r="S567" i="10"/>
  <c r="T567" i="10"/>
  <c r="U567" i="10"/>
  <c r="X567" i="10"/>
  <c r="AA567" i="10"/>
  <c r="N568" i="10"/>
  <c r="O568" i="10"/>
  <c r="P568" i="10"/>
  <c r="Q568" i="10"/>
  <c r="R568" i="10"/>
  <c r="S568" i="10"/>
  <c r="T568" i="10"/>
  <c r="U568" i="10"/>
  <c r="X568" i="10"/>
  <c r="AA568" i="10"/>
  <c r="N569" i="10"/>
  <c r="O569" i="10"/>
  <c r="P569" i="10"/>
  <c r="Q569" i="10"/>
  <c r="R569" i="10"/>
  <c r="S569" i="10"/>
  <c r="T569" i="10"/>
  <c r="U569" i="10"/>
  <c r="X569" i="10"/>
  <c r="AA569" i="10"/>
  <c r="N570" i="10"/>
  <c r="O570" i="10"/>
  <c r="P570" i="10"/>
  <c r="Q570" i="10"/>
  <c r="R570" i="10"/>
  <c r="S570" i="10"/>
  <c r="T570" i="10"/>
  <c r="W570" i="10" s="1"/>
  <c r="V570" i="10" s="1"/>
  <c r="U570" i="10"/>
  <c r="X570" i="10"/>
  <c r="AA570" i="10"/>
  <c r="N571" i="10"/>
  <c r="O571" i="10"/>
  <c r="P571" i="10"/>
  <c r="Q571" i="10"/>
  <c r="R571" i="10"/>
  <c r="S571" i="10"/>
  <c r="W571" i="10" s="1"/>
  <c r="V571" i="10" s="1"/>
  <c r="T571" i="10"/>
  <c r="U571" i="10"/>
  <c r="X571" i="10"/>
  <c r="AA571" i="10"/>
  <c r="N572" i="10"/>
  <c r="O572" i="10"/>
  <c r="P572" i="10"/>
  <c r="Q572" i="10"/>
  <c r="R572" i="10"/>
  <c r="S572" i="10"/>
  <c r="T572" i="10"/>
  <c r="U572" i="10"/>
  <c r="X572" i="10"/>
  <c r="AA572" i="10"/>
  <c r="N573" i="10"/>
  <c r="W573" i="10" s="1"/>
  <c r="V573" i="10" s="1"/>
  <c r="O573" i="10"/>
  <c r="P573" i="10"/>
  <c r="Q573" i="10"/>
  <c r="R573" i="10"/>
  <c r="S573" i="10"/>
  <c r="T573" i="10"/>
  <c r="U573" i="10"/>
  <c r="X573" i="10"/>
  <c r="AA573" i="10"/>
  <c r="N574" i="10"/>
  <c r="O574" i="10"/>
  <c r="P574" i="10"/>
  <c r="Q574" i="10"/>
  <c r="R574" i="10"/>
  <c r="S574" i="10"/>
  <c r="T574" i="10"/>
  <c r="U574" i="10"/>
  <c r="X574" i="10"/>
  <c r="AA574" i="10"/>
  <c r="N575" i="10"/>
  <c r="O575" i="10"/>
  <c r="P575" i="10"/>
  <c r="Q575" i="10"/>
  <c r="R575" i="10"/>
  <c r="W575" i="10" s="1"/>
  <c r="V575" i="10" s="1"/>
  <c r="S575" i="10"/>
  <c r="T575" i="10"/>
  <c r="U575" i="10"/>
  <c r="X575" i="10"/>
  <c r="AA575" i="10"/>
  <c r="N576" i="10"/>
  <c r="O576" i="10"/>
  <c r="P576" i="10"/>
  <c r="Q576" i="10"/>
  <c r="W576" i="10" s="1"/>
  <c r="V576" i="10" s="1"/>
  <c r="R576" i="10"/>
  <c r="S576" i="10"/>
  <c r="T576" i="10"/>
  <c r="U576" i="10"/>
  <c r="X576" i="10"/>
  <c r="AA576" i="10"/>
  <c r="O616" i="10"/>
  <c r="P617" i="10"/>
  <c r="O617" i="10"/>
  <c r="P621" i="10"/>
  <c r="Z621" i="10" s="1"/>
  <c r="Q621" i="10"/>
  <c r="O622" i="10"/>
  <c r="P622" i="10"/>
  <c r="Q622" i="10"/>
  <c r="AA622" i="10" s="1"/>
  <c r="O623" i="10"/>
  <c r="R623" i="10" s="1"/>
  <c r="R626" i="10" s="1"/>
  <c r="R628" i="10" s="1"/>
  <c r="P623" i="10"/>
  <c r="Q623" i="10"/>
  <c r="O624" i="10"/>
  <c r="P624" i="10"/>
  <c r="Q624" i="10"/>
  <c r="O625" i="10"/>
  <c r="P625" i="10"/>
  <c r="Q625" i="10"/>
  <c r="AT650" i="10"/>
  <c r="AT652" i="10" s="1"/>
  <c r="L657" i="10"/>
  <c r="L670" i="10"/>
  <c r="E682" i="10"/>
  <c r="F682" i="10"/>
  <c r="L694" i="10"/>
  <c r="AR770" i="10"/>
  <c r="AR773" i="10" s="1"/>
  <c r="AR782" i="10" s="1"/>
  <c r="AR772" i="10" s="1"/>
  <c r="AR784" i="10" s="1"/>
  <c r="K838" i="10"/>
  <c r="K839" i="10"/>
  <c r="K843" i="10" s="1"/>
  <c r="K858" i="10"/>
  <c r="K862" i="10"/>
  <c r="J888" i="10"/>
  <c r="J887" i="10" s="1"/>
  <c r="J889" i="10"/>
  <c r="K897" i="10"/>
  <c r="K899" i="10"/>
  <c r="A905" i="10"/>
  <c r="A906" i="10"/>
  <c r="B905" i="10"/>
  <c r="B906" i="10"/>
  <c r="B908" i="10" s="1"/>
  <c r="C905" i="10"/>
  <c r="C906" i="10" s="1"/>
  <c r="C908" i="10" s="1"/>
  <c r="D905" i="10"/>
  <c r="D906" i="10"/>
  <c r="E905" i="10"/>
  <c r="E906" i="10" s="1"/>
  <c r="F905" i="10"/>
  <c r="F906" i="10" s="1"/>
  <c r="G905" i="10"/>
  <c r="G906" i="10"/>
  <c r="H905" i="10"/>
  <c r="H906" i="10"/>
  <c r="I905" i="10"/>
  <c r="I906" i="10"/>
  <c r="J905" i="10"/>
  <c r="J906" i="10" s="1"/>
  <c r="J908" i="10" s="1"/>
  <c r="K905" i="10"/>
  <c r="K906" i="10"/>
  <c r="L905" i="10"/>
  <c r="L906" i="10"/>
  <c r="J934" i="10"/>
  <c r="A943" i="10"/>
  <c r="B943" i="10"/>
  <c r="C943" i="10"/>
  <c r="D943" i="10"/>
  <c r="E943" i="10"/>
  <c r="F943" i="10"/>
  <c r="G943" i="10"/>
  <c r="H943" i="10"/>
  <c r="I943" i="10"/>
  <c r="J943" i="10"/>
  <c r="K943" i="10"/>
  <c r="L943" i="10"/>
  <c r="O1062" i="10"/>
  <c r="O1063" i="10"/>
  <c r="O1064" i="10"/>
  <c r="O1065" i="10"/>
  <c r="O1066" i="10"/>
  <c r="O1067" i="10"/>
  <c r="O1072" i="10"/>
  <c r="O1073" i="10"/>
  <c r="O1075" i="10"/>
  <c r="O1076" i="10"/>
  <c r="P1079" i="10"/>
  <c r="P1080" i="10"/>
  <c r="P1088" i="10" s="1"/>
  <c r="P1087" i="10"/>
  <c r="L1088" i="10"/>
  <c r="L1089" i="10"/>
  <c r="P1089" i="10" s="1"/>
  <c r="L1099" i="10"/>
  <c r="P1099" i="10" s="1"/>
  <c r="P1103" i="10"/>
  <c r="P1105" i="10"/>
  <c r="P1123" i="10"/>
  <c r="P1124" i="10"/>
  <c r="P1125" i="10"/>
  <c r="P1126" i="10"/>
  <c r="P1127" i="10"/>
  <c r="P1128" i="10"/>
  <c r="P1129" i="10"/>
  <c r="P1139" i="10"/>
  <c r="P1140" i="10"/>
  <c r="P1141" i="10"/>
  <c r="P1142" i="10"/>
  <c r="P1143" i="10"/>
  <c r="P1144" i="10"/>
  <c r="P1145" i="10"/>
  <c r="P1155" i="10"/>
  <c r="P1156" i="10"/>
  <c r="P1157" i="10"/>
  <c r="P1158" i="10"/>
  <c r="P1159" i="10"/>
  <c r="J1160" i="10" s="1"/>
  <c r="P1173" i="10"/>
  <c r="P1174" i="10"/>
  <c r="P1175" i="10"/>
  <c r="P1176" i="10"/>
  <c r="P1177" i="10"/>
  <c r="P1183" i="10"/>
  <c r="S1183" i="10" s="1"/>
  <c r="P1187" i="10"/>
  <c r="P1188" i="10"/>
  <c r="P1189" i="10"/>
  <c r="P1190" i="10"/>
  <c r="P1191" i="10"/>
  <c r="P1201" i="10"/>
  <c r="P1202" i="10"/>
  <c r="P1203" i="10"/>
  <c r="P1204" i="10"/>
  <c r="P1205" i="10"/>
  <c r="P1206" i="10"/>
  <c r="P1207" i="10"/>
  <c r="P1217" i="10"/>
  <c r="P1218" i="10"/>
  <c r="P1219" i="10"/>
  <c r="P1220" i="10"/>
  <c r="P1221" i="10"/>
  <c r="P1222" i="10"/>
  <c r="P1223" i="10"/>
  <c r="L1237" i="10"/>
  <c r="L1240" i="10"/>
  <c r="P1274" i="10"/>
  <c r="P1275" i="10"/>
  <c r="P1276" i="10"/>
  <c r="P1277" i="10"/>
  <c r="P1278" i="10"/>
  <c r="J1280" i="10" s="1"/>
  <c r="L1309" i="10" s="1"/>
  <c r="P1279" i="10"/>
  <c r="P1285" i="10"/>
  <c r="J1290" i="10" s="1"/>
  <c r="L1315" i="10" s="1"/>
  <c r="P1315" i="10" s="1"/>
  <c r="P1286" i="10"/>
  <c r="P1287" i="10"/>
  <c r="P1288" i="10"/>
  <c r="P1289" i="10"/>
  <c r="P1295" i="10"/>
  <c r="P1296" i="10"/>
  <c r="P1297" i="10"/>
  <c r="P1298" i="10"/>
  <c r="P1299" i="10"/>
  <c r="P1300" i="10"/>
  <c r="P1301" i="10"/>
  <c r="P1311" i="10"/>
  <c r="L1313" i="10"/>
  <c r="P1313" i="10"/>
  <c r="P1328" i="10"/>
  <c r="P1329" i="10"/>
  <c r="P1330" i="10"/>
  <c r="P1331" i="10"/>
  <c r="P1332" i="10"/>
  <c r="P1333" i="10"/>
  <c r="P1334" i="10"/>
  <c r="P1340" i="10"/>
  <c r="P1341" i="10"/>
  <c r="P1342" i="10"/>
  <c r="P1343" i="10"/>
  <c r="P1344" i="10"/>
  <c r="P1345" i="10"/>
  <c r="L1352" i="10"/>
  <c r="P1352" i="10"/>
  <c r="P1355" i="10" s="1"/>
  <c r="B1410" i="10"/>
  <c r="G1410" i="10"/>
  <c r="I1410" i="10"/>
  <c r="K1410" i="10"/>
  <c r="A1410" i="10"/>
  <c r="A1412" i="10" s="1"/>
  <c r="A1118" i="10" s="1"/>
  <c r="P1411" i="10"/>
  <c r="B1412" i="10"/>
  <c r="G1412" i="10"/>
  <c r="I1412" i="10"/>
  <c r="K1412" i="10"/>
  <c r="P1413" i="10"/>
  <c r="B1414" i="10"/>
  <c r="G1414" i="10"/>
  <c r="I1414" i="10"/>
  <c r="K1414" i="10"/>
  <c r="P1415" i="10"/>
  <c r="G1416" i="10"/>
  <c r="I1416" i="10"/>
  <c r="P1417" i="10"/>
  <c r="G1418" i="10"/>
  <c r="I1418" i="10"/>
  <c r="P1419" i="10"/>
  <c r="S1419" i="10" s="1"/>
  <c r="G1420" i="10"/>
  <c r="I1420" i="10"/>
  <c r="K1420" i="10"/>
  <c r="P1421" i="10"/>
  <c r="S1421" i="10"/>
  <c r="B1422" i="10"/>
  <c r="G1422" i="10"/>
  <c r="I1422" i="10"/>
  <c r="P1423" i="10"/>
  <c r="B1424" i="10"/>
  <c r="G1424" i="10"/>
  <c r="I1424" i="10"/>
  <c r="K1424" i="10"/>
  <c r="P1425" i="10"/>
  <c r="B1426" i="10"/>
  <c r="G1426" i="10"/>
  <c r="I1426" i="10"/>
  <c r="K1426" i="10"/>
  <c r="P1427" i="10"/>
  <c r="S1427" i="10"/>
  <c r="T1427" i="10" s="1"/>
  <c r="D1426" i="10" s="1"/>
  <c r="B1428" i="10"/>
  <c r="G1428" i="10"/>
  <c r="I1428" i="10"/>
  <c r="K1428" i="10"/>
  <c r="P1429" i="10"/>
  <c r="G1430" i="10"/>
  <c r="I1430" i="10"/>
  <c r="P1431" i="10"/>
  <c r="S1431" i="10" s="1"/>
  <c r="K1468" i="10"/>
  <c r="K1469" i="10" s="1"/>
  <c r="K1470" i="10"/>
  <c r="I1485" i="10"/>
  <c r="I1503" i="10"/>
  <c r="F1512" i="10"/>
  <c r="G1512" i="10"/>
  <c r="F1513" i="10"/>
  <c r="G1513" i="10"/>
  <c r="E1514" i="10"/>
  <c r="F1514" i="10"/>
  <c r="G1514" i="10"/>
  <c r="D1515" i="10"/>
  <c r="F1515" i="10"/>
  <c r="G1515" i="10"/>
  <c r="D1516" i="10"/>
  <c r="F1516" i="10"/>
  <c r="G1516" i="10"/>
  <c r="E1517" i="10"/>
  <c r="F1517" i="10"/>
  <c r="G1517" i="10"/>
  <c r="E1518" i="10"/>
  <c r="F1518" i="10"/>
  <c r="G1518" i="10"/>
  <c r="E1519" i="10"/>
  <c r="F1519" i="10"/>
  <c r="G1519" i="10"/>
  <c r="F1520" i="10"/>
  <c r="G1520" i="10"/>
  <c r="E1521" i="10"/>
  <c r="F1521" i="10"/>
  <c r="E1522" i="10"/>
  <c r="F1522" i="10"/>
  <c r="E1523" i="10"/>
  <c r="F1523" i="10"/>
  <c r="G1574" i="10"/>
  <c r="D1591" i="10"/>
  <c r="D1592" i="10"/>
  <c r="I1592" i="10"/>
  <c r="D1593" i="10"/>
  <c r="I1593" i="10"/>
  <c r="D1594" i="10"/>
  <c r="I1594" i="10"/>
  <c r="D1595" i="10"/>
  <c r="I1595" i="10"/>
  <c r="D1596" i="10"/>
  <c r="G1482" i="10"/>
  <c r="I1482" i="10"/>
  <c r="J216" i="10"/>
  <c r="O180" i="12"/>
  <c r="O171" i="12"/>
  <c r="O174" i="12"/>
  <c r="O175" i="12" s="1"/>
  <c r="R141" i="12"/>
  <c r="F1021" i="10"/>
  <c r="I1570" i="10"/>
  <c r="Y203" i="10"/>
  <c r="AI228" i="10"/>
  <c r="J437" i="10"/>
  <c r="Q1569" i="10"/>
  <c r="Q1566" i="10"/>
  <c r="Q1567" i="10"/>
  <c r="Q1568" i="10"/>
  <c r="O1569" i="10"/>
  <c r="R1569" i="10"/>
  <c r="O1567" i="10"/>
  <c r="R1567" i="10" s="1"/>
  <c r="O1568" i="10"/>
  <c r="O1566" i="10"/>
  <c r="R1566" i="10" s="1"/>
  <c r="O1572" i="10"/>
  <c r="K1574" i="10"/>
  <c r="K861" i="10"/>
  <c r="T238" i="10"/>
  <c r="X230" i="10"/>
  <c r="AA210" i="10"/>
  <c r="Y204" i="10"/>
  <c r="L984" i="10"/>
  <c r="S461" i="10"/>
  <c r="U203" i="10"/>
  <c r="Z239" i="10"/>
  <c r="AJ228" i="10"/>
  <c r="AK202" i="10"/>
  <c r="T32" i="10"/>
  <c r="W267" i="10"/>
  <c r="AD233" i="10"/>
  <c r="AD232" i="10"/>
  <c r="AD235" i="10"/>
  <c r="AJ238" i="10"/>
  <c r="V235" i="10"/>
  <c r="Q233" i="10"/>
  <c r="T210" i="10"/>
  <c r="P45" i="10"/>
  <c r="S47" i="10"/>
  <c r="U45" i="10"/>
  <c r="R47" i="10"/>
  <c r="T45" i="10"/>
  <c r="Q47" i="10"/>
  <c r="S45" i="10"/>
  <c r="P47" i="10"/>
  <c r="R45" i="10"/>
  <c r="O47" i="10"/>
  <c r="Q45" i="10"/>
  <c r="S43" i="10"/>
  <c r="R43" i="10"/>
  <c r="O45" i="10"/>
  <c r="Q43" i="10"/>
  <c r="Q46" i="10"/>
  <c r="V273" i="10"/>
  <c r="AA273" i="10"/>
  <c r="Q255" i="10"/>
  <c r="U213" i="10"/>
  <c r="Y213" i="10"/>
  <c r="V279" i="10"/>
  <c r="V331" i="10" s="1"/>
  <c r="V315" i="10" s="1"/>
  <c r="AK213" i="10"/>
  <c r="AJ273" i="10"/>
  <c r="W203" i="10"/>
  <c r="W202" i="10"/>
  <c r="T47" i="10"/>
  <c r="W212" i="10"/>
  <c r="U202" i="10"/>
  <c r="AD279" i="10"/>
  <c r="Y238" i="10"/>
  <c r="AH234" i="10"/>
  <c r="AH236" i="10"/>
  <c r="AG204" i="10"/>
  <c r="AF230" i="10"/>
  <c r="AG255" i="10"/>
  <c r="X255" i="10"/>
  <c r="AF239" i="10"/>
  <c r="O212" i="10"/>
  <c r="Y273" i="10"/>
  <c r="T255" i="10"/>
  <c r="T261" i="10"/>
  <c r="Z228" i="10"/>
  <c r="U204" i="10"/>
  <c r="U47" i="10"/>
  <c r="AI236" i="10"/>
  <c r="AL210" i="10"/>
  <c r="AD273" i="10"/>
  <c r="AL212" i="10"/>
  <c r="W239" i="10"/>
  <c r="AK261" i="10"/>
  <c r="P41" i="10"/>
  <c r="AG213" i="10"/>
  <c r="R229" i="10"/>
  <c r="R230" i="10"/>
  <c r="R212" i="10"/>
  <c r="O235" i="10"/>
  <c r="O232" i="10"/>
  <c r="O236" i="10"/>
  <c r="O234" i="10"/>
  <c r="V212" i="10"/>
  <c r="D613" i="10"/>
  <c r="X209" i="10"/>
  <c r="N48" i="10"/>
  <c r="R235" i="10"/>
  <c r="R233" i="10"/>
  <c r="R232" i="10"/>
  <c r="R236" i="10"/>
  <c r="AF232" i="10"/>
  <c r="AF235" i="10"/>
  <c r="P239" i="10"/>
  <c r="P238" i="10"/>
  <c r="P230" i="10"/>
  <c r="W234" i="10"/>
  <c r="W233" i="10"/>
  <c r="W236" i="10"/>
  <c r="W235" i="10"/>
  <c r="W232" i="10"/>
  <c r="L1010" i="10"/>
  <c r="R464" i="10"/>
  <c r="R463" i="10"/>
  <c r="Q463" i="10"/>
  <c r="T463" i="10"/>
  <c r="U463" i="10"/>
  <c r="O287" i="10"/>
  <c r="S35" i="10"/>
  <c r="S34" i="10"/>
  <c r="O34" i="10"/>
  <c r="T526" i="10"/>
  <c r="P461" i="10"/>
  <c r="Q461" i="10"/>
  <c r="U296" i="10"/>
  <c r="U285" i="10"/>
  <c r="U295" i="10"/>
  <c r="U299" i="10"/>
  <c r="H333" i="10"/>
  <c r="G333" i="10"/>
  <c r="U298" i="10" s="1"/>
  <c r="U300" i="10"/>
  <c r="T285" i="10"/>
  <c r="V285" i="10"/>
  <c r="K208" i="10"/>
  <c r="AJ973" i="10"/>
  <c r="AC235" i="10"/>
  <c r="AC236" i="10"/>
  <c r="AC232" i="10"/>
  <c r="V239" i="10"/>
  <c r="AK229" i="10"/>
  <c r="AA234" i="10"/>
  <c r="AA232" i="10"/>
  <c r="R36" i="10"/>
  <c r="U36" i="10"/>
  <c r="Q36" i="10"/>
  <c r="O36" i="10"/>
  <c r="S36" i="10"/>
  <c r="P36" i="10"/>
  <c r="T36" i="10"/>
  <c r="N36" i="10"/>
  <c r="P232" i="10"/>
  <c r="P236" i="10"/>
  <c r="P234" i="10"/>
  <c r="P233" i="10"/>
  <c r="P235" i="10"/>
  <c r="T233" i="10"/>
  <c r="Z234" i="10"/>
  <c r="AI234" i="10"/>
  <c r="R527" i="10"/>
  <c r="AE238" i="10"/>
  <c r="T228" i="10"/>
  <c r="S228" i="10"/>
  <c r="Y261" i="10"/>
  <c r="AA235" i="10"/>
  <c r="AI267" i="10"/>
  <c r="AB255" i="10"/>
  <c r="Q212" i="10"/>
  <c r="Q472" i="10"/>
  <c r="K330" i="10"/>
  <c r="AI235" i="10"/>
  <c r="S229" i="10"/>
  <c r="AC273" i="10"/>
  <c r="AC331" i="10" s="1"/>
  <c r="Q319" i="10" s="1"/>
  <c r="AE229" i="10"/>
  <c r="R472" i="10"/>
  <c r="AB273" i="10"/>
  <c r="K373" i="10"/>
  <c r="AL238" i="10"/>
  <c r="AI232" i="10"/>
  <c r="X232" i="10"/>
  <c r="AP834" i="10"/>
  <c r="G778" i="10" s="1"/>
  <c r="W208" i="10"/>
  <c r="Z273" i="10"/>
  <c r="U212" i="10"/>
  <c r="U279" i="10"/>
  <c r="AF273" i="10"/>
  <c r="V255" i="10"/>
  <c r="Z238" i="10"/>
  <c r="T461" i="10"/>
  <c r="R238" i="10"/>
  <c r="U461" i="10"/>
  <c r="T213" i="10"/>
  <c r="AL273" i="10"/>
  <c r="AF261" i="10"/>
  <c r="AF238" i="10"/>
  <c r="U273" i="10"/>
  <c r="T232" i="10"/>
  <c r="AP848" i="10"/>
  <c r="H778" i="10" s="1"/>
  <c r="AE228" i="10"/>
  <c r="R255" i="10"/>
  <c r="X233" i="10"/>
  <c r="S230" i="10"/>
  <c r="AE267" i="10"/>
  <c r="Y621" i="10"/>
  <c r="N468" i="10"/>
  <c r="O463" i="10"/>
  <c r="V208" i="10"/>
  <c r="AC279" i="10"/>
  <c r="AC267" i="10"/>
  <c r="AD267" i="10"/>
  <c r="AJ236" i="10"/>
  <c r="R468" i="10"/>
  <c r="N463" i="10"/>
  <c r="AE234" i="10"/>
  <c r="AG203" i="10"/>
  <c r="Q533" i="10"/>
  <c r="Z229" i="10"/>
  <c r="AE236" i="10"/>
  <c r="X235" i="10"/>
  <c r="O202" i="10"/>
  <c r="Y625" i="10"/>
  <c r="AB625" i="10" s="1"/>
  <c r="Q213" i="10"/>
  <c r="W279" i="10"/>
  <c r="AE279" i="10"/>
  <c r="P279" i="10"/>
  <c r="Y279" i="10"/>
  <c r="O261" i="10"/>
  <c r="AJ230" i="10"/>
  <c r="V228" i="10"/>
  <c r="Z206" i="10"/>
  <c r="W622" i="10"/>
  <c r="X236" i="10"/>
  <c r="AE212" i="10"/>
  <c r="AL279" i="10"/>
  <c r="V261" i="10"/>
  <c r="AL261" i="10"/>
  <c r="U255" i="10"/>
  <c r="S468" i="10"/>
  <c r="S533" i="10"/>
  <c r="AC202" i="10"/>
  <c r="AE203" i="10"/>
  <c r="AI261" i="10"/>
  <c r="AB261" i="10"/>
  <c r="AH233" i="10"/>
  <c r="N533" i="10"/>
  <c r="S261" i="10"/>
  <c r="X228" i="10"/>
  <c r="W213" i="10"/>
  <c r="AE213" i="10"/>
  <c r="AH279" i="10"/>
  <c r="R261" i="10"/>
  <c r="P463" i="10"/>
  <c r="T462" i="10"/>
  <c r="AG261" i="10"/>
  <c r="Q238" i="10"/>
  <c r="AK204" i="10"/>
  <c r="AF279" i="10"/>
  <c r="Q279" i="10"/>
  <c r="X267" i="10"/>
  <c r="AD255" i="10"/>
  <c r="AC229" i="10"/>
  <c r="P297" i="10"/>
  <c r="Q297" i="10" s="1"/>
  <c r="Q39" i="10"/>
  <c r="U466" i="10"/>
  <c r="T466" i="10"/>
  <c r="P37" i="10"/>
  <c r="Y134" i="10"/>
  <c r="P529" i="10"/>
  <c r="S37" i="10"/>
  <c r="K327" i="10"/>
  <c r="N37" i="10"/>
  <c r="P471" i="10"/>
  <c r="R461" i="10"/>
  <c r="P466" i="10"/>
  <c r="S466" i="10"/>
  <c r="U293" i="10"/>
  <c r="V293" i="10" s="1"/>
  <c r="N466" i="10"/>
  <c r="K334" i="10"/>
  <c r="R471" i="10"/>
  <c r="T37" i="10"/>
  <c r="R39" i="10"/>
  <c r="T43" i="10"/>
  <c r="P470" i="10"/>
  <c r="P35" i="10"/>
  <c r="N470" i="10"/>
  <c r="T39" i="10"/>
  <c r="Q471" i="10"/>
  <c r="R37" i="10"/>
  <c r="Q528" i="10"/>
  <c r="P44" i="10"/>
  <c r="N528" i="10"/>
  <c r="N39" i="10"/>
  <c r="G1470" i="10"/>
  <c r="U523" i="10"/>
  <c r="S528" i="10"/>
  <c r="O43" i="10"/>
  <c r="Q44" i="10"/>
  <c r="N471" i="10"/>
  <c r="P39" i="10"/>
  <c r="U44" i="10"/>
  <c r="S471" i="10"/>
  <c r="S39" i="10"/>
  <c r="R531" i="10"/>
  <c r="P43" i="10"/>
  <c r="U43" i="10"/>
  <c r="T471" i="10"/>
  <c r="R35" i="10"/>
  <c r="T35" i="10"/>
  <c r="T42" i="10"/>
  <c r="O25" i="10"/>
  <c r="L426" i="10"/>
  <c r="K434" i="10" s="1"/>
  <c r="P412" i="10" s="1"/>
  <c r="T470" i="10"/>
  <c r="O35" i="10"/>
  <c r="R529" i="10"/>
  <c r="L329" i="10"/>
  <c r="N526" i="10"/>
  <c r="S526" i="10"/>
  <c r="Q229" i="10"/>
  <c r="Q228" i="10"/>
  <c r="Q230" i="10"/>
  <c r="V232" i="10"/>
  <c r="V236" i="10"/>
  <c r="V233" i="10"/>
  <c r="AK238" i="10"/>
  <c r="AK239" i="10"/>
  <c r="AK230" i="10"/>
  <c r="AK228" i="10"/>
  <c r="U239" i="10"/>
  <c r="AK236" i="10"/>
  <c r="AK232" i="10"/>
  <c r="U234" i="10"/>
  <c r="U235" i="10"/>
  <c r="U233" i="10"/>
  <c r="AB229" i="10"/>
  <c r="AB239" i="10"/>
  <c r="AB238" i="10"/>
  <c r="AB228" i="10"/>
  <c r="AB230" i="10"/>
  <c r="AI210" i="10"/>
  <c r="AJ233" i="10"/>
  <c r="AJ234" i="10"/>
  <c r="X290" i="10"/>
  <c r="J356" i="10"/>
  <c r="AC239" i="10"/>
  <c r="U230" i="10"/>
  <c r="U261" i="10"/>
  <c r="AA236" i="10"/>
  <c r="S203" i="10"/>
  <c r="S213" i="10"/>
  <c r="S212" i="10"/>
  <c r="S202" i="10"/>
  <c r="AI229" i="10"/>
  <c r="AI230" i="10"/>
  <c r="AI238" i="10"/>
  <c r="AA233" i="10"/>
  <c r="AC230" i="10"/>
  <c r="U228" i="10"/>
  <c r="P462" i="10"/>
  <c r="Y624" i="10"/>
  <c r="AB233" i="10"/>
  <c r="AC238" i="10"/>
  <c r="U229" i="10"/>
  <c r="O229" i="10"/>
  <c r="T529" i="10"/>
  <c r="U529" i="10"/>
  <c r="AD238" i="10"/>
  <c r="AD239" i="10"/>
  <c r="AD229" i="10"/>
  <c r="G682" i="10"/>
  <c r="H682" i="10" s="1"/>
  <c r="I682" i="10" s="1"/>
  <c r="J682" i="10" s="1"/>
  <c r="U462" i="10"/>
  <c r="N462" i="10"/>
  <c r="R462" i="10"/>
  <c r="O462" i="10"/>
  <c r="O289" i="10"/>
  <c r="V238" i="10"/>
  <c r="V230" i="10"/>
  <c r="AA202" i="10"/>
  <c r="AA212" i="10"/>
  <c r="AA204" i="10"/>
  <c r="AA203" i="10"/>
  <c r="V234" i="10"/>
  <c r="S233" i="10"/>
  <c r="S234" i="10"/>
  <c r="AH230" i="10"/>
  <c r="AH229" i="10"/>
  <c r="AH238" i="10"/>
  <c r="AH239" i="10"/>
  <c r="AH228" i="10"/>
  <c r="T229" i="10"/>
  <c r="T239" i="10"/>
  <c r="T230" i="10"/>
  <c r="AH206" i="10"/>
  <c r="R210" i="10"/>
  <c r="AI239" i="10"/>
  <c r="AB236" i="10"/>
  <c r="AI207" i="10"/>
  <c r="W510" i="10"/>
  <c r="V510" i="10" s="1"/>
  <c r="J292" i="10"/>
  <c r="AI255" i="10"/>
  <c r="AG228" i="10"/>
  <c r="AG229" i="10"/>
  <c r="AG230" i="10"/>
  <c r="V229" i="10"/>
  <c r="AJ235" i="10"/>
  <c r="N529" i="10"/>
  <c r="W360" i="10"/>
  <c r="Z235" i="10"/>
  <c r="Z236" i="10"/>
  <c r="M223" i="10"/>
  <c r="R625" i="10"/>
  <c r="AD236" i="10"/>
  <c r="AD234" i="10"/>
  <c r="AL232" i="10"/>
  <c r="AL236" i="10"/>
  <c r="AL235" i="10"/>
  <c r="AL233" i="10"/>
  <c r="AG232" i="10"/>
  <c r="AG233" i="10"/>
  <c r="Q525" i="10"/>
  <c r="P525" i="10"/>
  <c r="M318" i="10"/>
  <c r="AE208" i="10"/>
  <c r="P533" i="10"/>
  <c r="O533" i="10"/>
  <c r="R533" i="10"/>
  <c r="U533" i="10"/>
  <c r="AL267" i="10"/>
  <c r="S525" i="10"/>
  <c r="K318" i="10"/>
  <c r="O273" i="10"/>
  <c r="Q261" i="10"/>
  <c r="AF234" i="10"/>
  <c r="Q236" i="10"/>
  <c r="Q235" i="10"/>
  <c r="S1423" i="10"/>
  <c r="N527" i="10"/>
  <c r="S527" i="10"/>
  <c r="AA625" i="10"/>
  <c r="R279" i="10"/>
  <c r="AH232" i="10"/>
  <c r="AF255" i="10"/>
  <c r="X229" i="10"/>
  <c r="P530" i="10"/>
  <c r="AH273" i="10"/>
  <c r="AB234" i="10"/>
  <c r="AF228" i="10"/>
  <c r="AF229" i="10"/>
  <c r="O527" i="10"/>
  <c r="AE232" i="10"/>
  <c r="AL202" i="10"/>
  <c r="O471" i="10"/>
  <c r="Y239" i="10"/>
  <c r="W204" i="10"/>
  <c r="P209" i="10"/>
  <c r="X239" i="10"/>
  <c r="AC208" i="10"/>
  <c r="J371" i="10"/>
  <c r="J436" i="10"/>
  <c r="S1466" i="10" s="1"/>
  <c r="G336" i="10"/>
  <c r="W298" i="10"/>
  <c r="F333" i="10"/>
  <c r="R522" i="10"/>
  <c r="F349" i="10"/>
  <c r="J349" i="10" s="1"/>
  <c r="X283" i="10"/>
  <c r="D611" i="10"/>
  <c r="K161" i="10"/>
  <c r="N161" i="10"/>
  <c r="Q31" i="10"/>
  <c r="K374" i="10"/>
  <c r="S31" i="10"/>
  <c r="K372" i="10"/>
  <c r="G1445" i="10"/>
  <c r="F1596" i="10" s="1"/>
  <c r="J704" i="10"/>
  <c r="P31" i="10"/>
  <c r="O31" i="10"/>
  <c r="T31" i="10"/>
  <c r="T527" i="10"/>
  <c r="U41" i="10"/>
  <c r="O41" i="10"/>
  <c r="N41" i="10"/>
  <c r="R41" i="10"/>
  <c r="R49" i="10" s="1"/>
  <c r="T41" i="10"/>
  <c r="N34" i="10"/>
  <c r="T34" i="10"/>
  <c r="S32" i="10"/>
  <c r="R32" i="10"/>
  <c r="O529" i="10"/>
  <c r="K328" i="10"/>
  <c r="U470" i="10"/>
  <c r="M328" i="10"/>
  <c r="R470" i="10"/>
  <c r="X291" i="10"/>
  <c r="O470" i="10"/>
  <c r="M302" i="10"/>
  <c r="P531" i="10"/>
  <c r="Q527" i="10"/>
  <c r="L328" i="10"/>
  <c r="R40" i="10"/>
  <c r="O39" i="10"/>
  <c r="U33" i="10"/>
  <c r="P33" i="10"/>
  <c r="R33" i="10"/>
  <c r="L330" i="10"/>
  <c r="U34" i="10"/>
  <c r="U531" i="10"/>
  <c r="P32" i="10"/>
  <c r="N32" i="10"/>
  <c r="Q529" i="10"/>
  <c r="S41" i="10"/>
  <c r="R34" i="10"/>
  <c r="K92" i="10"/>
  <c r="U38" i="10"/>
  <c r="N38" i="10"/>
  <c r="P286" i="10"/>
  <c r="U525" i="10"/>
  <c r="T525" i="10"/>
  <c r="R525" i="10"/>
  <c r="O525" i="10"/>
  <c r="N525" i="10"/>
  <c r="R523" i="10"/>
  <c r="T523" i="10"/>
  <c r="P523" i="10"/>
  <c r="O292" i="10"/>
  <c r="M300" i="10"/>
  <c r="K450" i="10"/>
  <c r="P421" i="10"/>
  <c r="K173" i="10"/>
  <c r="L134" i="10"/>
  <c r="I134" i="10"/>
  <c r="H136" i="10"/>
  <c r="L427" i="10" s="1"/>
  <c r="K433" i="10" s="1"/>
  <c r="P411" i="10" s="1"/>
  <c r="P416" i="10" s="1"/>
  <c r="V137" i="10"/>
  <c r="X137" i="10" s="1"/>
  <c r="O33" i="10"/>
  <c r="S33" i="10"/>
  <c r="T33" i="10"/>
  <c r="N33" i="10"/>
  <c r="G8" i="10"/>
  <c r="H8" i="10" s="1"/>
  <c r="R31" i="10"/>
  <c r="N31" i="10"/>
  <c r="M297" i="10"/>
  <c r="J295" i="10"/>
  <c r="J302" i="10"/>
  <c r="L323" i="10"/>
  <c r="S530" i="10"/>
  <c r="P528" i="10"/>
  <c r="U528" i="10"/>
  <c r="O528" i="10"/>
  <c r="Q524" i="10"/>
  <c r="Q468" i="10"/>
  <c r="P468" i="10"/>
  <c r="T468" i="10"/>
  <c r="U468" i="10"/>
  <c r="O466" i="10"/>
  <c r="R466" i="10"/>
  <c r="Q466" i="10"/>
  <c r="Q464" i="10"/>
  <c r="O464" i="10"/>
  <c r="U464" i="10"/>
  <c r="U292" i="10"/>
  <c r="U294" i="10"/>
  <c r="J1077" i="10"/>
  <c r="L1082" i="10"/>
  <c r="AJ279" i="10"/>
  <c r="X279" i="10"/>
  <c r="T279" i="10"/>
  <c r="Y255" i="10"/>
  <c r="L235" i="10"/>
  <c r="T234" i="10"/>
  <c r="R234" i="10"/>
  <c r="AJ210" i="10"/>
  <c r="Y210" i="10"/>
  <c r="D92" i="10"/>
  <c r="V508" i="10"/>
  <c r="M324" i="10"/>
  <c r="AI279" i="10"/>
  <c r="AA279" i="10"/>
  <c r="AK279" i="10"/>
  <c r="AE273" i="10"/>
  <c r="W273" i="10"/>
  <c r="AH261" i="10"/>
  <c r="AC233" i="10"/>
  <c r="AI233" i="10"/>
  <c r="Z230" i="10"/>
  <c r="W229" i="10"/>
  <c r="W238" i="10"/>
  <c r="S239" i="10"/>
  <c r="S238" i="10"/>
  <c r="AL229" i="10"/>
  <c r="AJ229" i="10"/>
  <c r="Y622" i="10"/>
  <c r="AB622" i="10" s="1"/>
  <c r="AA228" i="10"/>
  <c r="Y229" i="10"/>
  <c r="T209" i="10"/>
  <c r="K1430" i="10"/>
  <c r="J450" i="10"/>
  <c r="S1473" i="10" s="1"/>
  <c r="S1425" i="10"/>
  <c r="T1425" i="10" s="1"/>
  <c r="D1424" i="10" s="1"/>
  <c r="S1417" i="10"/>
  <c r="T1417" i="10" s="1"/>
  <c r="D1416" i="10" s="1"/>
  <c r="S1415" i="10"/>
  <c r="T1415" i="10"/>
  <c r="D1414" i="10" s="1"/>
  <c r="R1568" i="10"/>
  <c r="AD261" i="10"/>
  <c r="X261" i="10"/>
  <c r="J1146" i="10"/>
  <c r="L1148" i="10"/>
  <c r="E1009" i="10" s="1"/>
  <c r="R228" i="10"/>
  <c r="R239" i="10"/>
  <c r="T202" i="10"/>
  <c r="T273" i="10"/>
  <c r="Q273" i="10"/>
  <c r="Q331" i="10" s="1"/>
  <c r="T267" i="10"/>
  <c r="Z261" i="10"/>
  <c r="AL234" i="10"/>
  <c r="AG234" i="10"/>
  <c r="Y233" i="10"/>
  <c r="AE239" i="10"/>
  <c r="AE202" i="10"/>
  <c r="L1011" i="10"/>
  <c r="R758" i="10"/>
  <c r="AF736" i="10"/>
  <c r="AA267" i="10"/>
  <c r="AL255" i="10"/>
  <c r="AL331" i="10"/>
  <c r="Z319" i="10" s="1"/>
  <c r="AJ255" i="10"/>
  <c r="AK234" i="10"/>
  <c r="Q232" i="10"/>
  <c r="W623" i="10"/>
  <c r="AA623" i="10"/>
  <c r="Y623" i="10"/>
  <c r="E134" i="10"/>
  <c r="F134" i="10"/>
  <c r="J92" i="10"/>
  <c r="J675" i="10" s="1"/>
  <c r="H137" i="10"/>
  <c r="J433" i="10" s="1"/>
  <c r="E92" i="10"/>
  <c r="O532" i="10"/>
  <c r="S532" i="10"/>
  <c r="R621" i="10"/>
  <c r="V210" i="10"/>
  <c r="AJ212" i="10"/>
  <c r="AH213" i="10"/>
  <c r="E984" i="10"/>
  <c r="U291" i="10"/>
  <c r="R467" i="10"/>
  <c r="Q465" i="10"/>
  <c r="N465" i="10"/>
  <c r="S1471" i="10"/>
  <c r="L1009" i="10"/>
  <c r="X292" i="10"/>
  <c r="Z292" i="10" s="1"/>
  <c r="J358" i="10"/>
  <c r="AI365" i="10"/>
  <c r="AE367" i="10"/>
  <c r="Y368" i="10"/>
  <c r="Y364" i="10"/>
  <c r="W357" i="10"/>
  <c r="U363" i="10"/>
  <c r="U367" i="10"/>
  <c r="S357" i="10"/>
  <c r="S356" i="10"/>
  <c r="Q358" i="10"/>
  <c r="Q369" i="10"/>
  <c r="AJ356" i="10"/>
  <c r="AJ358" i="10"/>
  <c r="AH356" i="10"/>
  <c r="AF360" i="10"/>
  <c r="AD358" i="10"/>
  <c r="AB360" i="10"/>
  <c r="Z357" i="10"/>
  <c r="Z367" i="10"/>
  <c r="X364" i="10"/>
  <c r="T360" i="10"/>
  <c r="T356" i="10"/>
  <c r="R357" i="10"/>
  <c r="P364" i="10"/>
  <c r="M334" i="10"/>
  <c r="T299" i="10"/>
  <c r="V299" i="10" s="1"/>
  <c r="L334" i="10"/>
  <c r="K329" i="10"/>
  <c r="M329" i="10"/>
  <c r="T294" i="10"/>
  <c r="V294" i="10"/>
  <c r="M327" i="10"/>
  <c r="M325" i="10"/>
  <c r="T290" i="10"/>
  <c r="L325" i="10"/>
  <c r="M320" i="10"/>
  <c r="L320" i="10"/>
  <c r="K320" i="10"/>
  <c r="L318" i="10"/>
  <c r="T283" i="10"/>
  <c r="V283" i="10"/>
  <c r="M306" i="10"/>
  <c r="J306" i="10"/>
  <c r="O291" i="10"/>
  <c r="Q291" i="10"/>
  <c r="J300" i="10"/>
  <c r="O288" i="10"/>
  <c r="Q288" i="10" s="1"/>
  <c r="J297" i="10"/>
  <c r="O285" i="10"/>
  <c r="Q285" i="10" s="1"/>
  <c r="J294" i="10"/>
  <c r="O283" i="10"/>
  <c r="M292" i="10"/>
  <c r="AP821" i="10"/>
  <c r="AP786" i="10"/>
  <c r="AP820" i="10"/>
  <c r="F778" i="10"/>
  <c r="AP849" i="10"/>
  <c r="AP803" i="10"/>
  <c r="W209" i="10"/>
  <c r="W206" i="10"/>
  <c r="U206" i="10"/>
  <c r="U210" i="10"/>
  <c r="U207" i="10"/>
  <c r="U208" i="10"/>
  <c r="S207" i="10"/>
  <c r="S206" i="10"/>
  <c r="S210" i="10"/>
  <c r="Q206" i="10"/>
  <c r="Q207" i="10"/>
  <c r="Q209" i="10"/>
  <c r="O209" i="10"/>
  <c r="O206" i="10"/>
  <c r="O208" i="10"/>
  <c r="AI209" i="10"/>
  <c r="AI208" i="10"/>
  <c r="AG206" i="10"/>
  <c r="AG207" i="10"/>
  <c r="AG208" i="10"/>
  <c r="AG209" i="10"/>
  <c r="AE207" i="10"/>
  <c r="AE206" i="10"/>
  <c r="AC207" i="10"/>
  <c r="AC206" i="10"/>
  <c r="AC210" i="10"/>
  <c r="AA208" i="10"/>
  <c r="AA206" i="10"/>
  <c r="AA209" i="10"/>
  <c r="Y208" i="10"/>
  <c r="Y207" i="10"/>
  <c r="Y206" i="10"/>
  <c r="W207" i="10"/>
  <c r="AL208" i="10"/>
  <c r="AL206" i="10"/>
  <c r="AJ209" i="10"/>
  <c r="AJ206" i="10"/>
  <c r="AJ208" i="10"/>
  <c r="AJ207" i="10"/>
  <c r="AH209" i="10"/>
  <c r="AF209" i="10"/>
  <c r="AF206" i="10"/>
  <c r="AF207" i="10"/>
  <c r="AD207" i="10"/>
  <c r="AD206" i="10"/>
  <c r="AD209" i="10"/>
  <c r="AD208" i="10"/>
  <c r="AB210" i="10"/>
  <c r="Z208" i="10"/>
  <c r="Z209" i="10"/>
  <c r="X210" i="10"/>
  <c r="X206" i="10"/>
  <c r="X207" i="10"/>
  <c r="V209" i="10"/>
  <c r="T206" i="10"/>
  <c r="T208" i="10"/>
  <c r="R207" i="10"/>
  <c r="R209" i="10"/>
  <c r="R208" i="10"/>
  <c r="R206" i="10"/>
  <c r="P206" i="10"/>
  <c r="AI213" i="10"/>
  <c r="AI212" i="10"/>
  <c r="AI202" i="10"/>
  <c r="AL204" i="10"/>
  <c r="AL203" i="10"/>
  <c r="AL213" i="10"/>
  <c r="AJ204" i="10"/>
  <c r="AJ213" i="10"/>
  <c r="AJ203" i="10"/>
  <c r="AH212" i="10"/>
  <c r="AH203" i="10"/>
  <c r="AH202" i="10"/>
  <c r="AF203" i="10"/>
  <c r="AF202" i="10"/>
  <c r="AF212" i="10"/>
  <c r="AD203" i="10"/>
  <c r="AD212" i="10"/>
  <c r="AD213" i="10"/>
  <c r="AD202" i="10"/>
  <c r="AD204" i="10"/>
  <c r="AB212" i="10"/>
  <c r="AB204" i="10"/>
  <c r="AB202" i="10"/>
  <c r="Z212" i="10"/>
  <c r="Z202" i="10"/>
  <c r="Z203" i="10"/>
  <c r="X213" i="10"/>
  <c r="X203" i="10"/>
  <c r="V202" i="10"/>
  <c r="V203" i="10"/>
  <c r="V213" i="10"/>
  <c r="T212" i="10"/>
  <c r="T203" i="10"/>
  <c r="T204" i="10"/>
  <c r="R202" i="10"/>
  <c r="R204" i="10"/>
  <c r="P202" i="10"/>
  <c r="P204" i="10"/>
  <c r="P212" i="10"/>
  <c r="P203" i="10"/>
  <c r="L1304" i="10"/>
  <c r="P1304" i="10" s="1"/>
  <c r="D612" i="10"/>
  <c r="L1086" i="10"/>
  <c r="P1086" i="10" s="1"/>
  <c r="L1081" i="10"/>
  <c r="P1081" i="10" s="1"/>
  <c r="J435" i="10"/>
  <c r="S1465" i="10"/>
  <c r="K134" i="10"/>
  <c r="J134" i="10"/>
  <c r="H134" i="10"/>
  <c r="L92" i="10"/>
  <c r="L675" i="10" s="1"/>
  <c r="H92" i="10"/>
  <c r="F92" i="10"/>
  <c r="G92" i="10"/>
  <c r="G675" i="10"/>
  <c r="Q48" i="10"/>
  <c r="P48" i="10"/>
  <c r="U48" i="10"/>
  <c r="S48" i="10"/>
  <c r="O48" i="10"/>
  <c r="R48" i="10"/>
  <c r="U40" i="10"/>
  <c r="T40" i="10"/>
  <c r="O40" i="10"/>
  <c r="P40" i="10"/>
  <c r="S40" i="10"/>
  <c r="Q40" i="10"/>
  <c r="S38" i="10"/>
  <c r="P38" i="10"/>
  <c r="R38" i="10"/>
  <c r="G7" i="10"/>
  <c r="K157" i="10"/>
  <c r="N157" i="10" s="1"/>
  <c r="L49" i="10"/>
  <c r="H152" i="10"/>
  <c r="H145" i="10"/>
  <c r="F321" i="10"/>
  <c r="K321" i="10" s="1"/>
  <c r="D332" i="10"/>
  <c r="G332" i="10" s="1"/>
  <c r="U297" i="10" s="1"/>
  <c r="G321" i="10"/>
  <c r="M321" i="10" s="1"/>
  <c r="W286" i="10"/>
  <c r="H349" i="10"/>
  <c r="AA283" i="10"/>
  <c r="P46" i="10"/>
  <c r="O46" i="10"/>
  <c r="S46" i="10"/>
  <c r="N46" i="10"/>
  <c r="R46" i="10"/>
  <c r="T46" i="10"/>
  <c r="N44" i="10"/>
  <c r="S44" i="10"/>
  <c r="O44" i="10"/>
  <c r="T44" i="10"/>
  <c r="S42" i="10"/>
  <c r="O42" i="10"/>
  <c r="R42" i="10"/>
  <c r="Q42" i="10"/>
  <c r="N42" i="10"/>
  <c r="P42" i="10"/>
  <c r="U42" i="10"/>
  <c r="F25" i="10"/>
  <c r="W688" i="10" s="1"/>
  <c r="F291" i="10"/>
  <c r="O282" i="10" s="1"/>
  <c r="P282" i="10"/>
  <c r="P294" i="10"/>
  <c r="Q294" i="10" s="1"/>
  <c r="M303" i="10"/>
  <c r="M296" i="10"/>
  <c r="J296" i="10"/>
  <c r="U288" i="10"/>
  <c r="U282" i="10"/>
  <c r="G349" i="10"/>
  <c r="Z213" i="10"/>
  <c r="Q210" i="10"/>
  <c r="R203" i="10"/>
  <c r="AH207" i="10"/>
  <c r="R282" i="10"/>
  <c r="U209" i="10"/>
  <c r="O207" i="10"/>
  <c r="AD210" i="10"/>
  <c r="J304" i="10"/>
  <c r="X282" i="10"/>
  <c r="Z282" i="10" s="1"/>
  <c r="J303" i="10"/>
  <c r="P287" i="10"/>
  <c r="P284" i="10"/>
  <c r="J301" i="10"/>
  <c r="U287" i="10"/>
  <c r="K159" i="10"/>
  <c r="N159" i="10"/>
  <c r="L1305" i="10" s="1"/>
  <c r="P1305" i="10" s="1"/>
  <c r="P1085" i="10"/>
  <c r="M317" i="10"/>
  <c r="AC209" i="10"/>
  <c r="Y357" i="10"/>
  <c r="AE209" i="10"/>
  <c r="AE210" i="10"/>
  <c r="Z625" i="10"/>
  <c r="AI360" i="10"/>
  <c r="AH357" i="10"/>
  <c r="AH208" i="10"/>
  <c r="P208" i="10"/>
  <c r="AF208" i="10"/>
  <c r="AI204" i="10"/>
  <c r="M298" i="10"/>
  <c r="Y367" i="10"/>
  <c r="AI206" i="10"/>
  <c r="AD359" i="10"/>
  <c r="O465" i="10"/>
  <c r="N40" i="10"/>
  <c r="P296" i="10"/>
  <c r="T465" i="10"/>
  <c r="R44" i="10"/>
  <c r="T292" i="10"/>
  <c r="AP785" i="10"/>
  <c r="D778" i="10"/>
  <c r="M294" i="10"/>
  <c r="W210" i="10"/>
  <c r="R369" i="10"/>
  <c r="X359" i="10"/>
  <c r="P283" i="10"/>
  <c r="Q283" i="10" s="1"/>
  <c r="T48" i="10"/>
  <c r="AG210" i="10"/>
  <c r="S209" i="10"/>
  <c r="AF213" i="10"/>
  <c r="X202" i="10"/>
  <c r="X204" i="10"/>
  <c r="P467" i="10"/>
  <c r="AK206" i="10"/>
  <c r="AK207" i="10"/>
  <c r="U46" i="10"/>
  <c r="Z204" i="10"/>
  <c r="AK209" i="10"/>
  <c r="J1346" i="10"/>
  <c r="L1357" i="10" s="1"/>
  <c r="J1335" i="10"/>
  <c r="L1355" i="10" s="1"/>
  <c r="O279" i="10"/>
  <c r="P273" i="10"/>
  <c r="AA261" i="10"/>
  <c r="AE233" i="10"/>
  <c r="AE230" i="10"/>
  <c r="AA229" i="10"/>
  <c r="Q239" i="10"/>
  <c r="P1314" i="10"/>
  <c r="J1178" i="10"/>
  <c r="L1180" i="10"/>
  <c r="D1513" i="10" s="1"/>
  <c r="Z624" i="10"/>
  <c r="AB624" i="10"/>
  <c r="R622" i="10"/>
  <c r="I374" i="10"/>
  <c r="J374" i="10" s="1"/>
  <c r="AI273" i="10"/>
  <c r="Q267" i="10"/>
  <c r="Q315" i="10"/>
  <c r="X238" i="10"/>
  <c r="T207" i="10"/>
  <c r="S208" i="10"/>
  <c r="AC204" i="10"/>
  <c r="P1237" i="10"/>
  <c r="P295" i="10"/>
  <c r="Q295" i="10"/>
  <c r="U290" i="10"/>
  <c r="V290" i="10" s="1"/>
  <c r="P858" i="10"/>
  <c r="AO747" i="10"/>
  <c r="AA780" i="10"/>
  <c r="U718" i="10"/>
  <c r="R780" i="10"/>
  <c r="AG279" i="10"/>
  <c r="AG331" i="10" s="1"/>
  <c r="AC363" i="10"/>
  <c r="AG827" i="10"/>
  <c r="X743" i="10"/>
  <c r="AD795" i="10"/>
  <c r="AI743" i="10"/>
  <c r="W743" i="10"/>
  <c r="AF688" i="10"/>
  <c r="T795" i="10"/>
  <c r="AO743" i="10"/>
  <c r="S775" i="10"/>
  <c r="AF764" i="10"/>
  <c r="AC715" i="10"/>
  <c r="T775" i="10"/>
  <c r="AA775" i="10"/>
  <c r="AF715" i="10"/>
  <c r="AC688" i="10"/>
  <c r="AI841" i="10"/>
  <c r="AD810" i="10"/>
  <c r="AN724" i="10"/>
  <c r="AL841" i="10"/>
  <c r="T733" i="10"/>
  <c r="T743" i="10"/>
  <c r="AH755" i="10"/>
  <c r="AH688" i="10"/>
  <c r="AD827" i="10"/>
  <c r="AM795" i="10"/>
  <c r="AK733" i="10"/>
  <c r="R775" i="10"/>
  <c r="D776" i="10" s="1"/>
  <c r="AB733" i="10"/>
  <c r="AD715" i="10"/>
  <c r="AG755" i="10"/>
  <c r="AL743" i="10"/>
  <c r="V755" i="10"/>
  <c r="AF724" i="10"/>
  <c r="S743" i="10"/>
  <c r="S764" i="10"/>
  <c r="AI688" i="10"/>
  <c r="AH810" i="10"/>
  <c r="AE810" i="10"/>
  <c r="AF841" i="10"/>
  <c r="AI715" i="10"/>
  <c r="Z688" i="10"/>
  <c r="T764" i="10"/>
  <c r="AO724" i="10"/>
  <c r="AC733" i="10"/>
  <c r="Z810" i="10"/>
  <c r="AC724" i="10"/>
  <c r="AB827" i="10"/>
  <c r="AG724" i="10"/>
  <c r="AN810" i="10"/>
  <c r="AA764" i="10"/>
  <c r="AL827" i="10"/>
  <c r="Z764" i="10"/>
  <c r="AC743" i="10"/>
  <c r="U810" i="10"/>
  <c r="AE775" i="10"/>
  <c r="AH724" i="10"/>
  <c r="Y827" i="10"/>
  <c r="AH733" i="10"/>
  <c r="AI775" i="10"/>
  <c r="L617" i="10"/>
  <c r="W764" i="10"/>
  <c r="J1529" i="10"/>
  <c r="Y755" i="10"/>
  <c r="W733" i="10"/>
  <c r="Y283" i="10"/>
  <c r="Z283" i="10" s="1"/>
  <c r="H332" i="10"/>
  <c r="H7" i="10"/>
  <c r="H25" i="10" s="1"/>
  <c r="N405" i="10"/>
  <c r="J291" i="10"/>
  <c r="N291" i="10"/>
  <c r="T286" i="10"/>
  <c r="J913" i="10"/>
  <c r="V282" i="10"/>
  <c r="M291" i="10"/>
  <c r="L1007" i="10"/>
  <c r="G1472" i="10"/>
  <c r="S1467" i="10"/>
  <c r="F1595" i="10"/>
  <c r="H1595" i="10" s="1"/>
  <c r="T1431" i="10"/>
  <c r="D1430" i="10"/>
  <c r="P1240" i="10"/>
  <c r="P1244" i="10"/>
  <c r="J1208" i="10"/>
  <c r="L1210" i="10" s="1"/>
  <c r="J1192" i="10"/>
  <c r="L1194" i="10" s="1"/>
  <c r="I908" i="10"/>
  <c r="K908" i="10"/>
  <c r="A908" i="10"/>
  <c r="A910" i="10" s="1"/>
  <c r="A912" i="10" s="1"/>
  <c r="D908" i="10"/>
  <c r="D913" i="10" s="1"/>
  <c r="D910" i="10"/>
  <c r="D912" i="10" s="1"/>
  <c r="D914" i="10" s="1"/>
  <c r="J910" i="10"/>
  <c r="J912" i="10" s="1"/>
  <c r="J914" i="10" s="1"/>
  <c r="B910" i="10"/>
  <c r="AE844" i="10"/>
  <c r="X727" i="10"/>
  <c r="AL758" i="10"/>
  <c r="W727" i="10"/>
  <c r="AN830" i="10"/>
  <c r="AO718" i="10"/>
  <c r="AK767" i="10"/>
  <c r="S758" i="10"/>
  <c r="U736" i="10"/>
  <c r="AM798" i="10"/>
  <c r="R718" i="10"/>
  <c r="AD747" i="10"/>
  <c r="AL830" i="10"/>
  <c r="AA691" i="10"/>
  <c r="AB844" i="10"/>
  <c r="AL780" i="10"/>
  <c r="U830" i="10"/>
  <c r="X844" i="10"/>
  <c r="Y691" i="10"/>
  <c r="T691" i="10"/>
  <c r="AO798" i="10"/>
  <c r="AE736" i="10"/>
  <c r="AI727" i="10"/>
  <c r="AN758" i="10"/>
  <c r="AF727" i="10"/>
  <c r="R815" i="10"/>
  <c r="AE830" i="10"/>
  <c r="V815" i="10"/>
  <c r="AK780" i="10"/>
  <c r="AC747" i="10"/>
  <c r="AB815" i="10"/>
  <c r="W830" i="10"/>
  <c r="AN736" i="10"/>
  <c r="Y767" i="10"/>
  <c r="AK736" i="10"/>
  <c r="X736" i="10"/>
  <c r="AB798" i="10"/>
  <c r="AJ747" i="10"/>
  <c r="Y747" i="10"/>
  <c r="AG727" i="10"/>
  <c r="AL718" i="10"/>
  <c r="AL747" i="10"/>
  <c r="AK727" i="10"/>
  <c r="AH798" i="10"/>
  <c r="U844" i="10"/>
  <c r="AK691" i="10"/>
  <c r="S780" i="10"/>
  <c r="AF758" i="10"/>
  <c r="AA767" i="10"/>
  <c r="AL767" i="10"/>
  <c r="AA798" i="10"/>
  <c r="AK758" i="10"/>
  <c r="AO830" i="10"/>
  <c r="AN844" i="10"/>
  <c r="Z767" i="10"/>
  <c r="W718" i="10"/>
  <c r="AK844" i="10"/>
  <c r="S736" i="10"/>
  <c r="T758" i="10"/>
  <c r="S830" i="10"/>
  <c r="AA758" i="10"/>
  <c r="AG815" i="10"/>
  <c r="R830" i="10"/>
  <c r="W767" i="10"/>
  <c r="AE798" i="10"/>
  <c r="AA747" i="10"/>
  <c r="AA844" i="10"/>
  <c r="Z736" i="10"/>
  <c r="AO691" i="10"/>
  <c r="AH780" i="10"/>
  <c r="AM727" i="10"/>
  <c r="AM844" i="10"/>
  <c r="AI815" i="10"/>
  <c r="V798" i="10"/>
  <c r="AL736" i="10"/>
  <c r="AI747" i="10"/>
  <c r="Y815" i="10"/>
  <c r="AG798" i="10"/>
  <c r="AI691" i="10"/>
  <c r="AI780" i="10"/>
  <c r="T736" i="10"/>
  <c r="AK830" i="10"/>
  <c r="T767" i="10"/>
  <c r="V830" i="10"/>
  <c r="AM691" i="10"/>
  <c r="W691" i="10"/>
  <c r="Y727" i="10"/>
  <c r="Z844" i="10"/>
  <c r="AJ718" i="10"/>
  <c r="AD758" i="10"/>
  <c r="S798" i="10"/>
  <c r="AH736" i="10"/>
  <c r="AG780" i="10"/>
  <c r="U767" i="10"/>
  <c r="Y758" i="10"/>
  <c r="AD798" i="10"/>
  <c r="AC844" i="10"/>
  <c r="AL798" i="10"/>
  <c r="AO736" i="10"/>
  <c r="Y844" i="10"/>
  <c r="U691" i="10"/>
  <c r="AH758" i="10"/>
  <c r="AE758" i="10"/>
  <c r="AO767" i="10"/>
  <c r="AF798" i="10"/>
  <c r="AI736" i="10"/>
  <c r="AF780" i="10"/>
  <c r="U780" i="10"/>
  <c r="AF844" i="10"/>
  <c r="AJ815" i="10"/>
  <c r="AD727" i="10"/>
  <c r="AH767" i="10"/>
  <c r="U798" i="10"/>
  <c r="AG747" i="10"/>
  <c r="AE718" i="10"/>
  <c r="X691" i="10"/>
  <c r="AJ727" i="10"/>
  <c r="Z758" i="10"/>
  <c r="AG844" i="10"/>
  <c r="AJ736" i="10"/>
  <c r="Z691" i="10"/>
  <c r="X830" i="10"/>
  <c r="AC780" i="10"/>
  <c r="R767" i="10"/>
  <c r="AB691" i="10"/>
  <c r="R691" i="10"/>
  <c r="AN780" i="10"/>
  <c r="AD830" i="10"/>
  <c r="AE747" i="10"/>
  <c r="AM747" i="10"/>
  <c r="AB718" i="10"/>
  <c r="AN798" i="10"/>
  <c r="AI758" i="10"/>
  <c r="AC830" i="10"/>
  <c r="Y830" i="10"/>
  <c r="AJ691" i="10"/>
  <c r="T718" i="10"/>
  <c r="AC727" i="10"/>
  <c r="AN815" i="10"/>
  <c r="T780" i="10"/>
  <c r="Z830" i="10"/>
  <c r="AH815" i="10"/>
  <c r="AM767" i="10"/>
  <c r="V758" i="10"/>
  <c r="AE815" i="10"/>
  <c r="T727" i="10"/>
  <c r="X798" i="10"/>
  <c r="AG691" i="10"/>
  <c r="AE767" i="10"/>
  <c r="R736" i="10"/>
  <c r="T747" i="10"/>
  <c r="AJ844" i="10"/>
  <c r="AE780" i="10"/>
  <c r="AB747" i="10"/>
  <c r="U758" i="10"/>
  <c r="AC798" i="10"/>
  <c r="Y736" i="10"/>
  <c r="T815" i="10"/>
  <c r="X758" i="10"/>
  <c r="X747" i="10"/>
  <c r="AG830" i="10"/>
  <c r="AK718" i="10"/>
  <c r="AM780" i="10"/>
  <c r="AH691" i="10"/>
  <c r="Z815" i="10"/>
  <c r="AG718" i="10"/>
  <c r="AC767" i="10"/>
  <c r="AO727" i="10"/>
  <c r="AD691" i="10"/>
  <c r="AJ758" i="10"/>
  <c r="AI718" i="10"/>
  <c r="AF767" i="10"/>
  <c r="AM718" i="10"/>
  <c r="Z798" i="10"/>
  <c r="W574" i="10"/>
  <c r="V574" i="10" s="1"/>
  <c r="W572" i="10"/>
  <c r="V572" i="10"/>
  <c r="W569" i="10"/>
  <c r="V569" i="10" s="1"/>
  <c r="W564" i="10"/>
  <c r="V564" i="10"/>
  <c r="W562" i="10"/>
  <c r="V562" i="10" s="1"/>
  <c r="W560" i="10"/>
  <c r="V560" i="10" s="1"/>
  <c r="W559" i="10"/>
  <c r="V559" i="10" s="1"/>
  <c r="W554" i="10"/>
  <c r="V554" i="10" s="1"/>
  <c r="W553" i="10"/>
  <c r="V553" i="10" s="1"/>
  <c r="W550" i="10"/>
  <c r="V550" i="10" s="1"/>
  <c r="W547" i="10"/>
  <c r="V547" i="10" s="1"/>
  <c r="W546" i="10"/>
  <c r="V546" i="10" s="1"/>
  <c r="W545" i="10"/>
  <c r="V545" i="10"/>
  <c r="W543" i="10"/>
  <c r="V543" i="10" s="1"/>
  <c r="R530" i="10"/>
  <c r="O530" i="10"/>
  <c r="Q530" i="10"/>
  <c r="T530" i="10"/>
  <c r="S524" i="10"/>
  <c r="N524" i="10"/>
  <c r="T524" i="10"/>
  <c r="O524" i="10"/>
  <c r="R524" i="10"/>
  <c r="S522" i="10"/>
  <c r="N522" i="10"/>
  <c r="O522" i="10"/>
  <c r="P522" i="10"/>
  <c r="T522" i="10"/>
  <c r="Q522" i="10"/>
  <c r="W515" i="10"/>
  <c r="V515" i="10"/>
  <c r="W514" i="10"/>
  <c r="V514" i="10"/>
  <c r="W513" i="10"/>
  <c r="V513" i="10"/>
  <c r="W512" i="10"/>
  <c r="V512" i="10"/>
  <c r="W509" i="10"/>
  <c r="V509" i="10" s="1"/>
  <c r="W507" i="10"/>
  <c r="V507" i="10" s="1"/>
  <c r="W506" i="10"/>
  <c r="V506" i="10" s="1"/>
  <c r="W505" i="10"/>
  <c r="V505" i="10"/>
  <c r="W504" i="10"/>
  <c r="V504" i="10" s="1"/>
  <c r="V503" i="10"/>
  <c r="W502" i="10"/>
  <c r="V502" i="10"/>
  <c r="W501" i="10"/>
  <c r="V501" i="10" s="1"/>
  <c r="W500" i="10"/>
  <c r="V500" i="10" s="1"/>
  <c r="W499" i="10"/>
  <c r="V499" i="10"/>
  <c r="W498" i="10"/>
  <c r="V498" i="10"/>
  <c r="W497" i="10"/>
  <c r="V497" i="10" s="1"/>
  <c r="W495" i="10"/>
  <c r="V495" i="10" s="1"/>
  <c r="W492" i="10"/>
  <c r="V492" i="10"/>
  <c r="W491" i="10"/>
  <c r="V491" i="10" s="1"/>
  <c r="W490" i="10"/>
  <c r="V490" i="10" s="1"/>
  <c r="W489" i="10"/>
  <c r="V489" i="10" s="1"/>
  <c r="W488" i="10"/>
  <c r="V488" i="10"/>
  <c r="W487" i="10"/>
  <c r="V487" i="10"/>
  <c r="W486" i="10"/>
  <c r="V486" i="10"/>
  <c r="W485" i="10"/>
  <c r="V485" i="10" s="1"/>
  <c r="W483" i="10"/>
  <c r="V483" i="10" s="1"/>
  <c r="Z516" i="10"/>
  <c r="L516" i="10"/>
  <c r="F516" i="10"/>
  <c r="N469" i="10"/>
  <c r="Q469" i="10"/>
  <c r="S469" i="10"/>
  <c r="O469" i="10"/>
  <c r="R469" i="10"/>
  <c r="N467" i="10"/>
  <c r="O467" i="10"/>
  <c r="S467" i="10"/>
  <c r="U467" i="10"/>
  <c r="Q467" i="10"/>
  <c r="T467" i="10"/>
  <c r="U465" i="10"/>
  <c r="S465" i="10"/>
  <c r="X288" i="10"/>
  <c r="J354" i="10"/>
  <c r="AJ359" i="10"/>
  <c r="AJ369" i="10"/>
  <c r="AJ357" i="10"/>
  <c r="AJ365" i="10"/>
  <c r="AJ364" i="10"/>
  <c r="AJ363" i="10"/>
  <c r="AH360" i="10"/>
  <c r="AH363" i="10"/>
  <c r="AH368" i="10"/>
  <c r="AH365" i="10"/>
  <c r="AH367" i="10"/>
  <c r="AF358" i="10"/>
  <c r="AF367" i="10"/>
  <c r="AF369" i="10"/>
  <c r="AF356" i="10"/>
  <c r="AF365" i="10"/>
  <c r="AD368" i="10"/>
  <c r="AD363" i="10"/>
  <c r="AD364" i="10"/>
  <c r="AD360" i="10"/>
  <c r="AD365" i="10"/>
  <c r="AD357" i="10"/>
  <c r="AB356" i="10"/>
  <c r="AB368" i="10"/>
  <c r="AB364" i="10"/>
  <c r="AB369" i="10"/>
  <c r="AB367" i="10"/>
  <c r="AB366" i="10"/>
  <c r="AB358" i="10"/>
  <c r="AB359" i="10"/>
  <c r="Z356" i="10"/>
  <c r="Z365" i="10"/>
  <c r="Z358" i="10"/>
  <c r="Z369" i="10"/>
  <c r="Z364" i="10"/>
  <c r="Z366" i="10"/>
  <c r="Z363" i="10"/>
  <c r="X365" i="10"/>
  <c r="X366" i="10"/>
  <c r="X357" i="10"/>
  <c r="X367" i="10"/>
  <c r="X356" i="10"/>
  <c r="X368" i="10"/>
  <c r="X360" i="10"/>
  <c r="V357" i="10"/>
  <c r="V364" i="10"/>
  <c r="V360" i="10"/>
  <c r="V363" i="10"/>
  <c r="V366" i="10"/>
  <c r="V359" i="10"/>
  <c r="T369" i="10"/>
  <c r="T358" i="10"/>
  <c r="T357" i="10"/>
  <c r="T365" i="10"/>
  <c r="T363" i="10"/>
  <c r="T367" i="10"/>
  <c r="T364" i="10"/>
  <c r="R366" i="10"/>
  <c r="R359" i="10"/>
  <c r="R364" i="10"/>
  <c r="R368" i="10"/>
  <c r="R363" i="10"/>
  <c r="R358" i="10"/>
  <c r="P368" i="10"/>
  <c r="P356" i="10"/>
  <c r="P365" i="10"/>
  <c r="P366" i="10"/>
  <c r="P358" i="10"/>
  <c r="P367" i="10"/>
  <c r="AK369" i="10"/>
  <c r="AK358" i="10"/>
  <c r="AK359" i="10"/>
  <c r="AK356" i="10"/>
  <c r="AK367" i="10"/>
  <c r="AK365" i="10"/>
  <c r="AK366" i="10"/>
  <c r="AI357" i="10"/>
  <c r="AI356" i="10"/>
  <c r="AI359" i="10"/>
  <c r="AI363" i="10"/>
  <c r="AI366" i="10"/>
  <c r="AI358" i="10"/>
  <c r="AI364" i="10"/>
  <c r="AI367" i="10"/>
  <c r="AG358" i="10"/>
  <c r="AG360" i="10"/>
  <c r="AG364" i="10"/>
  <c r="AG367" i="10"/>
  <c r="AG368" i="10"/>
  <c r="AG366" i="10"/>
  <c r="AG356" i="10"/>
  <c r="AG369" i="10"/>
  <c r="AG363" i="10"/>
  <c r="AG359" i="10"/>
  <c r="AE360" i="10"/>
  <c r="AE368" i="10"/>
  <c r="AE358" i="10"/>
  <c r="AE369" i="10"/>
  <c r="AE365" i="10"/>
  <c r="AC356" i="10"/>
  <c r="AC364" i="10"/>
  <c r="AC369" i="10"/>
  <c r="AC367" i="10"/>
  <c r="AC368" i="10"/>
  <c r="AC357" i="10"/>
  <c r="AC359" i="10"/>
  <c r="AA360" i="10"/>
  <c r="AA356" i="10"/>
  <c r="AA365" i="10"/>
  <c r="AA368" i="10"/>
  <c r="AA369" i="10"/>
  <c r="AA367" i="10"/>
  <c r="AA364" i="10"/>
  <c r="Y363" i="10"/>
  <c r="Y360" i="10"/>
  <c r="Y358" i="10"/>
  <c r="Y366" i="10"/>
  <c r="Y369" i="10"/>
  <c r="Y365" i="10"/>
  <c r="W368" i="10"/>
  <c r="W363" i="10"/>
  <c r="W366" i="10"/>
  <c r="W367" i="10"/>
  <c r="W365" i="10"/>
  <c r="U358" i="10"/>
  <c r="U369" i="10"/>
  <c r="U366" i="10"/>
  <c r="U364" i="10"/>
  <c r="U365" i="10"/>
  <c r="U368" i="10"/>
  <c r="U356" i="10"/>
  <c r="U359" i="10"/>
  <c r="U360" i="10"/>
  <c r="S364" i="10"/>
  <c r="S360" i="10"/>
  <c r="S363" i="10"/>
  <c r="S366" i="10"/>
  <c r="S358" i="10"/>
  <c r="S369" i="10"/>
  <c r="S368" i="10"/>
  <c r="Q363" i="10"/>
  <c r="Q366" i="10"/>
  <c r="Q364" i="10"/>
  <c r="Q359" i="10"/>
  <c r="Q357" i="10"/>
  <c r="Q368" i="10"/>
  <c r="K331" i="10"/>
  <c r="T296" i="10"/>
  <c r="V296" i="10" s="1"/>
  <c r="L331" i="10"/>
  <c r="M331" i="10"/>
  <c r="M326" i="10"/>
  <c r="T291" i="10"/>
  <c r="V291" i="10"/>
  <c r="L326" i="10"/>
  <c r="K324" i="10"/>
  <c r="L324" i="10"/>
  <c r="M322" i="10"/>
  <c r="K322" i="10"/>
  <c r="T287" i="10"/>
  <c r="V287" i="10"/>
  <c r="L322" i="10"/>
  <c r="M319" i="10"/>
  <c r="L319" i="10"/>
  <c r="M305" i="10"/>
  <c r="O296" i="10"/>
  <c r="J299" i="10"/>
  <c r="M299" i="10"/>
  <c r="O284" i="10"/>
  <c r="Q284" i="10"/>
  <c r="J293" i="10"/>
  <c r="M222" i="10"/>
  <c r="M224" i="10" s="1"/>
  <c r="L234" i="10"/>
  <c r="L696" i="10" s="1"/>
  <c r="L697" i="10"/>
  <c r="P1231" i="10"/>
  <c r="H9" i="10"/>
  <c r="H150" i="10"/>
  <c r="G25" i="10"/>
  <c r="H336" i="10"/>
  <c r="K336" i="10" s="1"/>
  <c r="F336" i="10"/>
  <c r="T301" i="10" s="1"/>
  <c r="L321" i="10"/>
  <c r="B913" i="10"/>
  <c r="AK798" i="10"/>
  <c r="AM736" i="10"/>
  <c r="AE691" i="10"/>
  <c r="AO815" i="10"/>
  <c r="AD767" i="10"/>
  <c r="AM758" i="10"/>
  <c r="Z780" i="10"/>
  <c r="X718" i="10"/>
  <c r="L317" i="10"/>
  <c r="AH364" i="10"/>
  <c r="AE356" i="10"/>
  <c r="AF363" i="10"/>
  <c r="V368" i="10"/>
  <c r="W364" i="10"/>
  <c r="AL358" i="10"/>
  <c r="U469" i="10"/>
  <c r="Q296" i="10"/>
  <c r="AE359" i="10"/>
  <c r="Q367" i="10"/>
  <c r="AA363" i="10"/>
  <c r="AG365" i="10"/>
  <c r="X369" i="10"/>
  <c r="R360" i="10"/>
  <c r="AB363" i="10"/>
  <c r="AF364" i="10"/>
  <c r="AC360" i="10"/>
  <c r="AJ367" i="10"/>
  <c r="V356" i="10"/>
  <c r="K317" i="10"/>
  <c r="K1422" i="10"/>
  <c r="E1520" i="10"/>
  <c r="P360" i="10"/>
  <c r="P363" i="10"/>
  <c r="R365" i="10"/>
  <c r="T359" i="10"/>
  <c r="T368" i="10"/>
  <c r="V369" i="10"/>
  <c r="V358" i="10"/>
  <c r="X363" i="10"/>
  <c r="X358" i="10"/>
  <c r="Z360" i="10"/>
  <c r="AB357" i="10"/>
  <c r="AF357" i="10"/>
  <c r="AF366" i="10"/>
  <c r="AH369" i="10"/>
  <c r="AH359" i="10"/>
  <c r="AJ368" i="10"/>
  <c r="AJ360" i="10"/>
  <c r="Q360" i="10"/>
  <c r="S359" i="10"/>
  <c r="S365" i="10"/>
  <c r="S367" i="10"/>
  <c r="U357" i="10"/>
  <c r="W358" i="10"/>
  <c r="W369" i="10"/>
  <c r="Y359" i="10"/>
  <c r="AA366" i="10"/>
  <c r="AA358" i="10"/>
  <c r="AC365" i="10"/>
  <c r="AC366" i="10"/>
  <c r="AI368" i="10"/>
  <c r="AK368" i="10"/>
  <c r="P465" i="10"/>
  <c r="R465" i="10"/>
  <c r="R473" i="10" s="1"/>
  <c r="H473" i="10" s="1"/>
  <c r="T469" i="10"/>
  <c r="K319" i="10"/>
  <c r="J305" i="10"/>
  <c r="AI369" i="10"/>
  <c r="W747" i="10"/>
  <c r="AC718" i="10"/>
  <c r="V691" i="10"/>
  <c r="AE727" i="10"/>
  <c r="AN727" i="10"/>
  <c r="AC736" i="10"/>
  <c r="AD736" i="10"/>
  <c r="U815" i="10"/>
  <c r="AF815" i="10"/>
  <c r="AO758" i="10"/>
  <c r="AA727" i="10"/>
  <c r="R747" i="10"/>
  <c r="P524" i="10"/>
  <c r="T284" i="10"/>
  <c r="O290" i="10"/>
  <c r="K1570" i="10"/>
  <c r="I1574" i="10"/>
  <c r="T1572" i="10"/>
  <c r="G1570" i="10"/>
  <c r="S49" i="10"/>
  <c r="L333" i="10"/>
  <c r="W301" i="10"/>
  <c r="W736" i="10"/>
  <c r="W798" i="10"/>
  <c r="Z747" i="10"/>
  <c r="Z727" i="10"/>
  <c r="Y356" i="10"/>
  <c r="P359" i="10"/>
  <c r="P357" i="10"/>
  <c r="K326" i="10"/>
  <c r="AA815" i="10"/>
  <c r="AC758" i="10"/>
  <c r="S767" i="10"/>
  <c r="X815" i="10"/>
  <c r="V767" i="10"/>
  <c r="V718" i="10"/>
  <c r="W331" i="10"/>
  <c r="W315" i="10"/>
  <c r="K448" i="10"/>
  <c r="P419" i="10"/>
  <c r="L1349" i="10"/>
  <c r="S1429" i="10"/>
  <c r="T1429" i="10" s="1"/>
  <c r="D1428" i="10" s="1"/>
  <c r="J1130" i="10"/>
  <c r="L1132" i="10" s="1"/>
  <c r="R624" i="10"/>
  <c r="W624" i="10"/>
  <c r="AK273" i="10"/>
  <c r="AG273" i="10"/>
  <c r="U319" i="10"/>
  <c r="AK267" i="10"/>
  <c r="AG267" i="10"/>
  <c r="U267" i="10"/>
  <c r="U331" i="10"/>
  <c r="U315" i="10"/>
  <c r="S267" i="10"/>
  <c r="O267" i="10"/>
  <c r="AC255" i="10"/>
  <c r="AA255" i="10"/>
  <c r="AA331" i="10" s="1"/>
  <c r="O319" i="10" s="1"/>
  <c r="S255" i="10"/>
  <c r="AK235" i="10"/>
  <c r="AK233" i="10"/>
  <c r="Z622" i="10"/>
  <c r="AH235" i="10"/>
  <c r="V284" i="10"/>
  <c r="K583" i="10"/>
  <c r="O583" i="10" s="1"/>
  <c r="N406" i="10"/>
  <c r="P406" i="10"/>
  <c r="D1514" i="10"/>
  <c r="H1514" i="10" s="1"/>
  <c r="K595" i="10"/>
  <c r="E613" i="10" s="1"/>
  <c r="N613" i="10" s="1"/>
  <c r="L336" i="10"/>
  <c r="K606" i="10"/>
  <c r="F613" i="10" s="1"/>
  <c r="O613" i="10" s="1"/>
  <c r="M336" i="10"/>
  <c r="S810" i="10"/>
  <c r="AJ724" i="10"/>
  <c r="T755" i="10"/>
  <c r="V733" i="10"/>
  <c r="Y743" i="10"/>
  <c r="X827" i="10"/>
  <c r="U775" i="10"/>
  <c r="Z795" i="10"/>
  <c r="AJ827" i="10"/>
  <c r="AJ841" i="10"/>
  <c r="AE764" i="10"/>
  <c r="AO841" i="10"/>
  <c r="AE795" i="10"/>
  <c r="X764" i="10"/>
  <c r="AK724" i="10"/>
  <c r="AA841" i="10"/>
  <c r="X795" i="10"/>
  <c r="V827" i="10"/>
  <c r="AK795" i="10"/>
  <c r="AM743" i="10"/>
  <c r="AE733" i="10"/>
  <c r="R724" i="10"/>
  <c r="V810" i="10"/>
  <c r="AK764" i="10"/>
  <c r="S795" i="10"/>
  <c r="U841" i="10"/>
  <c r="AI733" i="10"/>
  <c r="AO775" i="10"/>
  <c r="AI724" i="10"/>
  <c r="AL810" i="10"/>
  <c r="AN733" i="10"/>
  <c r="AI827" i="10"/>
  <c r="AD331" i="10"/>
  <c r="R319" i="10"/>
  <c r="C910" i="10"/>
  <c r="C912" i="10" s="1"/>
  <c r="K913" i="10"/>
  <c r="Z724" i="10"/>
  <c r="S733" i="10"/>
  <c r="AO810" i="10"/>
  <c r="AC810" i="10"/>
  <c r="AI795" i="10"/>
  <c r="AA827" i="10"/>
  <c r="W795" i="10"/>
  <c r="R810" i="10"/>
  <c r="F776" i="10" s="1"/>
  <c r="AE827" i="10"/>
  <c r="AE841" i="10"/>
  <c r="R841" i="10"/>
  <c r="H776" i="10"/>
  <c r="Z841" i="10"/>
  <c r="R827" i="10"/>
  <c r="G776" i="10" s="1"/>
  <c r="AL715" i="10"/>
  <c r="AK715" i="10"/>
  <c r="AA733" i="10"/>
  <c r="AH764" i="10"/>
  <c r="AF743" i="10"/>
  <c r="Z775" i="10"/>
  <c r="AF795" i="10"/>
  <c r="AK827" i="10"/>
  <c r="T827" i="10"/>
  <c r="AB724" i="10"/>
  <c r="X733" i="10"/>
  <c r="V841" i="10"/>
  <c r="U764" i="10"/>
  <c r="U733" i="10"/>
  <c r="AD688" i="10"/>
  <c r="AC764" i="10"/>
  <c r="W715" i="10"/>
  <c r="Y810" i="10"/>
  <c r="Z743" i="10"/>
  <c r="AL795" i="10"/>
  <c r="AG775" i="10"/>
  <c r="AO733" i="10"/>
  <c r="AA724" i="10"/>
  <c r="AJ795" i="10"/>
  <c r="AJ775" i="10"/>
  <c r="AM688" i="10"/>
  <c r="AH743" i="10"/>
  <c r="U724" i="10"/>
  <c r="AJ743" i="10"/>
  <c r="AF810" i="10"/>
  <c r="AJ755" i="10"/>
  <c r="X755" i="10"/>
  <c r="T715" i="10"/>
  <c r="X724" i="10"/>
  <c r="AD764" i="10"/>
  <c r="AB743" i="10"/>
  <c r="AI764" i="10"/>
  <c r="AB755" i="10"/>
  <c r="T724" i="10"/>
  <c r="AB810" i="10"/>
  <c r="R688" i="10"/>
  <c r="AN764" i="10"/>
  <c r="W827" i="10"/>
  <c r="AM715" i="10"/>
  <c r="AF827" i="10"/>
  <c r="R733" i="10"/>
  <c r="U743" i="10"/>
  <c r="AE743" i="10"/>
  <c r="U827" i="10"/>
  <c r="AG733" i="10"/>
  <c r="AH795" i="10"/>
  <c r="AN795" i="10"/>
  <c r="Z733" i="10"/>
  <c r="AN775" i="10"/>
  <c r="AB764" i="10"/>
  <c r="V775" i="10"/>
  <c r="V795" i="10"/>
  <c r="Z755" i="10"/>
  <c r="V724" i="10"/>
  <c r="V743" i="10"/>
  <c r="AL755" i="10"/>
  <c r="AO764" i="10"/>
  <c r="S827" i="10"/>
  <c r="S724" i="10"/>
  <c r="AM775" i="10"/>
  <c r="AM841" i="10"/>
  <c r="R755" i="10"/>
  <c r="AB715" i="10"/>
  <c r="AF733" i="10"/>
  <c r="AM733" i="10"/>
  <c r="Z715" i="10"/>
  <c r="AO688" i="10"/>
  <c r="AL724" i="10"/>
  <c r="AD724" i="10"/>
  <c r="AA810" i="10"/>
  <c r="AA715" i="10"/>
  <c r="AG841" i="10"/>
  <c r="AH827" i="10"/>
  <c r="S755" i="10"/>
  <c r="AN715" i="10"/>
  <c r="R795" i="10"/>
  <c r="E776" i="10" s="1"/>
  <c r="AF775" i="10"/>
  <c r="AM810" i="10"/>
  <c r="W841" i="10"/>
  <c r="Y775" i="10"/>
  <c r="AL775" i="10"/>
  <c r="Y715" i="10"/>
  <c r="R715" i="10"/>
  <c r="W775" i="10"/>
  <c r="AA688" i="10"/>
  <c r="Y688" i="10"/>
  <c r="AI810" i="10"/>
  <c r="AB795" i="10"/>
  <c r="T810" i="10"/>
  <c r="Y795" i="10"/>
  <c r="AG795" i="10"/>
  <c r="X841" i="10"/>
  <c r="AD775" i="10"/>
  <c r="AK755" i="10"/>
  <c r="AE688" i="10"/>
  <c r="AO755" i="10"/>
  <c r="AN841" i="10"/>
  <c r="AJ688" i="10"/>
  <c r="AA795" i="10"/>
  <c r="AJ733" i="10"/>
  <c r="T688" i="10"/>
  <c r="AN688" i="10"/>
  <c r="Y733" i="10"/>
  <c r="AM755" i="10"/>
  <c r="V139" i="10"/>
  <c r="S405" i="10"/>
  <c r="F1594" i="10"/>
  <c r="F1591" i="10"/>
  <c r="A1048" i="10"/>
  <c r="F1592" i="10"/>
  <c r="AD780" i="10"/>
  <c r="AI844" i="10"/>
  <c r="V727" i="10"/>
  <c r="S844" i="10"/>
  <c r="AI767" i="10"/>
  <c r="AI798" i="10"/>
  <c r="T830" i="10"/>
  <c r="AG767" i="10"/>
  <c r="AH718" i="10"/>
  <c r="V780" i="10"/>
  <c r="AA736" i="10"/>
  <c r="S727" i="10"/>
  <c r="W815" i="10"/>
  <c r="U727" i="10"/>
  <c r="W780" i="10"/>
  <c r="AG736" i="10"/>
  <c r="AB830" i="10"/>
  <c r="AL815" i="10"/>
  <c r="AD718" i="10"/>
  <c r="T798" i="10"/>
  <c r="U747" i="10"/>
  <c r="Y780" i="10"/>
  <c r="S691" i="10"/>
  <c r="V844" i="10"/>
  <c r="E892" i="10"/>
  <c r="Z623" i="10"/>
  <c r="AB623" i="10" s="1"/>
  <c r="W566" i="10"/>
  <c r="L473" i="10"/>
  <c r="W625" i="10"/>
  <c r="I734" i="10"/>
  <c r="G734" i="10"/>
  <c r="H734" i="10"/>
  <c r="V566" i="10"/>
  <c r="Z290" i="10"/>
  <c r="J352" i="10"/>
  <c r="J353" i="10"/>
  <c r="J351" i="10"/>
  <c r="Z291" i="10"/>
  <c r="Z288" i="10"/>
  <c r="Z286" i="10"/>
  <c r="K360" i="10"/>
  <c r="X289" i="10"/>
  <c r="Z289" i="10" s="1"/>
  <c r="X285" i="10"/>
  <c r="Z285" i="10" s="1"/>
  <c r="AI6" i="13"/>
  <c r="T16" i="13"/>
  <c r="X17" i="13"/>
  <c r="J14" i="13"/>
  <c r="C23" i="12"/>
  <c r="T10" i="13"/>
  <c r="AH8" i="13"/>
  <c r="AA22" i="13"/>
  <c r="O14" i="13"/>
  <c r="E9" i="13"/>
  <c r="AE12" i="13"/>
  <c r="W9" i="13"/>
  <c r="E15" i="13"/>
  <c r="I991" i="10"/>
  <c r="AB21" i="13"/>
  <c r="J10" i="13"/>
  <c r="X10" i="13"/>
  <c r="AF7" i="13"/>
  <c r="M17" i="13"/>
  <c r="G21" i="13"/>
  <c r="I993" i="10"/>
  <c r="I17" i="13"/>
  <c r="G16" i="13"/>
  <c r="E990" i="10"/>
  <c r="V9" i="13"/>
  <c r="AF6" i="13"/>
  <c r="K15" i="13"/>
  <c r="L21" i="13"/>
  <c r="E991" i="10"/>
  <c r="W10" i="13"/>
  <c r="K8" i="13"/>
  <c r="C25" i="12"/>
  <c r="I969" i="10"/>
  <c r="W15" i="13"/>
  <c r="S15" i="13"/>
  <c r="G25" i="12"/>
  <c r="P23" i="12"/>
  <c r="T13" i="13"/>
  <c r="S14" i="13"/>
  <c r="U8" i="13"/>
  <c r="I21" i="13"/>
  <c r="AE7" i="13"/>
  <c r="T14" i="13"/>
  <c r="I984" i="10"/>
  <c r="I23" i="12"/>
  <c r="AG11" i="13"/>
  <c r="I994" i="10"/>
  <c r="E1003" i="10"/>
  <c r="H11" i="13"/>
  <c r="D8" i="13"/>
  <c r="X11" i="13"/>
  <c r="AH14" i="13"/>
  <c r="Z16" i="13"/>
  <c r="AG8" i="13"/>
  <c r="V8" i="13"/>
  <c r="X8" i="13"/>
  <c r="H9" i="13"/>
  <c r="Y9" i="13"/>
  <c r="AG5" i="13"/>
  <c r="F16" i="13"/>
  <c r="O17" i="13"/>
  <c r="AE13" i="13"/>
  <c r="X14" i="13"/>
  <c r="AA11" i="13"/>
  <c r="C24" i="12"/>
  <c r="I998" i="10"/>
  <c r="Z10" i="13"/>
  <c r="H16" i="13"/>
  <c r="AA13" i="13"/>
  <c r="AF8" i="13"/>
  <c r="I997" i="10"/>
  <c r="E999" i="10"/>
  <c r="AG6" i="13"/>
  <c r="I16" i="13"/>
  <c r="AI22" i="13"/>
  <c r="S8" i="13"/>
  <c r="Z22" i="13"/>
  <c r="AG7" i="13"/>
  <c r="M21" i="13"/>
  <c r="L23" i="12"/>
  <c r="Z12" i="13"/>
  <c r="P17" i="13"/>
  <c r="E995" i="10"/>
  <c r="L11" i="13"/>
  <c r="AF21" i="13"/>
  <c r="S13" i="13"/>
  <c r="I13" i="13"/>
  <c r="AF12" i="13"/>
  <c r="AF14" i="13"/>
  <c r="P15" i="13"/>
  <c r="H13" i="13"/>
  <c r="AG14" i="13"/>
  <c r="AH7" i="13"/>
  <c r="C27" i="12"/>
  <c r="I11" i="13"/>
  <c r="Y11" i="13"/>
  <c r="AJ8" i="13"/>
  <c r="G8" i="13"/>
  <c r="AD6" i="13"/>
  <c r="AE20" i="13"/>
  <c r="P9" i="13"/>
  <c r="X12" i="13"/>
  <c r="R11" i="13"/>
  <c r="Y15" i="13"/>
  <c r="AD22" i="13"/>
  <c r="AA17" i="13"/>
  <c r="J9" i="13"/>
  <c r="I996" i="10"/>
  <c r="V10" i="13"/>
  <c r="T11" i="13"/>
  <c r="K21" i="13"/>
  <c r="H21" i="13"/>
  <c r="I974" i="10"/>
  <c r="AG13" i="13"/>
  <c r="I8" i="13"/>
  <c r="C26" i="12"/>
  <c r="AH12" i="13"/>
  <c r="S9" i="13"/>
  <c r="AF16" i="13"/>
  <c r="H23" i="12"/>
  <c r="T17" i="13"/>
  <c r="AH5" i="13"/>
  <c r="Q8" i="13"/>
  <c r="U10" i="13"/>
  <c r="AE11" i="13"/>
  <c r="M16" i="13"/>
  <c r="AE9" i="13"/>
  <c r="AA12" i="13"/>
  <c r="AE6" i="13"/>
  <c r="E998" i="10"/>
  <c r="Z15" i="13"/>
  <c r="G13" i="13"/>
  <c r="E13" i="13"/>
  <c r="U9" i="13"/>
  <c r="AJ6" i="13"/>
  <c r="G15" i="13"/>
  <c r="I982" i="10"/>
  <c r="F15" i="13"/>
  <c r="F11" i="13"/>
  <c r="AH13" i="13"/>
  <c r="N17" i="13"/>
  <c r="E1001" i="10"/>
  <c r="AH4" i="13"/>
  <c r="N14" i="13"/>
  <c r="L17" i="13"/>
  <c r="F21" i="13"/>
  <c r="AE16" i="13"/>
  <c r="AI21" i="13"/>
  <c r="Z9" i="13"/>
  <c r="AE4" i="13"/>
  <c r="X9" i="13"/>
  <c r="S16" i="13"/>
  <c r="Y8" i="13"/>
  <c r="P12" i="13"/>
  <c r="E21" i="13"/>
  <c r="F14" i="13"/>
  <c r="AF18" i="13"/>
  <c r="N23" i="12"/>
  <c r="AH21" i="13"/>
  <c r="J8" i="13"/>
  <c r="F25" i="12"/>
  <c r="P14" i="13"/>
  <c r="X15" i="13"/>
  <c r="F9" i="13"/>
  <c r="W14" i="13"/>
  <c r="J15" i="13"/>
  <c r="H25" i="12"/>
  <c r="AD5" i="13"/>
  <c r="AD7" i="13"/>
  <c r="E997" i="10"/>
  <c r="M11" i="13"/>
  <c r="L9" i="13"/>
  <c r="AF5" i="13"/>
  <c r="J21" i="13"/>
  <c r="R9" i="13"/>
  <c r="R17" i="13"/>
  <c r="W16" i="13"/>
  <c r="AD15" i="13"/>
  <c r="U17" i="13"/>
  <c r="I995" i="10"/>
  <c r="AG12" i="13"/>
  <c r="AI4" i="13"/>
  <c r="J13" i="13"/>
  <c r="Y21" i="13"/>
  <c r="U15" i="13"/>
  <c r="I1000" i="10"/>
  <c r="Q12" i="13"/>
  <c r="Q15" i="13"/>
  <c r="AI8" i="13"/>
  <c r="Z11" i="13"/>
  <c r="D12" i="13"/>
  <c r="I983" i="10"/>
  <c r="Y16" i="13"/>
  <c r="I1002" i="10"/>
  <c r="AF9" i="13"/>
  <c r="O23" i="12"/>
  <c r="Z21" i="13"/>
  <c r="AF4" i="13"/>
  <c r="R13" i="13"/>
  <c r="E8" i="13"/>
  <c r="O21" i="13"/>
  <c r="I1001" i="10"/>
  <c r="AD8" i="13"/>
  <c r="G10" i="13"/>
  <c r="P11" i="13"/>
  <c r="AH16" i="13"/>
  <c r="D16" i="13"/>
  <c r="E993" i="10"/>
  <c r="AD9" i="13"/>
  <c r="Q14" i="13"/>
  <c r="AC21" i="13"/>
  <c r="Z8" i="13"/>
  <c r="G23" i="12"/>
  <c r="AB22" i="13"/>
  <c r="AD16" i="13"/>
  <c r="T8" i="13"/>
  <c r="F8" i="13"/>
  <c r="T15" i="13"/>
  <c r="M15" i="13"/>
  <c r="AH9" i="13"/>
  <c r="AE14" i="13"/>
  <c r="F17" i="13"/>
  <c r="I981" i="10"/>
  <c r="O8" i="13"/>
  <c r="F13" i="13"/>
  <c r="Q11" i="13"/>
  <c r="W17" i="13"/>
  <c r="AJ7" i="13"/>
  <c r="P8" i="13"/>
  <c r="Z14" i="13"/>
  <c r="Q10" i="13"/>
  <c r="K12" i="13"/>
  <c r="I9" i="13"/>
  <c r="O13" i="13"/>
  <c r="AB19" i="13"/>
  <c r="D17" i="13"/>
  <c r="K9" i="13"/>
  <c r="Z17" i="13"/>
  <c r="U14" i="13"/>
  <c r="AG22" i="13"/>
  <c r="W13" i="13"/>
  <c r="V15" i="13"/>
  <c r="J17" i="13"/>
  <c r="K17" i="13"/>
  <c r="AH11" i="13"/>
  <c r="U12" i="13"/>
  <c r="H15" i="13"/>
  <c r="N21" i="13"/>
  <c r="L12" i="13"/>
  <c r="M13" i="13"/>
  <c r="E16" i="13"/>
  <c r="V12" i="13"/>
  <c r="E996" i="10"/>
  <c r="N16" i="13"/>
  <c r="AD13" i="13"/>
  <c r="J11" i="13"/>
  <c r="L16" i="13"/>
  <c r="I999" i="10"/>
  <c r="V14" i="13"/>
  <c r="R10" i="13"/>
  <c r="AE17" i="13"/>
  <c r="I15" i="13"/>
  <c r="I12" i="13"/>
  <c r="M9" i="13"/>
  <c r="D15" i="13"/>
  <c r="X21" i="13"/>
  <c r="AE22" i="13"/>
  <c r="E17" i="13"/>
  <c r="T12" i="13"/>
  <c r="E1000" i="10"/>
  <c r="K10" i="13"/>
  <c r="I976" i="10"/>
  <c r="Y22" i="13"/>
  <c r="G14" i="13"/>
  <c r="Q16" i="13"/>
  <c r="AF11" i="13"/>
  <c r="V11" i="13"/>
  <c r="N10" i="13"/>
  <c r="I990" i="10"/>
  <c r="S11" i="13"/>
  <c r="J16" i="13"/>
  <c r="I992" i="10"/>
  <c r="D11" i="13"/>
  <c r="F23" i="12"/>
  <c r="E12" i="13"/>
  <c r="L13" i="13"/>
  <c r="I1003" i="10"/>
  <c r="AF15" i="13"/>
  <c r="AI7" i="13"/>
  <c r="O16" i="13"/>
  <c r="K13" i="13"/>
  <c r="O11" i="13"/>
  <c r="AA8" i="13"/>
  <c r="AI9" i="13"/>
  <c r="AA10" i="13"/>
  <c r="E994" i="10"/>
  <c r="AA15" i="13"/>
  <c r="AG4" i="13"/>
  <c r="W11" i="13"/>
  <c r="M23" i="12"/>
  <c r="M8" i="13"/>
  <c r="I973" i="10"/>
  <c r="Q13" i="13"/>
  <c r="G12" i="13"/>
  <c r="J23" i="12"/>
  <c r="N9" i="13"/>
  <c r="E11" i="13"/>
  <c r="D21" i="13"/>
  <c r="AJ4" i="13"/>
  <c r="X22" i="13"/>
  <c r="H14" i="13"/>
  <c r="L15" i="13"/>
  <c r="Z13" i="13"/>
  <c r="I975" i="10"/>
  <c r="H8" i="13"/>
  <c r="S12" i="13"/>
  <c r="D9" i="13"/>
  <c r="I977" i="10"/>
  <c r="P13" i="13"/>
  <c r="M14" i="13"/>
  <c r="L14" i="13"/>
  <c r="F12" i="13"/>
  <c r="U13" i="13"/>
  <c r="R16" i="13"/>
  <c r="AF13" i="13"/>
  <c r="I10" i="13"/>
  <c r="L8" i="13"/>
  <c r="AC22" i="13"/>
  <c r="K14" i="13"/>
  <c r="Q17" i="13"/>
  <c r="E1002" i="10"/>
  <c r="V16" i="13"/>
  <c r="R12" i="13"/>
  <c r="S17" i="13"/>
  <c r="AD4" i="13"/>
  <c r="E992" i="10"/>
  <c r="W12" i="13"/>
  <c r="K23" i="12"/>
  <c r="AA21" i="13"/>
  <c r="K11" i="13"/>
  <c r="Q23" i="12"/>
  <c r="AA16" i="13"/>
  <c r="H10" i="13"/>
  <c r="I970" i="10"/>
  <c r="N11" i="13"/>
  <c r="F10" i="13"/>
  <c r="G17" i="13"/>
  <c r="P16" i="13"/>
  <c r="G11" i="13"/>
  <c r="W8" i="13"/>
  <c r="R15" i="13"/>
  <c r="E14" i="13"/>
  <c r="F2" i="12"/>
  <c r="Y13" i="13"/>
  <c r="AD14" i="13"/>
  <c r="N8" i="13"/>
  <c r="X16" i="13"/>
  <c r="O9" i="13"/>
  <c r="AG9" i="13"/>
  <c r="R8" i="13"/>
  <c r="N15" i="13"/>
  <c r="I14" i="13"/>
  <c r="AE8" i="13"/>
  <c r="AF22" i="13"/>
  <c r="G9" i="13"/>
  <c r="P10" i="13"/>
  <c r="E10" i="13"/>
  <c r="AE5" i="13"/>
  <c r="D10" i="13"/>
  <c r="AH22" i="13"/>
  <c r="Q9" i="13"/>
  <c r="D13" i="13"/>
  <c r="S10" i="13"/>
  <c r="M10" i="13"/>
  <c r="AE21" i="13"/>
  <c r="Y10" i="13"/>
  <c r="AI5" i="13"/>
  <c r="Y14" i="13"/>
  <c r="AH15" i="13"/>
  <c r="AJ21" i="13"/>
  <c r="AJ9" i="13"/>
  <c r="AH6" i="13"/>
  <c r="AA14" i="13"/>
  <c r="I978" i="10"/>
  <c r="AA9" i="13"/>
  <c r="AJ22" i="13"/>
  <c r="AE15" i="13"/>
  <c r="D14" i="13"/>
  <c r="Y17" i="13"/>
  <c r="Y12" i="13"/>
  <c r="V17" i="13"/>
  <c r="AG21" i="13"/>
  <c r="H17" i="13"/>
  <c r="AE19" i="13"/>
  <c r="AD12" i="13"/>
  <c r="U11" i="13"/>
  <c r="O10" i="13"/>
  <c r="AG16" i="13"/>
  <c r="N13" i="13"/>
  <c r="K16" i="13"/>
  <c r="AD11" i="13"/>
  <c r="O15" i="13"/>
  <c r="T9" i="13"/>
  <c r="C28" i="12"/>
  <c r="I971" i="10"/>
  <c r="I972" i="10"/>
  <c r="L10" i="13"/>
  <c r="M12" i="13"/>
  <c r="X13" i="13"/>
  <c r="H12" i="13"/>
  <c r="O12" i="13"/>
  <c r="V13" i="13"/>
  <c r="R14" i="13"/>
  <c r="AD21" i="13"/>
  <c r="U16" i="13"/>
  <c r="J12" i="13"/>
  <c r="AJ5" i="13"/>
  <c r="AG15" i="13"/>
  <c r="N12" i="13"/>
  <c r="AB804" i="10" l="1"/>
  <c r="G765" i="10"/>
  <c r="J717" i="10"/>
  <c r="X804" i="10"/>
  <c r="AI836" i="10"/>
  <c r="F925" i="10"/>
  <c r="AF822" i="10"/>
  <c r="AJ805" i="10"/>
  <c r="AC804" i="10"/>
  <c r="V804" i="10"/>
  <c r="AL805" i="10"/>
  <c r="AA804" i="10"/>
  <c r="Z787" i="10"/>
  <c r="D1497" i="10"/>
  <c r="D1496" i="10"/>
  <c r="B29" i="12"/>
  <c r="F1027" i="10" s="1"/>
  <c r="J1026" i="10"/>
  <c r="AH771" i="10"/>
  <c r="AC823" i="10"/>
  <c r="D757" i="10"/>
  <c r="D758" i="10" s="1"/>
  <c r="Y836" i="10"/>
  <c r="AB805" i="10"/>
  <c r="H945" i="10"/>
  <c r="AC787" i="10"/>
  <c r="AI788" i="10"/>
  <c r="D759" i="10"/>
  <c r="O171" i="10"/>
  <c r="V837" i="10"/>
  <c r="I925" i="10"/>
  <c r="AJ837" i="10"/>
  <c r="AM804" i="10"/>
  <c r="AM837" i="10"/>
  <c r="R822" i="10"/>
  <c r="E765" i="10"/>
  <c r="L916" i="10"/>
  <c r="L918" i="10" s="1"/>
  <c r="AO771" i="10"/>
  <c r="AO822" i="10"/>
  <c r="H719" i="10"/>
  <c r="L945" i="10"/>
  <c r="AR760" i="10"/>
  <c r="T193" i="10"/>
  <c r="T194" i="10" s="1"/>
  <c r="L925" i="10"/>
  <c r="H765" i="10"/>
  <c r="AM822" i="10"/>
  <c r="I717" i="10"/>
  <c r="AM787" i="10"/>
  <c r="G925" i="10"/>
  <c r="AA787" i="10"/>
  <c r="AG787" i="10"/>
  <c r="R805" i="10"/>
  <c r="AE771" i="10"/>
  <c r="J916" i="10"/>
  <c r="J918" i="10" s="1"/>
  <c r="J923" i="10" s="1"/>
  <c r="R787" i="10"/>
  <c r="E717" i="10"/>
  <c r="S787" i="10"/>
  <c r="AD787" i="10"/>
  <c r="U771" i="10"/>
  <c r="H916" i="10"/>
  <c r="H918" i="10" s="1"/>
  <c r="E723" i="10"/>
  <c r="W822" i="10"/>
  <c r="AB823" i="10"/>
  <c r="AF770" i="10"/>
  <c r="D945" i="10"/>
  <c r="Q193" i="10"/>
  <c r="AR729" i="10"/>
  <c r="AC771" i="10"/>
  <c r="AL836" i="10"/>
  <c r="AB770" i="10"/>
  <c r="D763" i="10"/>
  <c r="D764" i="10" s="1"/>
  <c r="AM805" i="10"/>
  <c r="A193" i="10"/>
  <c r="A1018" i="10" s="1"/>
  <c r="S822" i="10"/>
  <c r="AF823" i="10"/>
  <c r="AK770" i="10"/>
  <c r="U788" i="10"/>
  <c r="AD836" i="10"/>
  <c r="U837" i="10"/>
  <c r="T787" i="10"/>
  <c r="AB788" i="10"/>
  <c r="D1495" i="10"/>
  <c r="V787" i="10"/>
  <c r="AO836" i="10"/>
  <c r="L245" i="10"/>
  <c r="L804" i="10" s="1"/>
  <c r="Y788" i="10"/>
  <c r="C925" i="10"/>
  <c r="F245" i="10"/>
  <c r="F804" i="10" s="1"/>
  <c r="AK804" i="10"/>
  <c r="D715" i="10"/>
  <c r="AG837" i="10"/>
  <c r="AF804" i="10"/>
  <c r="AJ836" i="10"/>
  <c r="AE837" i="10"/>
  <c r="Y822" i="10"/>
  <c r="E916" i="10"/>
  <c r="E918" i="10" s="1"/>
  <c r="Z770" i="10"/>
  <c r="W787" i="10"/>
  <c r="F761" i="10"/>
  <c r="AF836" i="10"/>
  <c r="AI805" i="10"/>
  <c r="T804" i="10"/>
  <c r="Z822" i="10"/>
  <c r="AA822" i="10"/>
  <c r="AD805" i="10"/>
  <c r="D1501" i="10"/>
  <c r="R771" i="10"/>
  <c r="AG804" i="10"/>
  <c r="V770" i="10"/>
  <c r="AN805" i="10"/>
  <c r="Z823" i="10"/>
  <c r="V822" i="10"/>
  <c r="J715" i="10"/>
  <c r="J4" i="13"/>
  <c r="X684" i="10" s="1"/>
  <c r="X4" i="13"/>
  <c r="AL684" i="10" s="1"/>
  <c r="N4" i="13"/>
  <c r="AB684" i="10" s="1"/>
  <c r="M4" i="13"/>
  <c r="AA684" i="10" s="1"/>
  <c r="Q4" i="13"/>
  <c r="AE684" i="10" s="1"/>
  <c r="I4" i="13"/>
  <c r="W684" i="10" s="1"/>
  <c r="Z4" i="13"/>
  <c r="AN684" i="10" s="1"/>
  <c r="K4" i="13"/>
  <c r="Y684" i="10" s="1"/>
  <c r="D4" i="13"/>
  <c r="R684" i="10" s="1"/>
  <c r="AA4" i="13"/>
  <c r="AO684" i="10" s="1"/>
  <c r="Y4" i="13"/>
  <c r="AM684" i="10" s="1"/>
  <c r="R4" i="13"/>
  <c r="AF684" i="10" s="1"/>
  <c r="H4" i="13"/>
  <c r="V684" i="10" s="1"/>
  <c r="S4" i="13"/>
  <c r="AG684" i="10" s="1"/>
  <c r="L4" i="13"/>
  <c r="Z684" i="10" s="1"/>
  <c r="G4" i="13"/>
  <c r="U684" i="10" s="1"/>
  <c r="F4" i="13"/>
  <c r="T684" i="10" s="1"/>
  <c r="W4" i="13"/>
  <c r="AK684" i="10" s="1"/>
  <c r="U4" i="13"/>
  <c r="AI684" i="10" s="1"/>
  <c r="E4" i="13"/>
  <c r="S684" i="10" s="1"/>
  <c r="T4" i="13"/>
  <c r="AH684" i="10" s="1"/>
  <c r="P4" i="13"/>
  <c r="AD684" i="10" s="1"/>
  <c r="O4" i="13"/>
  <c r="AC684" i="10" s="1"/>
  <c r="V4" i="13"/>
  <c r="AJ684" i="10" s="1"/>
  <c r="S788" i="10"/>
  <c r="AB771" i="10"/>
  <c r="E245" i="10"/>
  <c r="E804" i="10" s="1"/>
  <c r="U804" i="10"/>
  <c r="AE805" i="10"/>
  <c r="D1498" i="10"/>
  <c r="AA770" i="10"/>
  <c r="H245" i="10"/>
  <c r="H804" i="10" s="1"/>
  <c r="AK788" i="10"/>
  <c r="G715" i="10"/>
  <c r="AO823" i="10"/>
  <c r="AO787" i="10"/>
  <c r="S193" i="10"/>
  <c r="S194" i="10" s="1"/>
  <c r="AR751" i="10"/>
  <c r="K945" i="10"/>
  <c r="AO770" i="10"/>
  <c r="AC788" i="10"/>
  <c r="Y805" i="10"/>
  <c r="AC836" i="10"/>
  <c r="I721" i="10"/>
  <c r="F765" i="10"/>
  <c r="K1003" i="10"/>
  <c r="J1003" i="10" s="1"/>
  <c r="Z805" i="10"/>
  <c r="S804" i="10"/>
  <c r="A245" i="10"/>
  <c r="A804" i="10" s="1"/>
  <c r="R788" i="10"/>
  <c r="X836" i="10"/>
  <c r="AG788" i="10"/>
  <c r="AB787" i="10"/>
  <c r="AJ788" i="10"/>
  <c r="F757" i="10"/>
  <c r="F758" i="10" s="1"/>
  <c r="AE836" i="10"/>
  <c r="U822" i="10"/>
  <c r="A916" i="10"/>
  <c r="A918" i="10" s="1"/>
  <c r="D1500" i="10"/>
  <c r="Y787" i="10"/>
  <c r="AH804" i="10"/>
  <c r="S837" i="10"/>
  <c r="G916" i="10"/>
  <c r="G918" i="10" s="1"/>
  <c r="R823" i="10"/>
  <c r="AA771" i="10"/>
  <c r="W804" i="10"/>
  <c r="W823" i="10"/>
  <c r="AF787" i="10"/>
  <c r="AJ822" i="10"/>
  <c r="Z836" i="10"/>
  <c r="X788" i="10"/>
  <c r="D761" i="10"/>
  <c r="D762" i="10" s="1"/>
  <c r="AB836" i="10"/>
  <c r="AJ804" i="10"/>
  <c r="S836" i="10"/>
  <c r="AA805" i="10"/>
  <c r="Z804" i="10"/>
  <c r="H19" i="13"/>
  <c r="V751" i="10" s="1"/>
  <c r="K19" i="13"/>
  <c r="Y751" i="10" s="1"/>
  <c r="Z19" i="13"/>
  <c r="AN751" i="10" s="1"/>
  <c r="O19" i="13"/>
  <c r="AC751" i="10" s="1"/>
  <c r="M19" i="13"/>
  <c r="AA751" i="10" s="1"/>
  <c r="U19" i="13"/>
  <c r="AI751" i="10" s="1"/>
  <c r="L19" i="13"/>
  <c r="Z751" i="10" s="1"/>
  <c r="T19" i="13"/>
  <c r="AH751" i="10" s="1"/>
  <c r="W19" i="13"/>
  <c r="AK751" i="10" s="1"/>
  <c r="AA19" i="13"/>
  <c r="AO751" i="10" s="1"/>
  <c r="R19" i="13"/>
  <c r="AF751" i="10" s="1"/>
  <c r="G19" i="13"/>
  <c r="U751" i="10" s="1"/>
  <c r="S19" i="13"/>
  <c r="AG751" i="10" s="1"/>
  <c r="E19" i="13"/>
  <c r="S751" i="10" s="1"/>
  <c r="N19" i="13"/>
  <c r="AB751" i="10" s="1"/>
  <c r="X19" i="13"/>
  <c r="AL751" i="10" s="1"/>
  <c r="J19" i="13"/>
  <c r="X751" i="10" s="1"/>
  <c r="V19" i="13"/>
  <c r="AJ751" i="10" s="1"/>
  <c r="D19" i="13"/>
  <c r="R751" i="10" s="1"/>
  <c r="F19" i="13"/>
  <c r="T751" i="10" s="1"/>
  <c r="P19" i="13"/>
  <c r="AD751" i="10" s="1"/>
  <c r="Y19" i="13"/>
  <c r="AM751" i="10" s="1"/>
  <c r="I19" i="13"/>
  <c r="W751" i="10" s="1"/>
  <c r="Q19" i="13"/>
  <c r="AE751" i="10" s="1"/>
  <c r="V823" i="10"/>
  <c r="AI804" i="10"/>
  <c r="H757" i="10"/>
  <c r="H758" i="10" s="1"/>
  <c r="Y837" i="10"/>
  <c r="X837" i="10"/>
  <c r="AJ823" i="10"/>
  <c r="AK805" i="10"/>
  <c r="I916" i="10"/>
  <c r="I918" i="10" s="1"/>
  <c r="AI822" i="10"/>
  <c r="AN837" i="10"/>
  <c r="Y771" i="10"/>
  <c r="R837" i="10"/>
  <c r="K189" i="10"/>
  <c r="AC805" i="10"/>
  <c r="W771" i="10"/>
  <c r="Y804" i="10"/>
  <c r="AE787" i="10"/>
  <c r="AN822" i="10"/>
  <c r="AD770" i="10"/>
  <c r="J721" i="10"/>
  <c r="AK837" i="10"/>
  <c r="AE788" i="10"/>
  <c r="T805" i="10"/>
  <c r="AC770" i="10"/>
  <c r="T837" i="10"/>
  <c r="E763" i="10"/>
  <c r="J945" i="10"/>
  <c r="AR738" i="10"/>
  <c r="R193" i="10"/>
  <c r="AA823" i="10"/>
  <c r="AH823" i="10"/>
  <c r="T770" i="10"/>
  <c r="AH770" i="10"/>
  <c r="E945" i="10"/>
  <c r="D916" i="10"/>
  <c r="D918" i="10" s="1"/>
  <c r="D923" i="10" s="1"/>
  <c r="B245" i="10"/>
  <c r="B804" i="10" s="1"/>
  <c r="AN770" i="10"/>
  <c r="E925" i="10"/>
  <c r="AE822" i="10"/>
  <c r="A945" i="10"/>
  <c r="N193" i="10"/>
  <c r="N194" i="10" s="1"/>
  <c r="AR684" i="10"/>
  <c r="R836" i="10"/>
  <c r="I945" i="10"/>
  <c r="AD788" i="10"/>
  <c r="U787" i="10"/>
  <c r="D723" i="10"/>
  <c r="N20" i="13"/>
  <c r="AB760" i="10" s="1"/>
  <c r="I20" i="13"/>
  <c r="W760" i="10" s="1"/>
  <c r="U20" i="13"/>
  <c r="AI760" i="10" s="1"/>
  <c r="M20" i="13"/>
  <c r="AA760" i="10" s="1"/>
  <c r="P20" i="13"/>
  <c r="AD760" i="10" s="1"/>
  <c r="X20" i="13"/>
  <c r="AL760" i="10" s="1"/>
  <c r="E20" i="13"/>
  <c r="S760" i="10" s="1"/>
  <c r="W20" i="13"/>
  <c r="AK760" i="10" s="1"/>
  <c r="R20" i="13"/>
  <c r="AF760" i="10" s="1"/>
  <c r="F20" i="13"/>
  <c r="T760" i="10" s="1"/>
  <c r="T20" i="13"/>
  <c r="AH760" i="10" s="1"/>
  <c r="G20" i="13"/>
  <c r="U760" i="10" s="1"/>
  <c r="K20" i="13"/>
  <c r="Y760" i="10" s="1"/>
  <c r="O20" i="13"/>
  <c r="AC760" i="10" s="1"/>
  <c r="Q20" i="13"/>
  <c r="AE760" i="10" s="1"/>
  <c r="Z20" i="13"/>
  <c r="AN760" i="10" s="1"/>
  <c r="J20" i="13"/>
  <c r="X760" i="10" s="1"/>
  <c r="AA20" i="13"/>
  <c r="AO760" i="10" s="1"/>
  <c r="L20" i="13"/>
  <c r="Z760" i="10" s="1"/>
  <c r="D20" i="13"/>
  <c r="R760" i="10" s="1"/>
  <c r="S20" i="13"/>
  <c r="AG760" i="10" s="1"/>
  <c r="V20" i="13"/>
  <c r="AJ760" i="10" s="1"/>
  <c r="Y20" i="13"/>
  <c r="AM760" i="10" s="1"/>
  <c r="H20" i="13"/>
  <c r="V760" i="10" s="1"/>
  <c r="S770" i="10"/>
  <c r="AF805" i="10"/>
  <c r="F715" i="10"/>
  <c r="B925" i="10"/>
  <c r="J245" i="10"/>
  <c r="J804" i="10" s="1"/>
  <c r="P193" i="10"/>
  <c r="P194" i="10" s="1"/>
  <c r="C945" i="10"/>
  <c r="AR720" i="10"/>
  <c r="AM836" i="10"/>
  <c r="R804" i="10"/>
  <c r="AN788" i="10"/>
  <c r="I723" i="10"/>
  <c r="AE823" i="10"/>
  <c r="AE804" i="10"/>
  <c r="AI823" i="10"/>
  <c r="A925" i="10"/>
  <c r="X805" i="10"/>
  <c r="I715" i="10"/>
  <c r="G759" i="10"/>
  <c r="G760" i="10" s="1"/>
  <c r="AI837" i="10"/>
  <c r="D765" i="10"/>
  <c r="AK836" i="10"/>
  <c r="AF837" i="10"/>
  <c r="AF771" i="10"/>
  <c r="F717" i="10"/>
  <c r="F718" i="10" s="1"/>
  <c r="Z771" i="10"/>
  <c r="AA788" i="10"/>
  <c r="D721" i="10"/>
  <c r="D717" i="10"/>
  <c r="X823" i="10"/>
  <c r="AK822" i="10"/>
  <c r="T771" i="10"/>
  <c r="AL823" i="10"/>
  <c r="AD822" i="10"/>
  <c r="X770" i="10"/>
  <c r="J925" i="10"/>
  <c r="J927" i="10" s="1"/>
  <c r="I245" i="10"/>
  <c r="I804" i="10" s="1"/>
  <c r="L1090" i="10"/>
  <c r="T822" i="10"/>
  <c r="P5" i="13"/>
  <c r="AD711" i="10" s="1"/>
  <c r="F5" i="13"/>
  <c r="T711" i="10" s="1"/>
  <c r="N5" i="13"/>
  <c r="AB711" i="10" s="1"/>
  <c r="I5" i="13"/>
  <c r="W711" i="10" s="1"/>
  <c r="S5" i="13"/>
  <c r="AG711" i="10" s="1"/>
  <c r="AA5" i="13"/>
  <c r="AO711" i="10" s="1"/>
  <c r="X5" i="13"/>
  <c r="AL711" i="10" s="1"/>
  <c r="E5" i="13"/>
  <c r="S711" i="10" s="1"/>
  <c r="T5" i="13"/>
  <c r="AH711" i="10" s="1"/>
  <c r="V5" i="13"/>
  <c r="AJ711" i="10" s="1"/>
  <c r="U5" i="13"/>
  <c r="AI711" i="10" s="1"/>
  <c r="Y5" i="13"/>
  <c r="AM711" i="10" s="1"/>
  <c r="Z5" i="13"/>
  <c r="AN711" i="10" s="1"/>
  <c r="M5" i="13"/>
  <c r="AA711" i="10" s="1"/>
  <c r="J5" i="13"/>
  <c r="X711" i="10" s="1"/>
  <c r="D5" i="13"/>
  <c r="R711" i="10" s="1"/>
  <c r="L5" i="13"/>
  <c r="Z711" i="10" s="1"/>
  <c r="H5" i="13"/>
  <c r="V711" i="10" s="1"/>
  <c r="O5" i="13"/>
  <c r="AC711" i="10" s="1"/>
  <c r="Q5" i="13"/>
  <c r="AE711" i="10" s="1"/>
  <c r="G5" i="13"/>
  <c r="U711" i="10" s="1"/>
  <c r="K5" i="13"/>
  <c r="Y711" i="10" s="1"/>
  <c r="R5" i="13"/>
  <c r="AF711" i="10" s="1"/>
  <c r="W5" i="13"/>
  <c r="AK711" i="10" s="1"/>
  <c r="AD804" i="10"/>
  <c r="AM770" i="10"/>
  <c r="AG836" i="10"/>
  <c r="AL771" i="10"/>
  <c r="E715" i="10"/>
  <c r="AN771" i="10"/>
  <c r="K925" i="10"/>
  <c r="F945" i="10"/>
  <c r="K6" i="13"/>
  <c r="Y720" i="10" s="1"/>
  <c r="O6" i="13"/>
  <c r="AC720" i="10" s="1"/>
  <c r="F6" i="13"/>
  <c r="T720" i="10" s="1"/>
  <c r="S6" i="13"/>
  <c r="AG720" i="10" s="1"/>
  <c r="T6" i="13"/>
  <c r="AH720" i="10" s="1"/>
  <c r="N6" i="13"/>
  <c r="AB720" i="10" s="1"/>
  <c r="M6" i="13"/>
  <c r="AA720" i="10" s="1"/>
  <c r="W6" i="13"/>
  <c r="AK720" i="10" s="1"/>
  <c r="Q6" i="13"/>
  <c r="AE720" i="10" s="1"/>
  <c r="P6" i="13"/>
  <c r="AD720" i="10" s="1"/>
  <c r="R6" i="13"/>
  <c r="AF720" i="10" s="1"/>
  <c r="E6" i="13"/>
  <c r="S720" i="10" s="1"/>
  <c r="H6" i="13"/>
  <c r="V720" i="10" s="1"/>
  <c r="Y6" i="13"/>
  <c r="AM720" i="10" s="1"/>
  <c r="V6" i="13"/>
  <c r="AJ720" i="10" s="1"/>
  <c r="AA6" i="13"/>
  <c r="AO720" i="10" s="1"/>
  <c r="G6" i="13"/>
  <c r="U720" i="10" s="1"/>
  <c r="U6" i="13"/>
  <c r="AI720" i="10" s="1"/>
  <c r="X6" i="13"/>
  <c r="AL720" i="10" s="1"/>
  <c r="D6" i="13"/>
  <c r="R720" i="10" s="1"/>
  <c r="Z6" i="13"/>
  <c r="AN720" i="10" s="1"/>
  <c r="I6" i="13"/>
  <c r="W720" i="10" s="1"/>
  <c r="J6" i="13"/>
  <c r="X720" i="10" s="1"/>
  <c r="L6" i="13"/>
  <c r="Z720" i="10" s="1"/>
  <c r="Z837" i="10"/>
  <c r="AB822" i="10"/>
  <c r="H715" i="10"/>
  <c r="AB837" i="10"/>
  <c r="H761" i="10"/>
  <c r="T788" i="10"/>
  <c r="T823" i="10"/>
  <c r="U823" i="10"/>
  <c r="J719" i="10"/>
  <c r="AI771" i="10"/>
  <c r="S805" i="10"/>
  <c r="U805" i="10"/>
  <c r="AN823" i="10"/>
  <c r="E719" i="10"/>
  <c r="E720" i="10" s="1"/>
  <c r="AO804" i="10"/>
  <c r="B945" i="10"/>
  <c r="AR711" i="10"/>
  <c r="O193" i="10"/>
  <c r="O194" i="10" s="1"/>
  <c r="AA836" i="10"/>
  <c r="E757" i="10"/>
  <c r="AI787" i="10"/>
  <c r="AE770" i="10"/>
  <c r="H717" i="10"/>
  <c r="H718" i="10" s="1"/>
  <c r="AH837" i="10"/>
  <c r="C245" i="10"/>
  <c r="C804" i="10" s="1"/>
  <c r="G945" i="10"/>
  <c r="AG771" i="10"/>
  <c r="H759" i="10"/>
  <c r="B27" i="12"/>
  <c r="F1025" i="10" s="1"/>
  <c r="J1024" i="10"/>
  <c r="W770" i="10"/>
  <c r="G761" i="10"/>
  <c r="D1499" i="10"/>
  <c r="AH788" i="10"/>
  <c r="AJ787" i="10"/>
  <c r="X771" i="10"/>
  <c r="AO837" i="10"/>
  <c r="F916" i="10"/>
  <c r="F918" i="10" s="1"/>
  <c r="AM823" i="10"/>
  <c r="AF788" i="10"/>
  <c r="AL804" i="10"/>
  <c r="AD771" i="10"/>
  <c r="O170" i="10"/>
  <c r="D719" i="10"/>
  <c r="D720" i="10" s="1"/>
  <c r="U770" i="10"/>
  <c r="J723" i="10"/>
  <c r="AM788" i="10"/>
  <c r="W788" i="10"/>
  <c r="J1025" i="10"/>
  <c r="B28" i="12"/>
  <c r="F1026" i="10" s="1"/>
  <c r="H721" i="10"/>
  <c r="G763" i="10"/>
  <c r="V805" i="10"/>
  <c r="AD823" i="10"/>
  <c r="F763" i="10"/>
  <c r="F759" i="10"/>
  <c r="F760" i="10" s="1"/>
  <c r="W805" i="10"/>
  <c r="AG805" i="10"/>
  <c r="H925" i="10"/>
  <c r="Z788" i="10"/>
  <c r="AD837" i="10"/>
  <c r="AN804" i="10"/>
  <c r="G245" i="10"/>
  <c r="G804" i="10" s="1"/>
  <c r="I18" i="13"/>
  <c r="W738" i="10" s="1"/>
  <c r="Z18" i="13"/>
  <c r="AN738" i="10" s="1"/>
  <c r="M18" i="13"/>
  <c r="AA738" i="10" s="1"/>
  <c r="T18" i="13"/>
  <c r="AH738" i="10" s="1"/>
  <c r="H18" i="13"/>
  <c r="V738" i="10" s="1"/>
  <c r="P18" i="13"/>
  <c r="AD738" i="10" s="1"/>
  <c r="W18" i="13"/>
  <c r="AK738" i="10" s="1"/>
  <c r="K18" i="13"/>
  <c r="Y738" i="10" s="1"/>
  <c r="X18" i="13"/>
  <c r="AL738" i="10" s="1"/>
  <c r="D18" i="13"/>
  <c r="R738" i="10" s="1"/>
  <c r="V18" i="13"/>
  <c r="AJ738" i="10" s="1"/>
  <c r="O18" i="13"/>
  <c r="AC738" i="10" s="1"/>
  <c r="AA18" i="13"/>
  <c r="AO738" i="10" s="1"/>
  <c r="U18" i="13"/>
  <c r="AI738" i="10" s="1"/>
  <c r="N18" i="13"/>
  <c r="AB738" i="10" s="1"/>
  <c r="Y18" i="13"/>
  <c r="AM738" i="10" s="1"/>
  <c r="F18" i="13"/>
  <c r="T738" i="10" s="1"/>
  <c r="J18" i="13"/>
  <c r="X738" i="10" s="1"/>
  <c r="R18" i="13"/>
  <c r="AF738" i="10" s="1"/>
  <c r="S18" i="13"/>
  <c r="AG738" i="10" s="1"/>
  <c r="E18" i="13"/>
  <c r="S738" i="10" s="1"/>
  <c r="Q18" i="13"/>
  <c r="AE738" i="10" s="1"/>
  <c r="G18" i="13"/>
  <c r="U738" i="10" s="1"/>
  <c r="L18" i="13"/>
  <c r="Z738" i="10" s="1"/>
  <c r="G721" i="10"/>
  <c r="B916" i="10"/>
  <c r="B918" i="10" s="1"/>
  <c r="AG770" i="10"/>
  <c r="K916" i="10"/>
  <c r="K918" i="10" s="1"/>
  <c r="K923" i="10" s="1"/>
  <c r="W836" i="10"/>
  <c r="G719" i="10"/>
  <c r="F723" i="10"/>
  <c r="AO805" i="10"/>
  <c r="V836" i="10"/>
  <c r="AN787" i="10"/>
  <c r="J1022" i="10"/>
  <c r="B25" i="12"/>
  <c r="F1023" i="10" s="1"/>
  <c r="AO788" i="10"/>
  <c r="AL822" i="10"/>
  <c r="E761" i="10"/>
  <c r="E762" i="10" s="1"/>
  <c r="AC837" i="10"/>
  <c r="T836" i="10"/>
  <c r="G717" i="10"/>
  <c r="AM771" i="10"/>
  <c r="V771" i="10"/>
  <c r="AL770" i="10"/>
  <c r="AJ770" i="10"/>
  <c r="G723" i="10"/>
  <c r="AN836" i="10"/>
  <c r="H763" i="10"/>
  <c r="H764" i="10" s="1"/>
  <c r="AL788" i="10"/>
  <c r="R770" i="10"/>
  <c r="V788" i="10"/>
  <c r="G1003" i="10"/>
  <c r="F1003" i="10" s="1"/>
  <c r="G757" i="10"/>
  <c r="G758" i="10" s="1"/>
  <c r="D245" i="10"/>
  <c r="D804" i="10" s="1"/>
  <c r="AH822" i="10"/>
  <c r="E721" i="10"/>
  <c r="AI770" i="10"/>
  <c r="AG822" i="10"/>
  <c r="AH805" i="10"/>
  <c r="K245" i="10"/>
  <c r="K804" i="10" s="1"/>
  <c r="K806" i="10"/>
  <c r="AG823" i="10"/>
  <c r="AK823" i="10"/>
  <c r="D1494" i="10"/>
  <c r="J1023" i="10"/>
  <c r="B26" i="12"/>
  <c r="F1024" i="10" s="1"/>
  <c r="Y770" i="10"/>
  <c r="AK787" i="10"/>
  <c r="Y823" i="10"/>
  <c r="F719" i="10"/>
  <c r="AJ771" i="10"/>
  <c r="U836" i="10"/>
  <c r="W837" i="10"/>
  <c r="U7" i="13"/>
  <c r="AI729" i="10" s="1"/>
  <c r="T7" i="13"/>
  <c r="AH729" i="10" s="1"/>
  <c r="O7" i="13"/>
  <c r="AC729" i="10" s="1"/>
  <c r="J7" i="13"/>
  <c r="X729" i="10" s="1"/>
  <c r="R7" i="13"/>
  <c r="AF729" i="10" s="1"/>
  <c r="S7" i="13"/>
  <c r="AG729" i="10" s="1"/>
  <c r="K7" i="13"/>
  <c r="Y729" i="10" s="1"/>
  <c r="H7" i="13"/>
  <c r="V729" i="10" s="1"/>
  <c r="N7" i="13"/>
  <c r="AB729" i="10" s="1"/>
  <c r="V7" i="13"/>
  <c r="AJ729" i="10" s="1"/>
  <c r="E7" i="13"/>
  <c r="S729" i="10" s="1"/>
  <c r="Q7" i="13"/>
  <c r="AE729" i="10" s="1"/>
  <c r="D7" i="13"/>
  <c r="R729" i="10" s="1"/>
  <c r="P7" i="13"/>
  <c r="AD729" i="10" s="1"/>
  <c r="X7" i="13"/>
  <c r="AL729" i="10" s="1"/>
  <c r="Y7" i="13"/>
  <c r="AM729" i="10" s="1"/>
  <c r="F7" i="13"/>
  <c r="T729" i="10" s="1"/>
  <c r="Z7" i="13"/>
  <c r="AN729" i="10" s="1"/>
  <c r="L7" i="13"/>
  <c r="Z729" i="10" s="1"/>
  <c r="AA7" i="13"/>
  <c r="AO729" i="10" s="1"/>
  <c r="M7" i="13"/>
  <c r="AA729" i="10" s="1"/>
  <c r="I7" i="13"/>
  <c r="W729" i="10" s="1"/>
  <c r="G7" i="13"/>
  <c r="U729" i="10" s="1"/>
  <c r="W7" i="13"/>
  <c r="AK729" i="10" s="1"/>
  <c r="AA837" i="10"/>
  <c r="F721" i="10"/>
  <c r="AL787" i="10"/>
  <c r="X787" i="10"/>
  <c r="D925" i="10"/>
  <c r="D927" i="10" s="1"/>
  <c r="S823" i="10"/>
  <c r="AK771" i="10"/>
  <c r="E759" i="10"/>
  <c r="E760" i="10" s="1"/>
  <c r="S771" i="10"/>
  <c r="AC822" i="10"/>
  <c r="C916" i="10"/>
  <c r="C918" i="10" s="1"/>
  <c r="H723" i="10"/>
  <c r="AH787" i="10"/>
  <c r="J1021" i="10"/>
  <c r="B24" i="12"/>
  <c r="F1022" i="10" s="1"/>
  <c r="X822" i="10"/>
  <c r="AL837" i="10"/>
  <c r="AH836" i="10"/>
  <c r="I719" i="10"/>
  <c r="I720" i="10" s="1"/>
  <c r="D1518" i="10"/>
  <c r="H1518" i="10" s="1"/>
  <c r="E1010" i="10"/>
  <c r="S404" i="10"/>
  <c r="U403" i="10" s="1"/>
  <c r="I405" i="10" s="1"/>
  <c r="V542" i="10"/>
  <c r="AH331" i="10"/>
  <c r="V319" i="10" s="1"/>
  <c r="Q282" i="10"/>
  <c r="L1084" i="10"/>
  <c r="L1110" i="10" s="1"/>
  <c r="P1084" i="10"/>
  <c r="P1110" i="10" s="1"/>
  <c r="L1162" i="10"/>
  <c r="O331" i="10"/>
  <c r="O315" i="10" s="1"/>
  <c r="P1256" i="10"/>
  <c r="AK331" i="10"/>
  <c r="Y319" i="10" s="1"/>
  <c r="AP780" i="10"/>
  <c r="D785" i="10" s="1"/>
  <c r="I402" i="10"/>
  <c r="I437" i="10" s="1"/>
  <c r="D1520" i="10"/>
  <c r="H1520" i="10" s="1"/>
  <c r="P1306" i="10"/>
  <c r="P1312" i="10" s="1"/>
  <c r="L1312" i="10"/>
  <c r="J339" i="10"/>
  <c r="AL364" i="10"/>
  <c r="AL366" i="10"/>
  <c r="AL363" i="10"/>
  <c r="AL365" i="10"/>
  <c r="AL367" i="10"/>
  <c r="AL356" i="10"/>
  <c r="AL369" i="10"/>
  <c r="AL359" i="10"/>
  <c r="T300" i="10"/>
  <c r="V300" i="10" s="1"/>
  <c r="L335" i="10"/>
  <c r="M335" i="10"/>
  <c r="O360" i="10"/>
  <c r="O359" i="10"/>
  <c r="O367" i="10"/>
  <c r="O357" i="10"/>
  <c r="O369" i="10"/>
  <c r="O366" i="10"/>
  <c r="O356" i="10"/>
  <c r="O364" i="10"/>
  <c r="E577" i="10"/>
  <c r="L1232" i="10"/>
  <c r="K447" i="10"/>
  <c r="P418" i="10" s="1"/>
  <c r="P422" i="10" s="1"/>
  <c r="K600" i="10"/>
  <c r="F611" i="10" s="1"/>
  <c r="O611" i="10" s="1"/>
  <c r="U473" i="10"/>
  <c r="K473" i="10" s="1"/>
  <c r="K474" i="10" s="1"/>
  <c r="AN209" i="10"/>
  <c r="J1224" i="10"/>
  <c r="L1233" i="10" s="1"/>
  <c r="L1244" i="10" s="1"/>
  <c r="E145" i="10"/>
  <c r="N139" i="10"/>
  <c r="H155" i="10"/>
  <c r="F145" i="10"/>
  <c r="K865" i="10"/>
  <c r="K867" i="10" s="1"/>
  <c r="K870" i="10"/>
  <c r="O358" i="10"/>
  <c r="E734" i="10"/>
  <c r="J734" i="10"/>
  <c r="F734" i="10"/>
  <c r="O368" i="10"/>
  <c r="O365" i="10"/>
  <c r="D734" i="10"/>
  <c r="O363" i="10"/>
  <c r="J309" i="10"/>
  <c r="G976" i="10" s="1"/>
  <c r="E908" i="10"/>
  <c r="E913" i="10" s="1"/>
  <c r="E910" i="10"/>
  <c r="E912" i="10" s="1"/>
  <c r="T1569" i="10"/>
  <c r="U1569" i="10" s="1"/>
  <c r="T1568" i="10"/>
  <c r="U1568" i="10" s="1"/>
  <c r="T1566" i="10"/>
  <c r="U1566" i="10" s="1"/>
  <c r="AL368" i="10"/>
  <c r="S1463" i="10"/>
  <c r="F1007" i="10"/>
  <c r="T1567" i="10"/>
  <c r="U1567" i="10" s="1"/>
  <c r="L1353" i="10"/>
  <c r="L1383" i="10" s="1"/>
  <c r="L1399" i="10" s="1"/>
  <c r="P1349" i="10"/>
  <c r="P1391" i="10" s="1"/>
  <c r="H474" i="10"/>
  <c r="K682" i="10"/>
  <c r="K335" i="10"/>
  <c r="I910" i="10"/>
  <c r="I912" i="10" s="1"/>
  <c r="I914" i="10" s="1"/>
  <c r="I913" i="10"/>
  <c r="K449" i="10"/>
  <c r="P420" i="10" s="1"/>
  <c r="T331" i="10"/>
  <c r="T315" i="10" s="1"/>
  <c r="M333" i="10"/>
  <c r="K333" i="10"/>
  <c r="J516" i="10"/>
  <c r="AJ366" i="10"/>
  <c r="AL360" i="10"/>
  <c r="U301" i="10"/>
  <c r="V301" i="10" s="1"/>
  <c r="K1592" i="10"/>
  <c r="F1593" i="10"/>
  <c r="H1592" i="10" s="1"/>
  <c r="T1419" i="10"/>
  <c r="D1418" i="10" s="1"/>
  <c r="W568" i="10"/>
  <c r="V568" i="10" s="1"/>
  <c r="W481" i="10"/>
  <c r="E516" i="10"/>
  <c r="AE363" i="10"/>
  <c r="R532" i="10"/>
  <c r="T532" i="10"/>
  <c r="T534" i="10" s="1"/>
  <c r="J534" i="10" s="1"/>
  <c r="J535" i="10" s="1"/>
  <c r="AA238" i="10"/>
  <c r="AA239" i="10"/>
  <c r="AA230" i="10"/>
  <c r="AB209" i="10"/>
  <c r="AB208" i="10"/>
  <c r="AB207" i="10"/>
  <c r="AB206" i="10"/>
  <c r="AB203" i="10"/>
  <c r="AB213" i="10"/>
  <c r="Q292" i="10"/>
  <c r="F1011" i="10"/>
  <c r="AA621" i="10"/>
  <c r="AB621" i="10" s="1"/>
  <c r="AB626" i="10" s="1"/>
  <c r="T472" i="10"/>
  <c r="P472" i="10"/>
  <c r="O472" i="10"/>
  <c r="O473" i="10" s="1"/>
  <c r="E473" i="10" s="1"/>
  <c r="E474" i="10" s="1"/>
  <c r="S472" i="10"/>
  <c r="T235" i="10"/>
  <c r="T236" i="10"/>
  <c r="L1358" i="10"/>
  <c r="I399" i="10" s="1"/>
  <c r="I450" i="10" s="1"/>
  <c r="L577" i="10"/>
  <c r="G1471" i="10"/>
  <c r="AF830" i="10"/>
  <c r="AD844" i="10"/>
  <c r="AM830" i="10"/>
  <c r="AM815" i="10"/>
  <c r="AJ767" i="10"/>
  <c r="R798" i="10"/>
  <c r="AP798" i="10" s="1"/>
  <c r="E785" i="10" s="1"/>
  <c r="W844" i="10"/>
  <c r="AF718" i="10"/>
  <c r="AH830" i="10"/>
  <c r="Z718" i="10"/>
  <c r="AK747" i="10"/>
  <c r="AB767" i="10"/>
  <c r="S747" i="10"/>
  <c r="AL691" i="10"/>
  <c r="AC815" i="10"/>
  <c r="AB736" i="10"/>
  <c r="AP736" i="10" s="1"/>
  <c r="G741" i="10" s="1"/>
  <c r="W758" i="10"/>
  <c r="AP758" i="10" s="1"/>
  <c r="I741" i="10" s="1"/>
  <c r="X780" i="10"/>
  <c r="X767" i="10"/>
  <c r="AP767" i="10" s="1"/>
  <c r="J741" i="10" s="1"/>
  <c r="AH844" i="10"/>
  <c r="AF747" i="10"/>
  <c r="AL727" i="10"/>
  <c r="AN718" i="10"/>
  <c r="T844" i="10"/>
  <c r="AC691" i="10"/>
  <c r="AO844" i="10"/>
  <c r="AO780" i="10"/>
  <c r="AJ798" i="10"/>
  <c r="AA718" i="10"/>
  <c r="AB758" i="10"/>
  <c r="S718" i="10"/>
  <c r="AP718" i="10" s="1"/>
  <c r="E741" i="10" s="1"/>
  <c r="AF691" i="10"/>
  <c r="V747" i="10"/>
  <c r="AJ780" i="10"/>
  <c r="S815" i="10"/>
  <c r="AB727" i="10"/>
  <c r="AB780" i="10"/>
  <c r="AN691" i="10"/>
  <c r="Y798" i="10"/>
  <c r="AH727" i="10"/>
  <c r="AH747" i="10"/>
  <c r="AI830" i="10"/>
  <c r="AA830" i="10"/>
  <c r="V736" i="10"/>
  <c r="AN767" i="10"/>
  <c r="AN747" i="10"/>
  <c r="R727" i="10"/>
  <c r="Y718" i="10"/>
  <c r="AK815" i="10"/>
  <c r="R844" i="10"/>
  <c r="AJ830" i="10"/>
  <c r="AL844" i="10"/>
  <c r="AG758" i="10"/>
  <c r="AD815" i="10"/>
  <c r="S688" i="10"/>
  <c r="S689" i="10" s="1"/>
  <c r="AG688" i="10"/>
  <c r="AG689" i="10" s="1"/>
  <c r="U472" i="10"/>
  <c r="P532" i="10"/>
  <c r="AE261" i="10"/>
  <c r="AE331" i="10" s="1"/>
  <c r="S319" i="10" s="1"/>
  <c r="N472" i="10"/>
  <c r="I577" i="10"/>
  <c r="S523" i="10"/>
  <c r="S534" i="10" s="1"/>
  <c r="I534" i="10" s="1"/>
  <c r="I535" i="10" s="1"/>
  <c r="Q523" i="10"/>
  <c r="Q534" i="10" s="1"/>
  <c r="G534" i="10" s="1"/>
  <c r="G535" i="10" s="1"/>
  <c r="O523" i="10"/>
  <c r="N523" i="10"/>
  <c r="H577" i="10"/>
  <c r="U286" i="10"/>
  <c r="V286" i="10" s="1"/>
  <c r="J1068" i="10"/>
  <c r="L1083" i="10" s="1"/>
  <c r="P1083" i="10" s="1"/>
  <c r="W548" i="10"/>
  <c r="V548" i="10" s="1"/>
  <c r="K577" i="10"/>
  <c r="L534" i="10"/>
  <c r="A1414" i="10"/>
  <c r="A1134" i="10" s="1"/>
  <c r="AE255" i="10"/>
  <c r="G1468" i="10"/>
  <c r="AA743" i="10"/>
  <c r="AD841" i="10"/>
  <c r="AD842" i="10" s="1"/>
  <c r="AM764" i="10"/>
  <c r="AM765" i="10" s="1"/>
  <c r="AN755" i="10"/>
  <c r="AN756" i="10" s="1"/>
  <c r="AG810" i="10"/>
  <c r="AG811" i="10" s="1"/>
  <c r="AL764" i="10"/>
  <c r="AL765" i="10" s="1"/>
  <c r="AL733" i="10"/>
  <c r="AK810" i="10"/>
  <c r="AK811" i="10" s="1"/>
  <c r="X715" i="10"/>
  <c r="X716" i="10" s="1"/>
  <c r="R764" i="10"/>
  <c r="U795" i="10"/>
  <c r="U796" i="10" s="1"/>
  <c r="AK688" i="10"/>
  <c r="AK689" i="10" s="1"/>
  <c r="AK775" i="10"/>
  <c r="AK776" i="10" s="1"/>
  <c r="AG743" i="10"/>
  <c r="AA755" i="10"/>
  <c r="AA756" i="10" s="1"/>
  <c r="AK743" i="10"/>
  <c r="AJ764" i="10"/>
  <c r="AJ765" i="10" s="1"/>
  <c r="AO827" i="10"/>
  <c r="AM827" i="10"/>
  <c r="AM828" i="10" s="1"/>
  <c r="AE724" i="10"/>
  <c r="AE725" i="10" s="1"/>
  <c r="X688" i="10"/>
  <c r="X689" i="10" s="1"/>
  <c r="AL688" i="10"/>
  <c r="AL689" i="10" s="1"/>
  <c r="R743" i="10"/>
  <c r="Y841" i="10"/>
  <c r="Y842" i="10" s="1"/>
  <c r="AO715" i="10"/>
  <c r="AO716" i="10" s="1"/>
  <c r="AG764" i="10"/>
  <c r="AG765" i="10" s="1"/>
  <c r="W755" i="10"/>
  <c r="W756" i="10" s="1"/>
  <c r="AG715" i="10"/>
  <c r="AG716" i="10" s="1"/>
  <c r="AJ715" i="10"/>
  <c r="AJ716" i="10" s="1"/>
  <c r="V764" i="10"/>
  <c r="V765" i="10" s="1"/>
  <c r="AD743" i="10"/>
  <c r="G1446" i="10"/>
  <c r="AE755" i="10"/>
  <c r="U715" i="10"/>
  <c r="U716" i="10" s="1"/>
  <c r="AO795" i="10"/>
  <c r="AB841" i="10"/>
  <c r="AB842" i="10" s="1"/>
  <c r="AE715" i="10"/>
  <c r="AE716" i="10" s="1"/>
  <c r="AC775" i="10"/>
  <c r="AC776" i="10" s="1"/>
  <c r="S841" i="10"/>
  <c r="AN743" i="10"/>
  <c r="AH841" i="10"/>
  <c r="AH842" i="10" s="1"/>
  <c r="AH715" i="10"/>
  <c r="AD733" i="10"/>
  <c r="K654" i="10"/>
  <c r="AH775" i="10"/>
  <c r="AH776" i="10" s="1"/>
  <c r="AB775" i="10"/>
  <c r="AB776" i="10" s="1"/>
  <c r="AC827" i="10"/>
  <c r="AC828" i="10" s="1"/>
  <c r="U755" i="10"/>
  <c r="U756" i="10" s="1"/>
  <c r="T841" i="10"/>
  <c r="T842" i="10" s="1"/>
  <c r="AF755" i="10"/>
  <c r="AF756" i="10" s="1"/>
  <c r="S715" i="10"/>
  <c r="S716" i="10" s="1"/>
  <c r="F332" i="10"/>
  <c r="W297" i="10"/>
  <c r="W302" i="10" s="1"/>
  <c r="U302" i="10" s="1"/>
  <c r="D675" i="10"/>
  <c r="E675" i="10"/>
  <c r="H675" i="10"/>
  <c r="F675" i="10"/>
  <c r="W567" i="10"/>
  <c r="V567" i="10" s="1"/>
  <c r="W555" i="10"/>
  <c r="V555" i="10" s="1"/>
  <c r="W511" i="10"/>
  <c r="V511" i="10" s="1"/>
  <c r="Z359" i="10"/>
  <c r="AA359" i="10"/>
  <c r="AA357" i="10"/>
  <c r="S1345" i="10"/>
  <c r="D1519" i="10"/>
  <c r="H1519" i="10" s="1"/>
  <c r="V292" i="10"/>
  <c r="Z577" i="10"/>
  <c r="Z368" i="10"/>
  <c r="W549" i="10"/>
  <c r="V549" i="10" s="1"/>
  <c r="Z827" i="10"/>
  <c r="Z828" i="10" s="1"/>
  <c r="AN827" i="10"/>
  <c r="AN828" i="10" s="1"/>
  <c r="X810" i="10"/>
  <c r="X811" i="10" s="1"/>
  <c r="U688" i="10"/>
  <c r="U689" i="10" s="1"/>
  <c r="Q532" i="10"/>
  <c r="O531" i="10"/>
  <c r="AI331" i="10"/>
  <c r="W319" i="10" s="1"/>
  <c r="S1413" i="10"/>
  <c r="T1413" i="10" s="1"/>
  <c r="D1412" i="10" s="1"/>
  <c r="W557" i="10"/>
  <c r="V557" i="10" s="1"/>
  <c r="O238" i="10"/>
  <c r="O239" i="10"/>
  <c r="O230" i="10"/>
  <c r="O228" i="10"/>
  <c r="P207" i="10"/>
  <c r="P210" i="10"/>
  <c r="R298" i="10"/>
  <c r="T1423" i="10"/>
  <c r="D1422" i="10" s="1"/>
  <c r="W482" i="10"/>
  <c r="V482" i="10" s="1"/>
  <c r="Z255" i="10"/>
  <c r="AF236" i="10"/>
  <c r="AF233" i="10"/>
  <c r="X138" i="10"/>
  <c r="X139" i="10" s="1"/>
  <c r="W139" i="10" s="1"/>
  <c r="I433" i="10" s="1"/>
  <c r="X775" i="10"/>
  <c r="X776" i="10" s="1"/>
  <c r="AC755" i="10"/>
  <c r="AC756" i="10" s="1"/>
  <c r="AI755" i="10"/>
  <c r="AI756" i="10" s="1"/>
  <c r="V688" i="10"/>
  <c r="V689" i="10" s="1"/>
  <c r="K675" i="10"/>
  <c r="W552" i="10"/>
  <c r="V552" i="10" s="1"/>
  <c r="AB279" i="10"/>
  <c r="AB331" i="10" s="1"/>
  <c r="P319" i="10" s="1"/>
  <c r="A913" i="10"/>
  <c r="A914" i="10" s="1"/>
  <c r="G1469" i="10"/>
  <c r="V715" i="10"/>
  <c r="V716" i="10" s="1"/>
  <c r="AK841" i="10"/>
  <c r="AK842" i="10" s="1"/>
  <c r="W724" i="10"/>
  <c r="W725" i="10" s="1"/>
  <c r="AM724" i="10"/>
  <c r="AM725" i="10" s="1"/>
  <c r="AN206" i="10"/>
  <c r="S531" i="10"/>
  <c r="W484" i="10"/>
  <c r="V484" i="10" s="1"/>
  <c r="X516" i="10"/>
  <c r="AC795" i="10"/>
  <c r="W810" i="10"/>
  <c r="AD755" i="10"/>
  <c r="AD756" i="10" s="1"/>
  <c r="AC841" i="10"/>
  <c r="N532" i="10"/>
  <c r="T366" i="10"/>
  <c r="T298" i="10"/>
  <c r="V298" i="10" s="1"/>
  <c r="Y724" i="10"/>
  <c r="Y725" i="10" s="1"/>
  <c r="AJ810" i="10"/>
  <c r="AJ811" i="10" s="1"/>
  <c r="Y764" i="10"/>
  <c r="Y765" i="10" s="1"/>
  <c r="AB688" i="10"/>
  <c r="AB689" i="10" s="1"/>
  <c r="U532" i="10"/>
  <c r="N531" i="10"/>
  <c r="N534" i="10" s="1"/>
  <c r="D534" i="10" s="1"/>
  <c r="T1411" i="10"/>
  <c r="D1410" i="10" s="1"/>
  <c r="S1411" i="10"/>
  <c r="P527" i="10"/>
  <c r="U527" i="10"/>
  <c r="Q365" i="10"/>
  <c r="T1421" i="10"/>
  <c r="D1420" i="10" s="1"/>
  <c r="W565" i="10"/>
  <c r="V565" i="10" s="1"/>
  <c r="H516" i="10"/>
  <c r="R367" i="10"/>
  <c r="Z279" i="10"/>
  <c r="L680" i="10"/>
  <c r="P34" i="10"/>
  <c r="P49" i="10" s="1"/>
  <c r="Q34" i="10"/>
  <c r="P229" i="10"/>
  <c r="P228" i="10"/>
  <c r="Q208" i="10"/>
  <c r="AN208" i="10" s="1"/>
  <c r="Q202" i="10"/>
  <c r="AN202" i="10" s="1"/>
  <c r="K845" i="10"/>
  <c r="AE235" i="10"/>
  <c r="O210" i="10"/>
  <c r="AN210" i="10" s="1"/>
  <c r="O204" i="10"/>
  <c r="O203" i="10"/>
  <c r="AN203" i="10" s="1"/>
  <c r="K864" i="10"/>
  <c r="AE364" i="10"/>
  <c r="AK363" i="10"/>
  <c r="AL209" i="10"/>
  <c r="AL207" i="10"/>
  <c r="S464" i="10"/>
  <c r="T464" i="10"/>
  <c r="N464" i="10"/>
  <c r="N473" i="10" s="1"/>
  <c r="D473" i="10" s="1"/>
  <c r="P464" i="10"/>
  <c r="M330" i="10"/>
  <c r="T295" i="10"/>
  <c r="V295" i="10" s="1"/>
  <c r="AJ239" i="10"/>
  <c r="AK210" i="10"/>
  <c r="G134" i="10"/>
  <c r="Q38" i="10"/>
  <c r="O38" i="10"/>
  <c r="T38" i="10"/>
  <c r="T49" i="10" s="1"/>
  <c r="Q289" i="10"/>
  <c r="AF368" i="10"/>
  <c r="AF359" i="10"/>
  <c r="AH366" i="10"/>
  <c r="AH358" i="10"/>
  <c r="AF267" i="10"/>
  <c r="AF331" i="10" s="1"/>
  <c r="T319" i="10" s="1"/>
  <c r="P261" i="10"/>
  <c r="P331" i="10" s="1"/>
  <c r="P315" i="10" s="1"/>
  <c r="AJ202" i="10"/>
  <c r="I92" i="10"/>
  <c r="J1302" i="10"/>
  <c r="X273" i="10"/>
  <c r="X331" i="10" s="1"/>
  <c r="X315" i="10" s="1"/>
  <c r="U32" i="10"/>
  <c r="U49" i="10" s="1"/>
  <c r="K49" i="10" s="1"/>
  <c r="Q32" i="10"/>
  <c r="Q49" i="10" s="1"/>
  <c r="O32" i="10"/>
  <c r="Y92" i="10"/>
  <c r="N93" i="10" s="1"/>
  <c r="V365" i="10"/>
  <c r="P526" i="10"/>
  <c r="P534" i="10" s="1"/>
  <c r="F534" i="10" s="1"/>
  <c r="F535" i="10" s="1"/>
  <c r="O526" i="10"/>
  <c r="AG357" i="10"/>
  <c r="Z232" i="10"/>
  <c r="Z233" i="10"/>
  <c r="AG238" i="10"/>
  <c r="AG239" i="10"/>
  <c r="AH204" i="10"/>
  <c r="D134" i="10"/>
  <c r="E1516" i="10" s="1"/>
  <c r="H1516" i="10" s="1"/>
  <c r="Z92" i="10"/>
  <c r="Z134" i="10"/>
  <c r="N136" i="10" s="1"/>
  <c r="U530" i="10"/>
  <c r="U526" i="10"/>
  <c r="U534" i="10" s="1"/>
  <c r="K534" i="10" s="1"/>
  <c r="K535" i="10" s="1"/>
  <c r="AJ261" i="10"/>
  <c r="AJ331" i="10" s="1"/>
  <c r="X319" i="10" s="1"/>
  <c r="Y235" i="10"/>
  <c r="Y234" i="10"/>
  <c r="Y236" i="10"/>
  <c r="AG212" i="10"/>
  <c r="AG202" i="10"/>
  <c r="L908" i="10"/>
  <c r="F908" i="10"/>
  <c r="G908" i="10"/>
  <c r="B912" i="10"/>
  <c r="B914" i="10" s="1"/>
  <c r="K910" i="10"/>
  <c r="K912" i="10" s="1"/>
  <c r="K914" i="10" s="1"/>
  <c r="AB267" i="10"/>
  <c r="AF210" i="10"/>
  <c r="AF204" i="10"/>
  <c r="W494" i="10"/>
  <c r="V494" i="10" s="1"/>
  <c r="K371" i="10"/>
  <c r="AD369" i="10"/>
  <c r="AD228" i="10"/>
  <c r="AD230" i="10"/>
  <c r="AE204" i="10"/>
  <c r="O37" i="10"/>
  <c r="U37" i="10"/>
  <c r="F350" i="10"/>
  <c r="H350" i="10"/>
  <c r="G350" i="10"/>
  <c r="AA284" i="10"/>
  <c r="AA293" i="10" s="1"/>
  <c r="Q462" i="10"/>
  <c r="Q473" i="10" s="1"/>
  <c r="G473" i="10" s="1"/>
  <c r="G474" i="10" s="1"/>
  <c r="S462" i="10"/>
  <c r="S273" i="10"/>
  <c r="S331" i="10" s="1"/>
  <c r="S315" i="10" s="1"/>
  <c r="Z267" i="10"/>
  <c r="AC228" i="10"/>
  <c r="P290" i="10"/>
  <c r="Q290" i="10" s="1"/>
  <c r="R273" i="10"/>
  <c r="R331" i="10" s="1"/>
  <c r="R315" i="10" s="1"/>
  <c r="Y267" i="10"/>
  <c r="Y331" i="10" s="1"/>
  <c r="Y315" i="10" s="1"/>
  <c r="O255" i="10"/>
  <c r="U232" i="10"/>
  <c r="U236" i="10"/>
  <c r="AK255" i="10"/>
  <c r="S232" i="10"/>
  <c r="S236" i="10"/>
  <c r="S235" i="10"/>
  <c r="AA207" i="10"/>
  <c r="AA213" i="10"/>
  <c r="M295" i="10"/>
  <c r="O286" i="10"/>
  <c r="Q286" i="10" s="1"/>
  <c r="Y228" i="10"/>
  <c r="Y230" i="10"/>
  <c r="Z210" i="10"/>
  <c r="Z207" i="10"/>
  <c r="Q234" i="10"/>
  <c r="AN234" i="10" s="1"/>
  <c r="F779" i="10" s="1"/>
  <c r="Y209" i="10"/>
  <c r="Y202" i="10"/>
  <c r="Y212" i="10"/>
  <c r="K842" i="10"/>
  <c r="K844" i="10" s="1"/>
  <c r="K851" i="10" s="1"/>
  <c r="P855" i="10"/>
  <c r="AH255" i="10"/>
  <c r="W228" i="10"/>
  <c r="W230" i="10"/>
  <c r="X208" i="10"/>
  <c r="X212" i="10"/>
  <c r="AE357" i="10"/>
  <c r="AD366" i="10"/>
  <c r="AE366" i="10"/>
  <c r="AK360" i="10"/>
  <c r="R356" i="10"/>
  <c r="C913" i="10"/>
  <c r="C914" i="10" s="1"/>
  <c r="H908" i="10"/>
  <c r="AK364" i="10"/>
  <c r="K323" i="10"/>
  <c r="AP802" i="10"/>
  <c r="E778" i="10" s="1"/>
  <c r="AL357" i="10"/>
  <c r="Y232" i="10"/>
  <c r="AN232" i="10" s="1"/>
  <c r="D779" i="10" s="1"/>
  <c r="AB232" i="10"/>
  <c r="Q526" i="10"/>
  <c r="AC212" i="10"/>
  <c r="AL228" i="10"/>
  <c r="AL230" i="10"/>
  <c r="O213" i="10"/>
  <c r="AN213" i="10" s="1"/>
  <c r="AK212" i="10"/>
  <c r="AC213" i="10"/>
  <c r="O233" i="10"/>
  <c r="Q287" i="10"/>
  <c r="AK208" i="10"/>
  <c r="T288" i="10"/>
  <c r="AG236" i="10"/>
  <c r="R528" i="10"/>
  <c r="R534" i="10" s="1"/>
  <c r="H534" i="10" s="1"/>
  <c r="W551" i="10"/>
  <c r="V551" i="10" s="1"/>
  <c r="U238" i="10"/>
  <c r="V206" i="10"/>
  <c r="J825" i="10" s="1"/>
  <c r="V207" i="10"/>
  <c r="V204" i="10"/>
  <c r="U35" i="10"/>
  <c r="N35" i="10"/>
  <c r="N49" i="10" s="1"/>
  <c r="Q204" i="10"/>
  <c r="E914" i="10" l="1"/>
  <c r="O411" i="10"/>
  <c r="O416" i="10" s="1"/>
  <c r="I438" i="10" s="1"/>
  <c r="E1007" i="10"/>
  <c r="I406" i="10"/>
  <c r="H535" i="10"/>
  <c r="H49" i="10"/>
  <c r="BI712" i="10"/>
  <c r="BI713" i="10" s="1"/>
  <c r="BH730" i="10"/>
  <c r="BH731" i="10" s="1"/>
  <c r="BC730" i="10"/>
  <c r="BC731" i="10" s="1"/>
  <c r="D535" i="10"/>
  <c r="P583" i="10" s="1"/>
  <c r="AM833" i="10"/>
  <c r="AM834" i="10" s="1"/>
  <c r="AN233" i="10"/>
  <c r="E779" i="10" s="1"/>
  <c r="P473" i="10"/>
  <c r="F473" i="10" s="1"/>
  <c r="F474" i="10" s="1"/>
  <c r="S842" i="10"/>
  <c r="BA390" i="10"/>
  <c r="BA391" i="10" s="1"/>
  <c r="AH796" i="10"/>
  <c r="AH800" i="10"/>
  <c r="AH794" i="10"/>
  <c r="R732" i="10"/>
  <c r="AB742" i="10"/>
  <c r="AB725" i="10"/>
  <c r="AB723" i="10"/>
  <c r="AA716" i="10"/>
  <c r="AA714" i="10"/>
  <c r="D718" i="10"/>
  <c r="AD765" i="10"/>
  <c r="AD763" i="10"/>
  <c r="AR740" i="10"/>
  <c r="AR741" i="10" s="1"/>
  <c r="BO738" i="10" s="1"/>
  <c r="BO739" i="10" s="1"/>
  <c r="BO740" i="10" s="1"/>
  <c r="AW738" i="10"/>
  <c r="BE738" i="10"/>
  <c r="BN738" i="10"/>
  <c r="BN739" i="10" s="1"/>
  <c r="BN740" i="10" s="1"/>
  <c r="AV738" i="10"/>
  <c r="AV739" i="10" s="1"/>
  <c r="AV740" i="10" s="1"/>
  <c r="BJ738" i="10"/>
  <c r="BJ739" i="10" s="1"/>
  <c r="BJ740" i="10" s="1"/>
  <c r="AU738" i="10"/>
  <c r="AU739" i="10" s="1"/>
  <c r="AU740" i="10" s="1"/>
  <c r="BL738" i="10"/>
  <c r="BL739" i="10" s="1"/>
  <c r="BL740" i="10" s="1"/>
  <c r="BC738" i="10"/>
  <c r="BC739" i="10" s="1"/>
  <c r="BC740" i="10" s="1"/>
  <c r="BG738" i="10"/>
  <c r="BG739" i="10" s="1"/>
  <c r="BG740" i="10" s="1"/>
  <c r="BA738" i="10"/>
  <c r="BA739" i="10" s="1"/>
  <c r="BA740" i="10" s="1"/>
  <c r="BP738" i="10"/>
  <c r="BP739" i="10" s="1"/>
  <c r="BP740" i="10" s="1"/>
  <c r="Y847" i="10"/>
  <c r="Y848" i="10" s="1"/>
  <c r="AC754" i="10"/>
  <c r="U832" i="10"/>
  <c r="U826" i="10"/>
  <c r="U828" i="10"/>
  <c r="R689" i="10"/>
  <c r="R687" i="10"/>
  <c r="W800" i="10"/>
  <c r="W801" i="10" s="1"/>
  <c r="W796" i="10"/>
  <c r="W794" i="10"/>
  <c r="S832" i="10"/>
  <c r="S826" i="10"/>
  <c r="S828" i="10"/>
  <c r="AA796" i="10"/>
  <c r="AA800" i="10"/>
  <c r="AA794" i="10"/>
  <c r="AC794" i="10"/>
  <c r="AC800" i="10"/>
  <c r="AC801" i="10" s="1"/>
  <c r="J827" i="10"/>
  <c r="D474" i="10"/>
  <c r="AP830" i="10"/>
  <c r="G785" i="10" s="1"/>
  <c r="BL390" i="10"/>
  <c r="BL391" i="10" s="1"/>
  <c r="Q298" i="10"/>
  <c r="AE732" i="10"/>
  <c r="K816" i="10"/>
  <c r="K813" i="10"/>
  <c r="AL826" i="10"/>
  <c r="AL832" i="10"/>
  <c r="AL828" i="10"/>
  <c r="AH723" i="10"/>
  <c r="AH725" i="10"/>
  <c r="AA765" i="10"/>
  <c r="AA763" i="10"/>
  <c r="AN754" i="10"/>
  <c r="AE842" i="10"/>
  <c r="AE846" i="10"/>
  <c r="AE840" i="10"/>
  <c r="H955" i="10"/>
  <c r="Y689" i="10"/>
  <c r="Y687" i="10"/>
  <c r="Z776" i="10"/>
  <c r="Z782" i="10"/>
  <c r="Z774" i="10"/>
  <c r="P584" i="10"/>
  <c r="AN207" i="10"/>
  <c r="AI742" i="10"/>
  <c r="V819" i="10"/>
  <c r="V820" i="10" s="1"/>
  <c r="H762" i="10"/>
  <c r="AN714" i="10"/>
  <c r="AN716" i="10"/>
  <c r="G913" i="10"/>
  <c r="G910" i="10"/>
  <c r="G912" i="10" s="1"/>
  <c r="G914" i="10" s="1"/>
  <c r="O49" i="10"/>
  <c r="T473" i="10"/>
  <c r="J473" i="10" s="1"/>
  <c r="J474" i="10" s="1"/>
  <c r="O534" i="10"/>
  <c r="E534" i="10" s="1"/>
  <c r="E535" i="10" s="1"/>
  <c r="BM390" i="10"/>
  <c r="BM391" i="10" s="1"/>
  <c r="E1512" i="10"/>
  <c r="O404" i="10"/>
  <c r="K1416" i="10"/>
  <c r="A1416" i="10" s="1"/>
  <c r="A1150" i="10" s="1"/>
  <c r="N146" i="10"/>
  <c r="P146" i="10" s="1"/>
  <c r="N141" i="10"/>
  <c r="N142" i="10" s="1"/>
  <c r="O298" i="10"/>
  <c r="C923" i="10"/>
  <c r="C927" i="10" s="1"/>
  <c r="S732" i="10"/>
  <c r="AO742" i="10"/>
  <c r="G764" i="10"/>
  <c r="H760" i="10"/>
  <c r="AB847" i="10"/>
  <c r="AB848" i="10" s="1"/>
  <c r="AG725" i="10"/>
  <c r="AG723" i="10"/>
  <c r="AM714" i="10"/>
  <c r="AM716" i="10"/>
  <c r="AA801" i="10"/>
  <c r="AA802" i="10" s="1"/>
  <c r="F722" i="10"/>
  <c r="F716" i="10"/>
  <c r="AI763" i="10"/>
  <c r="AI765" i="10"/>
  <c r="E764" i="10"/>
  <c r="AI808" i="10"/>
  <c r="AI811" i="10"/>
  <c r="AI817" i="10"/>
  <c r="Y754" i="10"/>
  <c r="Y756" i="10"/>
  <c r="AA782" i="10"/>
  <c r="AA774" i="10"/>
  <c r="AA776" i="10"/>
  <c r="AN689" i="10"/>
  <c r="AN687" i="10"/>
  <c r="E923" i="10"/>
  <c r="E927" i="10" s="1"/>
  <c r="AM819" i="10"/>
  <c r="AM820" i="10" s="1"/>
  <c r="AM794" i="10"/>
  <c r="AM796" i="10"/>
  <c r="AM800" i="10"/>
  <c r="D49" i="10"/>
  <c r="F910" i="10"/>
  <c r="F912" i="10" s="1"/>
  <c r="F914" i="10" s="1"/>
  <c r="F923" i="10" s="1"/>
  <c r="F927" i="10" s="1"/>
  <c r="F913" i="10"/>
  <c r="G49" i="10"/>
  <c r="AC826" i="10"/>
  <c r="AC832" i="10"/>
  <c r="AC833" i="10" s="1"/>
  <c r="AJ732" i="10"/>
  <c r="AC742" i="10"/>
  <c r="H716" i="10"/>
  <c r="H722" i="10"/>
  <c r="T725" i="10"/>
  <c r="T723" i="10"/>
  <c r="AI716" i="10"/>
  <c r="AI714" i="10"/>
  <c r="Z784" i="10"/>
  <c r="Z785" i="10" s="1"/>
  <c r="AF819" i="10"/>
  <c r="AF820" i="10" s="1"/>
  <c r="W763" i="10"/>
  <c r="W765" i="10"/>
  <c r="V754" i="10"/>
  <c r="V756" i="10"/>
  <c r="W689" i="10"/>
  <c r="W687" i="10"/>
  <c r="Y832" i="10"/>
  <c r="Y828" i="10"/>
  <c r="Y826" i="10"/>
  <c r="I718" i="10"/>
  <c r="Y846" i="10"/>
  <c r="Y840" i="10"/>
  <c r="BA847" i="10"/>
  <c r="BA848" i="10" s="1"/>
  <c r="BA849" i="10" s="1"/>
  <c r="AE754" i="10"/>
  <c r="Z811" i="10"/>
  <c r="Z817" i="10"/>
  <c r="Z819" i="10" s="1"/>
  <c r="Z808" i="10"/>
  <c r="AB794" i="10"/>
  <c r="AB800" i="10"/>
  <c r="AB796" i="10"/>
  <c r="AE687" i="10"/>
  <c r="AE689" i="10"/>
  <c r="AE847" i="10"/>
  <c r="AE848" i="10" s="1"/>
  <c r="AB774" i="10"/>
  <c r="AB782" i="10"/>
  <c r="AM832" i="10"/>
  <c r="AM826" i="10"/>
  <c r="AB732" i="10"/>
  <c r="AG828" i="10"/>
  <c r="AG826" i="10"/>
  <c r="AG832" i="10"/>
  <c r="AG833" i="10" s="1"/>
  <c r="AB826" i="10"/>
  <c r="AB832" i="10"/>
  <c r="AB833" i="10" s="1"/>
  <c r="AB828" i="10"/>
  <c r="AC725" i="10"/>
  <c r="AC723" i="10"/>
  <c r="S782" i="10"/>
  <c r="S776" i="10"/>
  <c r="S774" i="10"/>
  <c r="AU784" i="10"/>
  <c r="V732" i="10"/>
  <c r="AI782" i="10"/>
  <c r="AI774" i="10"/>
  <c r="AI776" i="10"/>
  <c r="AN794" i="10"/>
  <c r="AN800" i="10"/>
  <c r="AN796" i="10"/>
  <c r="R742" i="10"/>
  <c r="C955" i="10"/>
  <c r="Y723" i="10"/>
  <c r="V763" i="10"/>
  <c r="W754" i="10"/>
  <c r="U817" i="10"/>
  <c r="U808" i="10"/>
  <c r="U811" i="10"/>
  <c r="AA689" i="10"/>
  <c r="AA687" i="10"/>
  <c r="AJ842" i="10"/>
  <c r="AJ846" i="10"/>
  <c r="AJ847" i="10" s="1"/>
  <c r="AJ840" i="10"/>
  <c r="AL840" i="10"/>
  <c r="AL842" i="10"/>
  <c r="AL846" i="10"/>
  <c r="AB765" i="10"/>
  <c r="AB763" i="10"/>
  <c r="AO796" i="10"/>
  <c r="V481" i="10"/>
  <c r="P580" i="10"/>
  <c r="K580" i="10"/>
  <c r="O580" i="10" s="1"/>
  <c r="R580" i="10" s="1"/>
  <c r="AH714" i="10"/>
  <c r="S473" i="10"/>
  <c r="I473" i="10" s="1"/>
  <c r="I474" i="10" s="1"/>
  <c r="L1310" i="10"/>
  <c r="L1314" i="10"/>
  <c r="R765" i="10"/>
  <c r="O421" i="10"/>
  <c r="K1011" i="10"/>
  <c r="L1256" i="10"/>
  <c r="L1254" i="10"/>
  <c r="L1265" i="10" s="1"/>
  <c r="K589" i="10"/>
  <c r="E611" i="10" s="1"/>
  <c r="N611" i="10" s="1"/>
  <c r="J826" i="10"/>
  <c r="P1353" i="10"/>
  <c r="Y732" i="10"/>
  <c r="V840" i="10"/>
  <c r="V842" i="10"/>
  <c r="V846" i="10"/>
  <c r="AL742" i="10"/>
  <c r="AH847" i="10"/>
  <c r="AH848" i="10" s="1"/>
  <c r="Z723" i="10"/>
  <c r="Z725" i="10"/>
  <c r="S714" i="10"/>
  <c r="AM763" i="10"/>
  <c r="U794" i="10"/>
  <c r="U800" i="10"/>
  <c r="AM754" i="10"/>
  <c r="AM756" i="10"/>
  <c r="S840" i="10"/>
  <c r="S846" i="10"/>
  <c r="X842" i="10"/>
  <c r="X840" i="10"/>
  <c r="X846" i="10"/>
  <c r="X847" i="10" s="1"/>
  <c r="AB687" i="10"/>
  <c r="AF817" i="10"/>
  <c r="AF811" i="10"/>
  <c r="AF808" i="10"/>
  <c r="BH819" i="10"/>
  <c r="BH820" i="10" s="1"/>
  <c r="BH821" i="10" s="1"/>
  <c r="AJ742" i="10"/>
  <c r="AJ714" i="10"/>
  <c r="AC774" i="10"/>
  <c r="AC782" i="10"/>
  <c r="AC784" i="10" s="1"/>
  <c r="I675" i="10"/>
  <c r="E1515" i="10"/>
  <c r="H1515" i="10" s="1"/>
  <c r="AE756" i="10"/>
  <c r="AP747" i="10"/>
  <c r="H741" i="10" s="1"/>
  <c r="K1007" i="10"/>
  <c r="O415" i="10"/>
  <c r="S833" i="10"/>
  <c r="S834" i="10" s="1"/>
  <c r="AG732" i="10"/>
  <c r="AH832" i="10"/>
  <c r="AH826" i="10"/>
  <c r="AH828" i="10"/>
  <c r="Y742" i="10"/>
  <c r="AM801" i="10"/>
  <c r="AM802" i="10" s="1"/>
  <c r="X725" i="10"/>
  <c r="X723" i="10"/>
  <c r="K927" i="10"/>
  <c r="AL716" i="10"/>
  <c r="AL714" i="10"/>
  <c r="AK846" i="10"/>
  <c r="AK840" i="10"/>
  <c r="BM847" i="10"/>
  <c r="BM848" i="10" s="1"/>
  <c r="BM849" i="10" s="1"/>
  <c r="AJ763" i="10"/>
  <c r="AK847" i="10"/>
  <c r="AK848" i="10" s="1"/>
  <c r="AD754" i="10"/>
  <c r="AJ817" i="10"/>
  <c r="AJ808" i="10"/>
  <c r="AB784" i="10"/>
  <c r="AB785" i="10" s="1"/>
  <c r="AL687" i="10"/>
  <c r="BQ729" i="10"/>
  <c r="BQ730" i="10" s="1"/>
  <c r="BQ731" i="10" s="1"/>
  <c r="BJ729" i="10"/>
  <c r="BJ730" i="10" s="1"/>
  <c r="BJ731" i="10" s="1"/>
  <c r="BN729" i="10"/>
  <c r="BN730" i="10" s="1"/>
  <c r="BN731" i="10" s="1"/>
  <c r="AR731" i="10"/>
  <c r="AR732" i="10" s="1"/>
  <c r="BD729" i="10" s="1"/>
  <c r="BD730" i="10" s="1"/>
  <c r="BD731" i="10" s="1"/>
  <c r="BM729" i="10"/>
  <c r="BM730" i="10" s="1"/>
  <c r="BM731" i="10" s="1"/>
  <c r="AT729" i="10"/>
  <c r="AT730" i="10" s="1"/>
  <c r="AT731" i="10" s="1"/>
  <c r="BL729" i="10"/>
  <c r="BL730" i="10" s="1"/>
  <c r="BL731" i="10" s="1"/>
  <c r="BO729" i="10"/>
  <c r="BO730" i="10" s="1"/>
  <c r="BO731" i="10" s="1"/>
  <c r="AU729" i="10"/>
  <c r="AU730" i="10" s="1"/>
  <c r="AU731" i="10" s="1"/>
  <c r="BF729" i="10"/>
  <c r="BF730" i="10" s="1"/>
  <c r="BF731" i="10" s="1"/>
  <c r="AY729" i="10"/>
  <c r="AY730" i="10" s="1"/>
  <c r="AY731" i="10" s="1"/>
  <c r="AX729" i="10"/>
  <c r="AX730" i="10" s="1"/>
  <c r="AX731" i="10" s="1"/>
  <c r="BP729" i="10"/>
  <c r="BP730" i="10" s="1"/>
  <c r="BP731" i="10" s="1"/>
  <c r="BA729" i="10"/>
  <c r="BA730" i="10" s="1"/>
  <c r="BA731" i="10" s="1"/>
  <c r="AV729" i="10"/>
  <c r="AV730" i="10" s="1"/>
  <c r="AV731" i="10" s="1"/>
  <c r="BK729" i="10"/>
  <c r="BK730" i="10" s="1"/>
  <c r="BK731" i="10" s="1"/>
  <c r="AZ729" i="10"/>
  <c r="AZ730" i="10" s="1"/>
  <c r="AZ731" i="10" s="1"/>
  <c r="BE729" i="10"/>
  <c r="BE730" i="10" s="1"/>
  <c r="BE731" i="10" s="1"/>
  <c r="BB729" i="10"/>
  <c r="BB730" i="10" s="1"/>
  <c r="BB731" i="10" s="1"/>
  <c r="BH729" i="10"/>
  <c r="BC729" i="10"/>
  <c r="AW729" i="10"/>
  <c r="AW730" i="10" s="1"/>
  <c r="AW731" i="10" s="1"/>
  <c r="BG729" i="10"/>
  <c r="BG730" i="10" s="1"/>
  <c r="BG731" i="10" s="1"/>
  <c r="K680" i="10"/>
  <c r="K50" i="10"/>
  <c r="AF732" i="10"/>
  <c r="D955" i="10"/>
  <c r="AK742" i="10"/>
  <c r="AE782" i="10"/>
  <c r="AE774" i="10"/>
  <c r="AE776" i="10"/>
  <c r="W723" i="10"/>
  <c r="AN784" i="10"/>
  <c r="AN785" i="10" s="1"/>
  <c r="AO714" i="10"/>
  <c r="AG763" i="10"/>
  <c r="T754" i="10"/>
  <c r="T756" i="10"/>
  <c r="AB846" i="10"/>
  <c r="AB840" i="10"/>
  <c r="A955" i="10"/>
  <c r="K809" i="10"/>
  <c r="X687" i="10"/>
  <c r="D722" i="10"/>
  <c r="D716" i="10"/>
  <c r="AR762" i="10"/>
  <c r="AR763" i="10" s="1"/>
  <c r="BC760" i="10" s="1"/>
  <c r="BC761" i="10" s="1"/>
  <c r="BC762" i="10" s="1"/>
  <c r="AY760" i="10"/>
  <c r="AY761" i="10" s="1"/>
  <c r="AY762" i="10" s="1"/>
  <c r="BG760" i="10"/>
  <c r="BG761" i="10" s="1"/>
  <c r="BG762" i="10" s="1"/>
  <c r="L913" i="10"/>
  <c r="L910" i="10"/>
  <c r="L912" i="10" s="1"/>
  <c r="L914" i="10" s="1"/>
  <c r="K866" i="10"/>
  <c r="K868" i="10" s="1"/>
  <c r="K871" i="10"/>
  <c r="BF399" i="10" s="1"/>
  <c r="BF400" i="10" s="1"/>
  <c r="K997" i="10"/>
  <c r="J997" i="10" s="1"/>
  <c r="AE976" i="10"/>
  <c r="I1500" i="10"/>
  <c r="L976" i="10"/>
  <c r="E976" i="10"/>
  <c r="F1500" i="10" s="1"/>
  <c r="T1450" i="10"/>
  <c r="AP815" i="10"/>
  <c r="F785" i="10" s="1"/>
  <c r="X800" i="10"/>
  <c r="X801" i="10" s="1"/>
  <c r="X796" i="10"/>
  <c r="X794" i="10"/>
  <c r="X732" i="10"/>
  <c r="G720" i="10"/>
  <c r="AD742" i="10"/>
  <c r="U776" i="10"/>
  <c r="U774" i="10"/>
  <c r="U782" i="10"/>
  <c r="AI794" i="10"/>
  <c r="AI796" i="10"/>
  <c r="AI800" i="10"/>
  <c r="AN725" i="10"/>
  <c r="AN723" i="10"/>
  <c r="E722" i="10"/>
  <c r="E716" i="10"/>
  <c r="AG714" i="10"/>
  <c r="R763" i="10"/>
  <c r="R846" i="10"/>
  <c r="R842" i="10"/>
  <c r="R840" i="10"/>
  <c r="AD776" i="10"/>
  <c r="AD774" i="10"/>
  <c r="AD782" i="10"/>
  <c r="R754" i="10"/>
  <c r="R756" i="10"/>
  <c r="S808" i="10"/>
  <c r="S811" i="10"/>
  <c r="S817" i="10"/>
  <c r="AJ687" i="10"/>
  <c r="AJ689" i="10"/>
  <c r="J716" i="10"/>
  <c r="J722" i="10"/>
  <c r="AK817" i="10"/>
  <c r="AK808" i="10"/>
  <c r="S784" i="10"/>
  <c r="S785" i="10" s="1"/>
  <c r="Y284" i="10"/>
  <c r="Y293" i="10" s="1"/>
  <c r="J361" i="10"/>
  <c r="G978" i="10" s="1"/>
  <c r="AN204" i="10"/>
  <c r="K584" i="10"/>
  <c r="O584" i="10" s="1"/>
  <c r="R584" i="10" s="1"/>
  <c r="AL796" i="10"/>
  <c r="AL794" i="10"/>
  <c r="AL800" i="10"/>
  <c r="BN801" i="10"/>
  <c r="BN802" i="10" s="1"/>
  <c r="BN803" i="10" s="1"/>
  <c r="AC732" i="10"/>
  <c r="W840" i="10"/>
  <c r="W846" i="10"/>
  <c r="W847" i="10" s="1"/>
  <c r="W842" i="10"/>
  <c r="V742" i="10"/>
  <c r="E758" i="10"/>
  <c r="R723" i="10"/>
  <c r="R725" i="10"/>
  <c r="W716" i="10"/>
  <c r="W714" i="10"/>
  <c r="Z765" i="10"/>
  <c r="Z763" i="10"/>
  <c r="AR686" i="10"/>
  <c r="AR687" i="10" s="1"/>
  <c r="AX684" i="10" s="1"/>
  <c r="AX685" i="10" s="1"/>
  <c r="AX686" i="10" s="1"/>
  <c r="BK684" i="10"/>
  <c r="BK685" i="10" s="1"/>
  <c r="BK686" i="10" s="1"/>
  <c r="AT684" i="10"/>
  <c r="AT685" i="10" s="1"/>
  <c r="AT686" i="10" s="1"/>
  <c r="AZ684" i="10"/>
  <c r="AZ685" i="10" s="1"/>
  <c r="AZ686" i="10" s="1"/>
  <c r="BE684" i="10"/>
  <c r="BE685" i="10" s="1"/>
  <c r="BE686" i="10" s="1"/>
  <c r="AN832" i="10"/>
  <c r="AN826" i="10"/>
  <c r="AJ754" i="10"/>
  <c r="AJ756" i="10"/>
  <c r="AC687" i="10"/>
  <c r="AC689" i="10"/>
  <c r="V828" i="10"/>
  <c r="V832" i="10"/>
  <c r="V833" i="10" s="1"/>
  <c r="V826" i="10"/>
  <c r="F955" i="10"/>
  <c r="AF782" i="10"/>
  <c r="AF784" i="10" s="1"/>
  <c r="AF776" i="10"/>
  <c r="AF774" i="10"/>
  <c r="H720" i="10"/>
  <c r="L332" i="10"/>
  <c r="J338" i="10" s="1"/>
  <c r="L698" i="10" s="1"/>
  <c r="M332" i="10"/>
  <c r="T297" i="10"/>
  <c r="V297" i="10" s="1"/>
  <c r="K332" i="10"/>
  <c r="J340" i="10" s="1"/>
  <c r="G977" i="10" s="1"/>
  <c r="AH732" i="10"/>
  <c r="AH742" i="10"/>
  <c r="Q192" i="10"/>
  <c r="Q194" i="10" s="1"/>
  <c r="U194" i="10" s="1"/>
  <c r="P170" i="10"/>
  <c r="Q170" i="10" s="1"/>
  <c r="AA840" i="10"/>
  <c r="AA846" i="10"/>
  <c r="AA842" i="10"/>
  <c r="AL725" i="10"/>
  <c r="AL723" i="10"/>
  <c r="AG840" i="10"/>
  <c r="AG842" i="10"/>
  <c r="AG846" i="10"/>
  <c r="AG847" i="10" s="1"/>
  <c r="AB716" i="10"/>
  <c r="AB714" i="10"/>
  <c r="I722" i="10"/>
  <c r="I716" i="10"/>
  <c r="AO765" i="10"/>
  <c r="AO763" i="10"/>
  <c r="AE796" i="10"/>
  <c r="AE794" i="10"/>
  <c r="AE800" i="10"/>
  <c r="AE801" i="10" s="1"/>
  <c r="X754" i="10"/>
  <c r="X756" i="10"/>
  <c r="Z842" i="10"/>
  <c r="Z846" i="10"/>
  <c r="Z847" i="10" s="1"/>
  <c r="Z840" i="10"/>
  <c r="AD689" i="10"/>
  <c r="AD687" i="10"/>
  <c r="AO832" i="10"/>
  <c r="AO826" i="10"/>
  <c r="Z796" i="10"/>
  <c r="Z800" i="10"/>
  <c r="Z794" i="10"/>
  <c r="AA847" i="10"/>
  <c r="AA848" i="10" s="1"/>
  <c r="AI732" i="10"/>
  <c r="R774" i="10"/>
  <c r="R776" i="10"/>
  <c r="AT784" i="10"/>
  <c r="AT785" i="10" s="1"/>
  <c r="AT786" i="10" s="1"/>
  <c r="R782" i="10"/>
  <c r="AG774" i="10"/>
  <c r="AG776" i="10"/>
  <c r="AG782" i="10"/>
  <c r="AG784" i="10" s="1"/>
  <c r="AA742" i="10"/>
  <c r="AD784" i="10"/>
  <c r="AI723" i="10"/>
  <c r="AI725" i="10"/>
  <c r="AM776" i="10"/>
  <c r="AM774" i="10"/>
  <c r="AM782" i="10"/>
  <c r="T716" i="10"/>
  <c r="T714" i="10"/>
  <c r="X819" i="10"/>
  <c r="X820" i="10" s="1"/>
  <c r="X763" i="10"/>
  <c r="X765" i="10"/>
  <c r="Y811" i="10"/>
  <c r="Y817" i="10"/>
  <c r="Y808" i="10"/>
  <c r="BA819" i="10"/>
  <c r="BA820" i="10" s="1"/>
  <c r="BA821" i="10" s="1"/>
  <c r="AL756" i="10"/>
  <c r="AL754" i="10"/>
  <c r="AJ828" i="10"/>
  <c r="AJ832" i="10"/>
  <c r="AJ826" i="10"/>
  <c r="AH687" i="10"/>
  <c r="AH689" i="10"/>
  <c r="AN819" i="10"/>
  <c r="AN820" i="10" s="1"/>
  <c r="W828" i="10"/>
  <c r="W826" i="10"/>
  <c r="W832" i="10"/>
  <c r="AY833" i="10"/>
  <c r="AY834" i="10" s="1"/>
  <c r="AY835" i="10" s="1"/>
  <c r="AA808" i="10"/>
  <c r="AA811" i="10"/>
  <c r="AA817" i="10"/>
  <c r="AA819" i="10" s="1"/>
  <c r="I435" i="10"/>
  <c r="AK732" i="10"/>
  <c r="AL801" i="10"/>
  <c r="AL802" i="10" s="1"/>
  <c r="B923" i="10"/>
  <c r="B927" i="10" s="1"/>
  <c r="AN742" i="10"/>
  <c r="AL817" i="10"/>
  <c r="AL819" i="10" s="1"/>
  <c r="AL808" i="10"/>
  <c r="AL811" i="10"/>
  <c r="BF711" i="10"/>
  <c r="BF712" i="10" s="1"/>
  <c r="BF713" i="10" s="1"/>
  <c r="AR713" i="10"/>
  <c r="AR714" i="10" s="1"/>
  <c r="AU711" i="10"/>
  <c r="AU712" i="10" s="1"/>
  <c r="AU713" i="10" s="1"/>
  <c r="AW711" i="10"/>
  <c r="AW712" i="10" s="1"/>
  <c r="AW713" i="10" s="1"/>
  <c r="BK711" i="10"/>
  <c r="BK712" i="10" s="1"/>
  <c r="BK713" i="10" s="1"/>
  <c r="AX711" i="10"/>
  <c r="AX712" i="10" s="1"/>
  <c r="AX713" i="10" s="1"/>
  <c r="AV711" i="10"/>
  <c r="AV712" i="10" s="1"/>
  <c r="AV713" i="10" s="1"/>
  <c r="BO711" i="10"/>
  <c r="BO712" i="10" s="1"/>
  <c r="BO713" i="10" s="1"/>
  <c r="BC711" i="10"/>
  <c r="BC712" i="10" s="1"/>
  <c r="BC713" i="10" s="1"/>
  <c r="BI711" i="10"/>
  <c r="AY711" i="10"/>
  <c r="AY712" i="10" s="1"/>
  <c r="AY713" i="10" s="1"/>
  <c r="AZ711" i="10"/>
  <c r="AZ712" i="10" s="1"/>
  <c r="AZ713" i="10" s="1"/>
  <c r="BD711" i="10"/>
  <c r="BD712" i="10" s="1"/>
  <c r="BD713" i="10" s="1"/>
  <c r="BP711" i="10"/>
  <c r="BP712" i="10" s="1"/>
  <c r="BP713" i="10" s="1"/>
  <c r="AT711" i="10"/>
  <c r="AT712" i="10" s="1"/>
  <c r="AT713" i="10" s="1"/>
  <c r="BN711" i="10"/>
  <c r="BN712" i="10" s="1"/>
  <c r="BN713" i="10" s="1"/>
  <c r="BL711" i="10"/>
  <c r="BL712" i="10" s="1"/>
  <c r="BL713" i="10" s="1"/>
  <c r="BM711" i="10"/>
  <c r="BM712" i="10" s="1"/>
  <c r="BM713" i="10" s="1"/>
  <c r="BJ711" i="10"/>
  <c r="BJ712" i="10" s="1"/>
  <c r="BJ713" i="10" s="1"/>
  <c r="BQ711" i="10"/>
  <c r="BQ712" i="10" s="1"/>
  <c r="BQ713" i="10" s="1"/>
  <c r="BB711" i="10"/>
  <c r="BB712" i="10" s="1"/>
  <c r="BB713" i="10" s="1"/>
  <c r="BG711" i="10"/>
  <c r="BG712" i="10" s="1"/>
  <c r="BG713" i="10" s="1"/>
  <c r="BE711" i="10"/>
  <c r="BE712" i="10" s="1"/>
  <c r="BE713" i="10" s="1"/>
  <c r="BA711" i="10"/>
  <c r="BA712" i="10" s="1"/>
  <c r="BA713" i="10" s="1"/>
  <c r="BH711" i="10"/>
  <c r="BH712" i="10" s="1"/>
  <c r="BH713" i="10" s="1"/>
  <c r="U725" i="10"/>
  <c r="U723" i="10"/>
  <c r="AD811" i="10"/>
  <c r="AD808" i="10"/>
  <c r="AD817" i="10"/>
  <c r="AD714" i="10"/>
  <c r="AD716" i="10"/>
  <c r="AN763" i="10"/>
  <c r="AN765" i="10"/>
  <c r="AE832" i="10"/>
  <c r="AE828" i="10"/>
  <c r="AE826" i="10"/>
  <c r="W784" i="10"/>
  <c r="W785" i="10" s="1"/>
  <c r="AB754" i="10"/>
  <c r="AB756" i="10"/>
  <c r="AF796" i="10"/>
  <c r="AF800" i="10"/>
  <c r="AF794" i="10"/>
  <c r="S687" i="10"/>
  <c r="V774" i="10"/>
  <c r="V776" i="10"/>
  <c r="V782" i="10"/>
  <c r="V784" i="10" s="1"/>
  <c r="L955" i="10"/>
  <c r="L923" i="10"/>
  <c r="L927" i="10" s="1"/>
  <c r="BH390" i="10"/>
  <c r="BH391" i="10" s="1"/>
  <c r="BQ390" i="10"/>
  <c r="BQ391" i="10" s="1"/>
  <c r="AZ390" i="10"/>
  <c r="AZ391" i="10" s="1"/>
  <c r="BD390" i="10"/>
  <c r="BD391" i="10" s="1"/>
  <c r="BO390" i="10"/>
  <c r="BO391" i="10" s="1"/>
  <c r="AV390" i="10"/>
  <c r="AV391" i="10" s="1"/>
  <c r="AY390" i="10"/>
  <c r="AY391" i="10" s="1"/>
  <c r="BK390" i="10"/>
  <c r="BK391" i="10" s="1"/>
  <c r="K846" i="10"/>
  <c r="K848" i="10" s="1"/>
  <c r="BF390" i="10"/>
  <c r="BF391" i="10" s="1"/>
  <c r="AU390" i="10"/>
  <c r="AU391" i="10" s="1"/>
  <c r="BB390" i="10"/>
  <c r="BB391" i="10" s="1"/>
  <c r="BE390" i="10"/>
  <c r="BE391" i="10" s="1"/>
  <c r="BC390" i="10"/>
  <c r="BC391" i="10" s="1"/>
  <c r="BI390" i="10"/>
  <c r="BI391" i="10" s="1"/>
  <c r="BG390" i="10"/>
  <c r="BG391" i="10" s="1"/>
  <c r="P856" i="10"/>
  <c r="P860" i="10" s="1"/>
  <c r="BP390" i="10"/>
  <c r="BP391" i="10" s="1"/>
  <c r="AW390" i="10"/>
  <c r="AW391" i="10" s="1"/>
  <c r="H913" i="10"/>
  <c r="H910" i="10"/>
  <c r="H912" i="10" s="1"/>
  <c r="I49" i="10"/>
  <c r="U732" i="10"/>
  <c r="U846" i="10"/>
  <c r="U842" i="10"/>
  <c r="U840" i="10"/>
  <c r="AW847" i="10"/>
  <c r="AW848" i="10" s="1"/>
  <c r="AW849" i="10" s="1"/>
  <c r="W742" i="10"/>
  <c r="AF801" i="10"/>
  <c r="AF802" i="10" s="1"/>
  <c r="AO723" i="10"/>
  <c r="AO725" i="10"/>
  <c r="AK716" i="10"/>
  <c r="AK714" i="10"/>
  <c r="T828" i="10"/>
  <c r="T832" i="10"/>
  <c r="T826" i="10"/>
  <c r="AE763" i="10"/>
  <c r="AE765" i="10"/>
  <c r="S754" i="10"/>
  <c r="S756" i="10"/>
  <c r="W833" i="10"/>
  <c r="W834" i="10" s="1"/>
  <c r="AC840" i="10"/>
  <c r="AC846" i="10"/>
  <c r="AI687" i="10"/>
  <c r="AI689" i="10"/>
  <c r="AG808" i="10"/>
  <c r="AG817" i="10"/>
  <c r="AG819" i="10" s="1"/>
  <c r="AO840" i="10"/>
  <c r="AO846" i="10"/>
  <c r="AO842" i="10"/>
  <c r="BQ847" i="10"/>
  <c r="BQ848" i="10" s="1"/>
  <c r="BQ849" i="10" s="1"/>
  <c r="V811" i="10"/>
  <c r="V808" i="10"/>
  <c r="V817" i="10"/>
  <c r="AJ723" i="10"/>
  <c r="AJ725" i="10"/>
  <c r="AF714" i="10"/>
  <c r="AF716" i="10"/>
  <c r="P1090" i="10"/>
  <c r="P1091" i="10" s="1"/>
  <c r="L1091" i="10"/>
  <c r="AE811" i="10"/>
  <c r="AE817" i="10"/>
  <c r="AE819" i="10" s="1"/>
  <c r="AE808" i="10"/>
  <c r="AC763" i="10"/>
  <c r="AC765" i="10"/>
  <c r="AN776" i="10"/>
  <c r="AN774" i="10"/>
  <c r="AN782" i="10"/>
  <c r="AG756" i="10"/>
  <c r="AG754" i="10"/>
  <c r="W817" i="10"/>
  <c r="W819" i="10" s="1"/>
  <c r="W808" i="10"/>
  <c r="Y819" i="10"/>
  <c r="Y820" i="10" s="1"/>
  <c r="AK687" i="10"/>
  <c r="R784" i="10"/>
  <c r="R785" i="10" s="1"/>
  <c r="V796" i="10"/>
  <c r="V800" i="10"/>
  <c r="V801" i="10" s="1"/>
  <c r="V794" i="10"/>
  <c r="U784" i="10"/>
  <c r="U785" i="10" s="1"/>
  <c r="R828" i="10"/>
  <c r="R832" i="10"/>
  <c r="R826" i="10"/>
  <c r="AT833" i="10"/>
  <c r="AT834" i="10" s="1"/>
  <c r="AT835" i="10" s="1"/>
  <c r="AC817" i="10"/>
  <c r="AC819" i="10" s="1"/>
  <c r="AC811" i="10"/>
  <c r="AC808" i="10"/>
  <c r="I401" i="10"/>
  <c r="I448" i="10" s="1"/>
  <c r="D1522" i="10"/>
  <c r="H1522" i="10" s="1"/>
  <c r="Y714" i="10"/>
  <c r="Y716" i="10"/>
  <c r="I955" i="10"/>
  <c r="AE833" i="10"/>
  <c r="AE834" i="10" s="1"/>
  <c r="Y763" i="10"/>
  <c r="B955" i="10"/>
  <c r="R847" i="10"/>
  <c r="R848" i="10" s="1"/>
  <c r="U754" i="10"/>
  <c r="AA784" i="10"/>
  <c r="AA785" i="10" s="1"/>
  <c r="T687" i="10"/>
  <c r="T689" i="10"/>
  <c r="AD794" i="10"/>
  <c r="AD796" i="10"/>
  <c r="AD800" i="10"/>
  <c r="AD801" i="10" s="1"/>
  <c r="AM847" i="10"/>
  <c r="AM848" i="10" s="1"/>
  <c r="AJ819" i="10"/>
  <c r="AJ820" i="10" s="1"/>
  <c r="L620" i="10"/>
  <c r="W628" i="10"/>
  <c r="G955" i="10"/>
  <c r="J49" i="10"/>
  <c r="AE742" i="10"/>
  <c r="AO847" i="10"/>
  <c r="AO848" i="10" s="1"/>
  <c r="AN833" i="10"/>
  <c r="AN834" i="10" s="1"/>
  <c r="V723" i="10"/>
  <c r="V725" i="10"/>
  <c r="U714" i="10"/>
  <c r="U763" i="10"/>
  <c r="U765" i="10"/>
  <c r="Y784" i="10"/>
  <c r="Y785" i="10" s="1"/>
  <c r="AF754" i="10"/>
  <c r="R833" i="10"/>
  <c r="R834" i="10" s="1"/>
  <c r="AO776" i="10"/>
  <c r="AO782" i="10"/>
  <c r="AO784" i="10" s="1"/>
  <c r="AO774" i="10"/>
  <c r="U687" i="10"/>
  <c r="AD819" i="10"/>
  <c r="AB801" i="10"/>
  <c r="AB802" i="10" s="1"/>
  <c r="S800" i="10"/>
  <c r="S801" i="10" s="1"/>
  <c r="S796" i="10"/>
  <c r="S794" i="10"/>
  <c r="AM817" i="10"/>
  <c r="AM808" i="10"/>
  <c r="AM811" i="10"/>
  <c r="BO819" i="10"/>
  <c r="BO820" i="10" s="1"/>
  <c r="BO821" i="10" s="1"/>
  <c r="AF832" i="10"/>
  <c r="AF833" i="10" s="1"/>
  <c r="AF826" i="10"/>
  <c r="AF828" i="10"/>
  <c r="K847" i="10"/>
  <c r="K849" i="10" s="1"/>
  <c r="K852" i="10"/>
  <c r="AW739" i="10" s="1"/>
  <c r="AW740" i="10" s="1"/>
  <c r="AO817" i="10"/>
  <c r="AO819" i="10" s="1"/>
  <c r="AO808" i="10"/>
  <c r="AO811" i="10"/>
  <c r="L1242" i="10"/>
  <c r="P1232" i="10"/>
  <c r="P1242" i="10" s="1"/>
  <c r="P1254" i="10" s="1"/>
  <c r="S723" i="10"/>
  <c r="S725" i="10"/>
  <c r="AO756" i="10"/>
  <c r="AO754" i="10"/>
  <c r="G923" i="10"/>
  <c r="G927" i="10" s="1"/>
  <c r="Z689" i="10"/>
  <c r="Z687" i="10"/>
  <c r="AA832" i="10"/>
  <c r="AA828" i="10"/>
  <c r="AA826" i="10"/>
  <c r="T794" i="10"/>
  <c r="T800" i="10"/>
  <c r="T801" i="10" s="1"/>
  <c r="T796" i="10"/>
  <c r="E718" i="10"/>
  <c r="Z742" i="10"/>
  <c r="AN808" i="10"/>
  <c r="AN811" i="10"/>
  <c r="AN817" i="10"/>
  <c r="Z732" i="10"/>
  <c r="AL776" i="10"/>
  <c r="AL782" i="10"/>
  <c r="AL784" i="10" s="1"/>
  <c r="AL774" i="10"/>
  <c r="AG742" i="10"/>
  <c r="AJ796" i="10"/>
  <c r="AJ800" i="10"/>
  <c r="AJ801" i="10" s="1"/>
  <c r="AJ794" i="10"/>
  <c r="S819" i="10"/>
  <c r="S820" i="10" s="1"/>
  <c r="AF725" i="10"/>
  <c r="AF723" i="10"/>
  <c r="AC714" i="10"/>
  <c r="AC716" i="10"/>
  <c r="AD828" i="10"/>
  <c r="AD832" i="10"/>
  <c r="AD833" i="10" s="1"/>
  <c r="AD826" i="10"/>
  <c r="R811" i="10"/>
  <c r="R817" i="10"/>
  <c r="R819" i="10" s="1"/>
  <c r="R808" i="10"/>
  <c r="T763" i="10"/>
  <c r="T765" i="10"/>
  <c r="AH782" i="10"/>
  <c r="AH784" i="10" s="1"/>
  <c r="AH774" i="10"/>
  <c r="AI832" i="10"/>
  <c r="AI833" i="10" s="1"/>
  <c r="AI826" i="10"/>
  <c r="AI828" i="10"/>
  <c r="AK754" i="10"/>
  <c r="AK756" i="10"/>
  <c r="S847" i="10"/>
  <c r="S848" i="10" s="1"/>
  <c r="AR753" i="10"/>
  <c r="AR754" i="10" s="1"/>
  <c r="BF751" i="10" s="1"/>
  <c r="BF752" i="10" s="1"/>
  <c r="BF753" i="10" s="1"/>
  <c r="BP751" i="10"/>
  <c r="BP752" i="10" s="1"/>
  <c r="BP753" i="10" s="1"/>
  <c r="BN751" i="10"/>
  <c r="BN752" i="10" s="1"/>
  <c r="BN753" i="10" s="1"/>
  <c r="BK751" i="10"/>
  <c r="BK752" i="10" s="1"/>
  <c r="BK753" i="10" s="1"/>
  <c r="BA751" i="10"/>
  <c r="BA752" i="10" s="1"/>
  <c r="BA753" i="10" s="1"/>
  <c r="AG687" i="10"/>
  <c r="Z832" i="10"/>
  <c r="Z833" i="10" s="1"/>
  <c r="Z826" i="10"/>
  <c r="U847" i="10"/>
  <c r="U848" i="10" s="1"/>
  <c r="R796" i="10"/>
  <c r="R800" i="10"/>
  <c r="R801" i="10" s="1"/>
  <c r="R794" i="10"/>
  <c r="I927" i="10"/>
  <c r="AI842" i="10"/>
  <c r="AI846" i="10"/>
  <c r="AI847" i="10" s="1"/>
  <c r="AI840" i="10"/>
  <c r="AM723" i="10"/>
  <c r="Y833" i="10"/>
  <c r="Y834" i="10" s="1"/>
  <c r="AN236" i="10"/>
  <c r="H779" i="10" s="1"/>
  <c r="AN732" i="10"/>
  <c r="Y782" i="10"/>
  <c r="Y774" i="10"/>
  <c r="Y776" i="10"/>
  <c r="AL847" i="10"/>
  <c r="AL848" i="10" s="1"/>
  <c r="AF763" i="10"/>
  <c r="AF765" i="10"/>
  <c r="T774" i="10"/>
  <c r="T776" i="10"/>
  <c r="T782" i="10"/>
  <c r="I923" i="10"/>
  <c r="AH756" i="10"/>
  <c r="AH754" i="10"/>
  <c r="AH808" i="10"/>
  <c r="AH817" i="10"/>
  <c r="AH819" i="10" s="1"/>
  <c r="AH811" i="10"/>
  <c r="V687" i="10"/>
  <c r="T811" i="10"/>
  <c r="T817" i="10"/>
  <c r="T819" i="10" s="1"/>
  <c r="T808" i="10"/>
  <c r="AD840" i="10"/>
  <c r="AD846" i="10"/>
  <c r="AD847" i="10" s="1"/>
  <c r="V847" i="10"/>
  <c r="V848" i="10" s="1"/>
  <c r="X808" i="10"/>
  <c r="X817" i="10"/>
  <c r="AJ784" i="10"/>
  <c r="AJ785" i="10" s="1"/>
  <c r="AA732" i="10"/>
  <c r="F720" i="10"/>
  <c r="AN235" i="10"/>
  <c r="G779" i="10" s="1"/>
  <c r="AJ774" i="10"/>
  <c r="AJ776" i="10"/>
  <c r="AJ782" i="10"/>
  <c r="AP844" i="10"/>
  <c r="H785" i="10" s="1"/>
  <c r="S742" i="10"/>
  <c r="Z801" i="10"/>
  <c r="Z802" i="10" s="1"/>
  <c r="U819" i="10"/>
  <c r="U820" i="10" s="1"/>
  <c r="AE714" i="10"/>
  <c r="X774" i="10"/>
  <c r="X782" i="10"/>
  <c r="AN801" i="10"/>
  <c r="AN802" i="10" s="1"/>
  <c r="W811" i="10"/>
  <c r="AP691" i="10"/>
  <c r="D741" i="10" s="1"/>
  <c r="AA970" i="10" s="1"/>
  <c r="AH840" i="10"/>
  <c r="AH846" i="10"/>
  <c r="AC796" i="10"/>
  <c r="AT390" i="10"/>
  <c r="AT391" i="10" s="1"/>
  <c r="T732" i="10"/>
  <c r="AM784" i="10"/>
  <c r="AM785" i="10" s="1"/>
  <c r="AF742" i="10"/>
  <c r="AH801" i="10"/>
  <c r="AH802" i="10" s="1"/>
  <c r="AI784" i="10"/>
  <c r="AI785" i="10" s="1"/>
  <c r="AD723" i="10"/>
  <c r="AD725" i="10"/>
  <c r="V714" i="10"/>
  <c r="AL833" i="10"/>
  <c r="AL834" i="10" s="1"/>
  <c r="AM840" i="10"/>
  <c r="AM846" i="10"/>
  <c r="AM842" i="10"/>
  <c r="T302" i="10"/>
  <c r="V288" i="10"/>
  <c r="V302" i="10" s="1"/>
  <c r="AN212" i="10"/>
  <c r="Z331" i="10"/>
  <c r="Z315" i="10" s="1"/>
  <c r="AH716" i="10"/>
  <c r="AP727" i="10"/>
  <c r="F741" i="10" s="1"/>
  <c r="BJ390" i="10"/>
  <c r="BJ391" i="10" s="1"/>
  <c r="X828" i="10"/>
  <c r="X832" i="10"/>
  <c r="X826" i="10"/>
  <c r="AZ833" i="10"/>
  <c r="AZ834" i="10" s="1"/>
  <c r="AZ835" i="10" s="1"/>
  <c r="AM732" i="10"/>
  <c r="G718" i="10"/>
  <c r="X742" i="10"/>
  <c r="J720" i="10"/>
  <c r="AE723" i="10"/>
  <c r="Z716" i="10"/>
  <c r="Z714" i="10"/>
  <c r="T784" i="10"/>
  <c r="T785" i="10" s="1"/>
  <c r="BE720" i="10"/>
  <c r="BE721" i="10" s="1"/>
  <c r="BE722" i="10" s="1"/>
  <c r="AR722" i="10"/>
  <c r="AR723" i="10" s="1"/>
  <c r="AW720" i="10" s="1"/>
  <c r="AW721" i="10" s="1"/>
  <c r="AW722" i="10" s="1"/>
  <c r="BH720" i="10"/>
  <c r="BH721" i="10" s="1"/>
  <c r="BH722" i="10" s="1"/>
  <c r="AY720" i="10"/>
  <c r="AY721" i="10" s="1"/>
  <c r="AY722" i="10" s="1"/>
  <c r="BN720" i="10"/>
  <c r="BN721" i="10" s="1"/>
  <c r="BN722" i="10" s="1"/>
  <c r="BG720" i="10"/>
  <c r="BG721" i="10" s="1"/>
  <c r="BG722" i="10" s="1"/>
  <c r="BO720" i="10"/>
  <c r="BO721" i="10" s="1"/>
  <c r="BO722" i="10" s="1"/>
  <c r="AV720" i="10"/>
  <c r="AV721" i="10" s="1"/>
  <c r="AV722" i="10" s="1"/>
  <c r="BM720" i="10"/>
  <c r="BM721" i="10" s="1"/>
  <c r="BM722" i="10" s="1"/>
  <c r="BK720" i="10"/>
  <c r="BK721" i="10" s="1"/>
  <c r="BK722" i="10" s="1"/>
  <c r="AT720" i="10"/>
  <c r="AT721" i="10" s="1"/>
  <c r="AT722" i="10" s="1"/>
  <c r="BQ720" i="10"/>
  <c r="BQ721" i="10" s="1"/>
  <c r="BQ722" i="10" s="1"/>
  <c r="BA720" i="10"/>
  <c r="BA721" i="10" s="1"/>
  <c r="BA722" i="10" s="1"/>
  <c r="AZ720" i="10"/>
  <c r="AZ721" i="10" s="1"/>
  <c r="AZ722" i="10" s="1"/>
  <c r="BF720" i="10"/>
  <c r="BF721" i="10" s="1"/>
  <c r="BF722" i="10" s="1"/>
  <c r="AK763" i="10"/>
  <c r="AK765" i="10"/>
  <c r="AH833" i="10"/>
  <c r="AH834" i="10" s="1"/>
  <c r="AK819" i="10"/>
  <c r="AK820" i="10" s="1"/>
  <c r="Z756" i="10"/>
  <c r="Z754" i="10"/>
  <c r="Y794" i="10"/>
  <c r="Y796" i="10"/>
  <c r="Y800" i="10"/>
  <c r="Y801" i="10" s="1"/>
  <c r="AO800" i="10"/>
  <c r="AO801" i="10" s="1"/>
  <c r="AO794" i="10"/>
  <c r="AF687" i="10"/>
  <c r="AF689" i="10"/>
  <c r="AI819" i="10"/>
  <c r="AI820" i="10" s="1"/>
  <c r="U801" i="10"/>
  <c r="U802" i="10" s="1"/>
  <c r="AE784" i="10"/>
  <c r="AE785" i="10" s="1"/>
  <c r="R192" i="10"/>
  <c r="R194" i="10" s="1"/>
  <c r="P171" i="10"/>
  <c r="J718" i="10"/>
  <c r="J350" i="10"/>
  <c r="J362" i="10" s="1"/>
  <c r="X284" i="10"/>
  <c r="X293" i="10" s="1"/>
  <c r="W732" i="10"/>
  <c r="AN842" i="10"/>
  <c r="AN846" i="10"/>
  <c r="AN847" i="10" s="1"/>
  <c r="AN840" i="10"/>
  <c r="AH765" i="10"/>
  <c r="AH763" i="10"/>
  <c r="F49" i="10"/>
  <c r="P298" i="10"/>
  <c r="AO828" i="10"/>
  <c r="BN390" i="10"/>
  <c r="BN391" i="10" s="1"/>
  <c r="K579" i="10"/>
  <c r="O579" i="10" s="1"/>
  <c r="N404" i="10"/>
  <c r="P404" i="10" s="1"/>
  <c r="L1378" i="10"/>
  <c r="L1308" i="10"/>
  <c r="D1512" i="10"/>
  <c r="H1512" i="10" s="1"/>
  <c r="AL732" i="10"/>
  <c r="T840" i="10"/>
  <c r="T846" i="10"/>
  <c r="T847" i="10" s="1"/>
  <c r="T742" i="10"/>
  <c r="G762" i="10"/>
  <c r="U833" i="10"/>
  <c r="U834" i="10" s="1"/>
  <c r="AK725" i="10"/>
  <c r="AK723" i="10"/>
  <c r="R714" i="10"/>
  <c r="R716" i="10"/>
  <c r="AK832" i="10"/>
  <c r="AK833" i="10" s="1"/>
  <c r="AK828" i="10"/>
  <c r="AK826" i="10"/>
  <c r="S765" i="10"/>
  <c r="S763" i="10"/>
  <c r="AA833" i="10"/>
  <c r="AA834" i="10" s="1"/>
  <c r="AJ833" i="10"/>
  <c r="AJ834" i="10" s="1"/>
  <c r="AI754" i="10"/>
  <c r="AO833" i="10"/>
  <c r="AO834" i="10" s="1"/>
  <c r="AM687" i="10"/>
  <c r="AM689" i="10"/>
  <c r="AF846" i="10"/>
  <c r="AF847" i="10" s="1"/>
  <c r="AF840" i="10"/>
  <c r="AF842" i="10"/>
  <c r="AK782" i="10"/>
  <c r="AK784" i="10" s="1"/>
  <c r="AK774" i="10"/>
  <c r="D760" i="10"/>
  <c r="U742" i="10"/>
  <c r="AC842" i="10"/>
  <c r="AO732" i="10"/>
  <c r="L1365" i="10"/>
  <c r="L1391" i="10" s="1"/>
  <c r="AK796" i="10"/>
  <c r="AK800" i="10"/>
  <c r="AK801" i="10" s="1"/>
  <c r="AK794" i="10"/>
  <c r="X784" i="10"/>
  <c r="X785" i="10" s="1"/>
  <c r="AX390" i="10"/>
  <c r="AX391" i="10" s="1"/>
  <c r="O405" i="10"/>
  <c r="P405" i="10" s="1"/>
  <c r="K1418" i="10"/>
  <c r="A1418" i="10" s="1"/>
  <c r="E1513" i="10"/>
  <c r="H1513" i="10" s="1"/>
  <c r="AD732" i="10"/>
  <c r="AC847" i="10"/>
  <c r="AC848" i="10" s="1"/>
  <c r="AM742" i="10"/>
  <c r="F764" i="10"/>
  <c r="W782" i="10"/>
  <c r="W776" i="10"/>
  <c r="W774" i="10"/>
  <c r="T833" i="10"/>
  <c r="T834" i="10" s="1"/>
  <c r="AA725" i="10"/>
  <c r="AA723" i="10"/>
  <c r="X714" i="10"/>
  <c r="X833" i="10"/>
  <c r="X834" i="10" s="1"/>
  <c r="AL763" i="10"/>
  <c r="AA754" i="10"/>
  <c r="A923" i="10"/>
  <c r="A927" i="10" s="1"/>
  <c r="G716" i="10"/>
  <c r="G722" i="10"/>
  <c r="AO687" i="10"/>
  <c r="AO689" i="10"/>
  <c r="F762" i="10"/>
  <c r="AG794" i="10"/>
  <c r="AG800" i="10"/>
  <c r="AG801" i="10" s="1"/>
  <c r="AG796" i="10"/>
  <c r="AI801" i="10"/>
  <c r="AI802" i="10" s="1"/>
  <c r="AB817" i="10"/>
  <c r="AB819" i="10" s="1"/>
  <c r="AB808" i="10"/>
  <c r="AB811" i="10"/>
  <c r="AJ802" i="10" l="1"/>
  <c r="BL801" i="10"/>
  <c r="BL802" i="10" s="1"/>
  <c r="BL803" i="10" s="1"/>
  <c r="W820" i="10"/>
  <c r="AY819" i="10"/>
  <c r="AY820" i="10" s="1"/>
  <c r="AY821" i="10" s="1"/>
  <c r="AG820" i="10"/>
  <c r="BI819" i="10"/>
  <c r="BI820" i="10" s="1"/>
  <c r="BI821" i="10" s="1"/>
  <c r="W802" i="10"/>
  <c r="AY801" i="10"/>
  <c r="AY802" i="10" s="1"/>
  <c r="AY803" i="10" s="1"/>
  <c r="AO802" i="10"/>
  <c r="BQ801" i="10"/>
  <c r="BQ802" i="10" s="1"/>
  <c r="BQ803" i="10" s="1"/>
  <c r="AL820" i="10"/>
  <c r="BN819" i="10"/>
  <c r="BN820" i="10" s="1"/>
  <c r="BN821" i="10" s="1"/>
  <c r="Z820" i="10"/>
  <c r="BB819" i="10"/>
  <c r="BB820" i="10" s="1"/>
  <c r="BB821" i="10" s="1"/>
  <c r="AA205" i="10"/>
  <c r="AD734" i="10" s="1"/>
  <c r="AE205" i="10"/>
  <c r="AH734" i="10" s="1"/>
  <c r="T231" i="10"/>
  <c r="AG205" i="10"/>
  <c r="AJ734" i="10" s="1"/>
  <c r="W205" i="10"/>
  <c r="Z734" i="10" s="1"/>
  <c r="AL231" i="10"/>
  <c r="S205" i="10"/>
  <c r="V734" i="10" s="1"/>
  <c r="T205" i="10"/>
  <c r="W734" i="10" s="1"/>
  <c r="O231" i="10"/>
  <c r="AA231" i="10"/>
  <c r="AB231" i="10"/>
  <c r="V205" i="10"/>
  <c r="Y734" i="10" s="1"/>
  <c r="AD231" i="10"/>
  <c r="Y231" i="10"/>
  <c r="P231" i="10"/>
  <c r="W231" i="10"/>
  <c r="S231" i="10"/>
  <c r="Q231" i="10"/>
  <c r="R231" i="10"/>
  <c r="AC231" i="10"/>
  <c r="U231" i="10"/>
  <c r="U205" i="10"/>
  <c r="X734" i="10" s="1"/>
  <c r="AL205" i="10"/>
  <c r="AO734" i="10" s="1"/>
  <c r="Z205" i="10"/>
  <c r="AC734" i="10" s="1"/>
  <c r="AJ205" i="10"/>
  <c r="AM734" i="10" s="1"/>
  <c r="X231" i="10"/>
  <c r="AC205" i="10"/>
  <c r="AF734" i="10" s="1"/>
  <c r="R205" i="10"/>
  <c r="U734" i="10" s="1"/>
  <c r="AF231" i="10"/>
  <c r="X205" i="10"/>
  <c r="AA734" i="10" s="1"/>
  <c r="O205" i="10"/>
  <c r="AK205" i="10"/>
  <c r="AN734" i="10" s="1"/>
  <c r="AK231" i="10"/>
  <c r="Q205" i="10"/>
  <c r="T734" i="10" s="1"/>
  <c r="Z231" i="10"/>
  <c r="AB205" i="10"/>
  <c r="AE734" i="10" s="1"/>
  <c r="AI205" i="10"/>
  <c r="AL734" i="10" s="1"/>
  <c r="AD205" i="10"/>
  <c r="AG734" i="10" s="1"/>
  <c r="AE231" i="10"/>
  <c r="AF205" i="10"/>
  <c r="AI734" i="10" s="1"/>
  <c r="AH231" i="10"/>
  <c r="AI231" i="10"/>
  <c r="AJ231" i="10"/>
  <c r="P205" i="10"/>
  <c r="S734" i="10" s="1"/>
  <c r="AH205" i="10"/>
  <c r="AK734" i="10" s="1"/>
  <c r="V231" i="10"/>
  <c r="AG231" i="10"/>
  <c r="Y205" i="10"/>
  <c r="AB734" i="10" s="1"/>
  <c r="AC834" i="10"/>
  <c r="BE833" i="10"/>
  <c r="BE834" i="10" s="1"/>
  <c r="BE835" i="10" s="1"/>
  <c r="AC785" i="10"/>
  <c r="BE784" i="10"/>
  <c r="BE785" i="10" s="1"/>
  <c r="BE786" i="10" s="1"/>
  <c r="AL785" i="10"/>
  <c r="BN784" i="10"/>
  <c r="BN785" i="10" s="1"/>
  <c r="BN786" i="10" s="1"/>
  <c r="AB820" i="10"/>
  <c r="BD819" i="10"/>
  <c r="BD820" i="10" s="1"/>
  <c r="BD821" i="10" s="1"/>
  <c r="AI834" i="10"/>
  <c r="BK833" i="10"/>
  <c r="BK834" i="10" s="1"/>
  <c r="BK835" i="10" s="1"/>
  <c r="AA820" i="10"/>
  <c r="BC819" i="10"/>
  <c r="BC820" i="10" s="1"/>
  <c r="BC821" i="10" s="1"/>
  <c r="Z848" i="10"/>
  <c r="BB847" i="10"/>
  <c r="BB848" i="10" s="1"/>
  <c r="BB849" i="10" s="1"/>
  <c r="AJ848" i="10"/>
  <c r="BL847" i="10"/>
  <c r="BL848" i="10" s="1"/>
  <c r="BL849" i="10" s="1"/>
  <c r="AE820" i="10"/>
  <c r="BG819" i="10"/>
  <c r="BG820" i="10" s="1"/>
  <c r="BG821" i="10" s="1"/>
  <c r="AD849" i="10"/>
  <c r="AD848" i="10"/>
  <c r="BF847" i="10"/>
  <c r="BF848" i="10" s="1"/>
  <c r="BF849" i="10" s="1"/>
  <c r="AH785" i="10"/>
  <c r="BJ784" i="10"/>
  <c r="BJ785" i="10" s="1"/>
  <c r="BJ786" i="10" s="1"/>
  <c r="AT714" i="10"/>
  <c r="L977" i="10"/>
  <c r="E977" i="10"/>
  <c r="AE977" i="10"/>
  <c r="K998" i="10"/>
  <c r="J998" i="10" s="1"/>
  <c r="AG802" i="10"/>
  <c r="BI801" i="10"/>
  <c r="BI802" i="10" s="1"/>
  <c r="BI803" i="10" s="1"/>
  <c r="AF834" i="10"/>
  <c r="BH833" i="10"/>
  <c r="BH834" i="10" s="1"/>
  <c r="BH835" i="10" s="1"/>
  <c r="AB834" i="10"/>
  <c r="BD833" i="10"/>
  <c r="BD834" i="10" s="1"/>
  <c r="BD835" i="10" s="1"/>
  <c r="V785" i="10"/>
  <c r="AX784" i="10"/>
  <c r="AX785" i="10" s="1"/>
  <c r="AX786" i="10" s="1"/>
  <c r="AI848" i="10"/>
  <c r="BK847" i="10"/>
  <c r="BK848" i="10" s="1"/>
  <c r="BK849" i="10" s="1"/>
  <c r="AC820" i="10"/>
  <c r="BE819" i="10"/>
  <c r="BE820" i="10" s="1"/>
  <c r="BE821" i="10" s="1"/>
  <c r="AO820" i="10"/>
  <c r="BQ819" i="10"/>
  <c r="BQ820" i="10" s="1"/>
  <c r="BQ821" i="10" s="1"/>
  <c r="AN848" i="10"/>
  <c r="BP847" i="10"/>
  <c r="BP848" i="10" s="1"/>
  <c r="BP849" i="10" s="1"/>
  <c r="AK834" i="10"/>
  <c r="BM833" i="10"/>
  <c r="BM834" i="10" s="1"/>
  <c r="BM835" i="10" s="1"/>
  <c r="T820" i="10"/>
  <c r="AV819" i="10"/>
  <c r="AV820" i="10" s="1"/>
  <c r="AV821" i="10" s="1"/>
  <c r="AE802" i="10"/>
  <c r="BG801" i="10"/>
  <c r="BG802" i="10" s="1"/>
  <c r="BG803" i="10" s="1"/>
  <c r="AG834" i="10"/>
  <c r="BI833" i="10"/>
  <c r="BI834" i="10" s="1"/>
  <c r="BI835" i="10" s="1"/>
  <c r="AC802" i="10"/>
  <c r="BE801" i="10"/>
  <c r="BE802" i="10" s="1"/>
  <c r="BE803" i="10" s="1"/>
  <c r="X802" i="10"/>
  <c r="AZ801" i="10"/>
  <c r="AZ802" i="10" s="1"/>
  <c r="AZ803" i="10" s="1"/>
  <c r="X848" i="10"/>
  <c r="AZ847" i="10"/>
  <c r="AZ848" i="10" s="1"/>
  <c r="AZ849" i="10" s="1"/>
  <c r="R820" i="10"/>
  <c r="AT819" i="10"/>
  <c r="AT820" i="10" s="1"/>
  <c r="AT821" i="10" s="1"/>
  <c r="AD834" i="10"/>
  <c r="AD835" i="10"/>
  <c r="BF833" i="10"/>
  <c r="BF834" i="10" s="1"/>
  <c r="BF835" i="10" s="1"/>
  <c r="S802" i="10"/>
  <c r="AU801" i="10"/>
  <c r="AU802" i="10" s="1"/>
  <c r="AU803" i="10" s="1"/>
  <c r="V802" i="10"/>
  <c r="AX801" i="10"/>
  <c r="AX802" i="10" s="1"/>
  <c r="AX803" i="10" s="1"/>
  <c r="Z834" i="10"/>
  <c r="BB833" i="10"/>
  <c r="BB834" i="10" s="1"/>
  <c r="BB835" i="10" s="1"/>
  <c r="V834" i="10"/>
  <c r="AX833" i="10"/>
  <c r="AX834" i="10" s="1"/>
  <c r="AX835" i="10" s="1"/>
  <c r="AK802" i="10"/>
  <c r="BM801" i="10"/>
  <c r="BM802" i="10" s="1"/>
  <c r="BM803" i="10" s="1"/>
  <c r="AG785" i="10"/>
  <c r="BI784" i="10"/>
  <c r="BI785" i="10" s="1"/>
  <c r="BI786" i="10" s="1"/>
  <c r="AD803" i="10"/>
  <c r="AD802" i="10"/>
  <c r="BF801" i="10"/>
  <c r="BF802" i="10" s="1"/>
  <c r="BF803" i="10" s="1"/>
  <c r="Y802" i="10"/>
  <c r="BA801" i="10"/>
  <c r="BA802" i="10" s="1"/>
  <c r="BA803" i="10" s="1"/>
  <c r="W848" i="10"/>
  <c r="AY847" i="10"/>
  <c r="AY848" i="10" s="1"/>
  <c r="AY849" i="10" s="1"/>
  <c r="AG848" i="10"/>
  <c r="BI847" i="10"/>
  <c r="BI848" i="10" s="1"/>
  <c r="BI849" i="10" s="1"/>
  <c r="AF848" i="10"/>
  <c r="BH847" i="10"/>
  <c r="BH848" i="10" s="1"/>
  <c r="BH849" i="10" s="1"/>
  <c r="T802" i="10"/>
  <c r="AV801" i="10"/>
  <c r="AV802" i="10" s="1"/>
  <c r="AV803" i="10" s="1"/>
  <c r="R802" i="10"/>
  <c r="AT801" i="10"/>
  <c r="AT802" i="10" s="1"/>
  <c r="AT803" i="10" s="1"/>
  <c r="AH820" i="10"/>
  <c r="BJ819" i="10"/>
  <c r="BJ820" i="10" s="1"/>
  <c r="BJ821" i="10" s="1"/>
  <c r="AF785" i="10"/>
  <c r="BH784" i="10"/>
  <c r="BH785" i="10" s="1"/>
  <c r="BH786" i="10" s="1"/>
  <c r="T848" i="10"/>
  <c r="AV847" i="10"/>
  <c r="AV848" i="10" s="1"/>
  <c r="AV849" i="10" s="1"/>
  <c r="AK785" i="10"/>
  <c r="BM784" i="10"/>
  <c r="BM785" i="10" s="1"/>
  <c r="BM786" i="10" s="1"/>
  <c r="AO785" i="10"/>
  <c r="BQ784" i="10"/>
  <c r="BQ785" i="10" s="1"/>
  <c r="BQ786" i="10" s="1"/>
  <c r="AP776" i="10"/>
  <c r="D781" i="10" s="1"/>
  <c r="AT847" i="10"/>
  <c r="AT848" i="10" s="1"/>
  <c r="AT849" i="10" s="1"/>
  <c r="BN847" i="10"/>
  <c r="BN848" i="10" s="1"/>
  <c r="BN849" i="10" s="1"/>
  <c r="BE739" i="10"/>
  <c r="BE740" i="10" s="1"/>
  <c r="AX751" i="10"/>
  <c r="AX752" i="10" s="1"/>
  <c r="AX753" i="10" s="1"/>
  <c r="AP811" i="10"/>
  <c r="F781" i="10" s="1"/>
  <c r="BM819" i="10"/>
  <c r="BM820" i="10" s="1"/>
  <c r="BM821" i="10" s="1"/>
  <c r="AP842" i="10"/>
  <c r="H781" i="10" s="1"/>
  <c r="K603" i="10"/>
  <c r="F612" i="10" s="1"/>
  <c r="O612" i="10" s="1"/>
  <c r="F614" i="10" s="1"/>
  <c r="K652" i="10" s="1"/>
  <c r="BA833" i="10"/>
  <c r="BA834" i="10" s="1"/>
  <c r="BA835" i="10" s="1"/>
  <c r="BO801" i="10"/>
  <c r="BO802" i="10" s="1"/>
  <c r="BO803" i="10" s="1"/>
  <c r="P579" i="10"/>
  <c r="P581" i="10" s="1"/>
  <c r="AP689" i="10"/>
  <c r="D737" i="10" s="1"/>
  <c r="AT689" i="10"/>
  <c r="BB751" i="10"/>
  <c r="BB752" i="10" s="1"/>
  <c r="BB753" i="10" s="1"/>
  <c r="AV833" i="10"/>
  <c r="AV834" i="10" s="1"/>
  <c r="AV835" i="10" s="1"/>
  <c r="BP833" i="10"/>
  <c r="BP834" i="10" s="1"/>
  <c r="BP835" i="10" s="1"/>
  <c r="BJ760" i="10"/>
  <c r="BJ761" i="10" s="1"/>
  <c r="BJ762" i="10" s="1"/>
  <c r="P1310" i="10"/>
  <c r="P1319" i="10" s="1"/>
  <c r="I393" i="10" s="1"/>
  <c r="R1472" i="10" s="1"/>
  <c r="U1472" i="10" s="1"/>
  <c r="L1319" i="10"/>
  <c r="K582" i="10"/>
  <c r="BM751" i="10"/>
  <c r="BM752" i="10" s="1"/>
  <c r="BM753" i="10" s="1"/>
  <c r="AD820" i="10"/>
  <c r="AD821" i="10"/>
  <c r="I50" i="10"/>
  <c r="I680" i="10"/>
  <c r="BG833" i="10"/>
  <c r="BG834" i="10" s="1"/>
  <c r="BG835" i="10" s="1"/>
  <c r="AU684" i="10"/>
  <c r="AU685" i="10" s="1"/>
  <c r="AU686" i="10" s="1"/>
  <c r="AT687" i="10" s="1"/>
  <c r="BI760" i="10"/>
  <c r="BI761" i="10" s="1"/>
  <c r="BI762" i="10" s="1"/>
  <c r="BC833" i="10"/>
  <c r="BC834" i="10" s="1"/>
  <c r="BC835" i="10" s="1"/>
  <c r="AK759" i="10"/>
  <c r="AH799" i="10"/>
  <c r="AB799" i="10"/>
  <c r="AF845" i="10"/>
  <c r="U768" i="10"/>
  <c r="AI781" i="10"/>
  <c r="AL759" i="10"/>
  <c r="AM692" i="10"/>
  <c r="X719" i="10"/>
  <c r="AE759" i="10"/>
  <c r="AK799" i="10"/>
  <c r="AB692" i="10"/>
  <c r="V831" i="10"/>
  <c r="AG816" i="10"/>
  <c r="Z719" i="10"/>
  <c r="W831" i="10"/>
  <c r="W781" i="10"/>
  <c r="AI816" i="10"/>
  <c r="AB728" i="10"/>
  <c r="W692" i="10"/>
  <c r="AO799" i="10"/>
  <c r="AG768" i="10"/>
  <c r="AL816" i="10"/>
  <c r="AE692" i="10"/>
  <c r="AO737" i="10"/>
  <c r="X737" i="10"/>
  <c r="AM737" i="10"/>
  <c r="Z737" i="10"/>
  <c r="AG737" i="10"/>
  <c r="T737" i="10"/>
  <c r="V737" i="10"/>
  <c r="AA737" i="10"/>
  <c r="W737" i="10"/>
  <c r="AE737" i="10"/>
  <c r="AF737" i="10"/>
  <c r="AK737" i="10"/>
  <c r="AH737" i="10"/>
  <c r="AN737" i="10"/>
  <c r="U737" i="10"/>
  <c r="S737" i="10"/>
  <c r="AJ737" i="10"/>
  <c r="AD737" i="10"/>
  <c r="AC737" i="10"/>
  <c r="AB737" i="10"/>
  <c r="Y737" i="10"/>
  <c r="AL737" i="10"/>
  <c r="R737" i="10"/>
  <c r="AJ816" i="10"/>
  <c r="U816" i="10"/>
  <c r="AN831" i="10"/>
  <c r="AA768" i="10"/>
  <c r="X781" i="10"/>
  <c r="AB719" i="10"/>
  <c r="AA759" i="10"/>
  <c r="AO768" i="10"/>
  <c r="AD831" i="10"/>
  <c r="AH831" i="10"/>
  <c r="AE845" i="10"/>
  <c r="AG759" i="10"/>
  <c r="T719" i="10"/>
  <c r="AO816" i="10"/>
  <c r="AH759" i="10"/>
  <c r="AN816" i="10"/>
  <c r="AI768" i="10"/>
  <c r="AG845" i="10"/>
  <c r="R692" i="10"/>
  <c r="AM845" i="10"/>
  <c r="AF768" i="10"/>
  <c r="AF781" i="10"/>
  <c r="X831" i="10"/>
  <c r="AF719" i="10"/>
  <c r="AN768" i="10"/>
  <c r="Z759" i="10"/>
  <c r="U759" i="10"/>
  <c r="AL719" i="10"/>
  <c r="AL781" i="10"/>
  <c r="AK768" i="10"/>
  <c r="AN845" i="10"/>
  <c r="V781" i="10"/>
  <c r="AJ759" i="10"/>
  <c r="AJ692" i="10"/>
  <c r="U728" i="10"/>
  <c r="AN759" i="10"/>
  <c r="S759" i="10"/>
  <c r="AM768" i="10"/>
  <c r="AL692" i="10"/>
  <c r="AI799" i="10"/>
  <c r="S768" i="10"/>
  <c r="AA845" i="10"/>
  <c r="V799" i="10"/>
  <c r="AC728" i="10"/>
  <c r="AH816" i="10"/>
  <c r="T728" i="10"/>
  <c r="AA719" i="10"/>
  <c r="AN719" i="10"/>
  <c r="AE781" i="10"/>
  <c r="AH768" i="10"/>
  <c r="AD728" i="10"/>
  <c r="W728" i="10"/>
  <c r="AE728" i="10"/>
  <c r="AA692" i="10"/>
  <c r="AJ799" i="10"/>
  <c r="AC781" i="10"/>
  <c r="AD759" i="10"/>
  <c r="U799" i="10"/>
  <c r="R816" i="10"/>
  <c r="AI719" i="10"/>
  <c r="AM831" i="10"/>
  <c r="AD719" i="10"/>
  <c r="AO719" i="10"/>
  <c r="AJ845" i="10"/>
  <c r="Z768" i="10"/>
  <c r="T799" i="10"/>
  <c r="AG719" i="10"/>
  <c r="X759" i="10"/>
  <c r="S831" i="10"/>
  <c r="AB845" i="10"/>
  <c r="AA831" i="10"/>
  <c r="Y781" i="10"/>
  <c r="AC845" i="10"/>
  <c r="W719" i="10"/>
  <c r="AA799" i="10"/>
  <c r="R719" i="10"/>
  <c r="AE768" i="10"/>
  <c r="X728" i="10"/>
  <c r="AA781" i="10"/>
  <c r="AH781" i="10"/>
  <c r="V692" i="10"/>
  <c r="AB768" i="10"/>
  <c r="AH728" i="10"/>
  <c r="Y816" i="10"/>
  <c r="AC816" i="10"/>
  <c r="AB781" i="10"/>
  <c r="AF816" i="10"/>
  <c r="AG728" i="10"/>
  <c r="AH719" i="10"/>
  <c r="AK781" i="10"/>
  <c r="AL831" i="10"/>
  <c r="S781" i="10"/>
  <c r="S692" i="10"/>
  <c r="W816" i="10"/>
  <c r="AC759" i="10"/>
  <c r="T831" i="10"/>
  <c r="AO831" i="10"/>
  <c r="AI759" i="10"/>
  <c r="AF799" i="10"/>
  <c r="AM719" i="10"/>
  <c r="AM781" i="10"/>
  <c r="AI831" i="10"/>
  <c r="AN692" i="10"/>
  <c r="AF831" i="10"/>
  <c r="AN799" i="10"/>
  <c r="Z845" i="10"/>
  <c r="X816" i="10"/>
  <c r="AJ728" i="10"/>
  <c r="Y845" i="10"/>
  <c r="R781" i="10"/>
  <c r="AK719" i="10"/>
  <c r="R728" i="10"/>
  <c r="AL799" i="10"/>
  <c r="S816" i="10"/>
  <c r="T759" i="10"/>
  <c r="AK831" i="10"/>
  <c r="AD781" i="10"/>
  <c r="T692" i="10"/>
  <c r="Z781" i="10"/>
  <c r="W799" i="10"/>
  <c r="Y728" i="10"/>
  <c r="X845" i="10"/>
  <c r="AJ719" i="10"/>
  <c r="R759" i="10"/>
  <c r="AP759" i="10" s="1"/>
  <c r="I735" i="10" s="1"/>
  <c r="AE831" i="10"/>
  <c r="T768" i="10"/>
  <c r="U781" i="10"/>
  <c r="U845" i="10"/>
  <c r="AI692" i="10"/>
  <c r="AL768" i="10"/>
  <c r="AB831" i="10"/>
  <c r="AM816" i="10"/>
  <c r="AK728" i="10"/>
  <c r="AB816" i="10"/>
  <c r="Z728" i="10"/>
  <c r="Y719" i="10"/>
  <c r="AC831" i="10"/>
  <c r="R799" i="10"/>
  <c r="X799" i="10"/>
  <c r="S728" i="10"/>
  <c r="AM759" i="10"/>
  <c r="AD768" i="10"/>
  <c r="U719" i="10"/>
  <c r="AF728" i="10"/>
  <c r="AA816" i="10"/>
  <c r="AK845" i="10"/>
  <c r="AF759" i="10"/>
  <c r="T781" i="10"/>
  <c r="AO781" i="10"/>
  <c r="W768" i="10"/>
  <c r="AE816" i="10"/>
  <c r="AD799" i="10"/>
  <c r="X692" i="10"/>
  <c r="AO759" i="10"/>
  <c r="T816" i="10"/>
  <c r="AH845" i="10"/>
  <c r="Y759" i="10"/>
  <c r="AI845" i="10"/>
  <c r="Z799" i="10"/>
  <c r="U692" i="10"/>
  <c r="AG781" i="10"/>
  <c r="AN728" i="10"/>
  <c r="AF692" i="10"/>
  <c r="AG799" i="10"/>
  <c r="AD692" i="10"/>
  <c r="AH692" i="10"/>
  <c r="AL845" i="10"/>
  <c r="AC799" i="10"/>
  <c r="S719" i="10"/>
  <c r="AG831" i="10"/>
  <c r="AO728" i="10"/>
  <c r="AE799" i="10"/>
  <c r="Z692" i="10"/>
  <c r="AK816" i="10"/>
  <c r="S799" i="10"/>
  <c r="AB759" i="10"/>
  <c r="AJ781" i="10"/>
  <c r="AJ768" i="10"/>
  <c r="AC768" i="10"/>
  <c r="V728" i="10"/>
  <c r="W759" i="10"/>
  <c r="T845" i="10"/>
  <c r="S845" i="10"/>
  <c r="V719" i="10"/>
  <c r="X768" i="10"/>
  <c r="W845" i="10"/>
  <c r="AL728" i="10"/>
  <c r="AK692" i="10"/>
  <c r="AI728" i="10"/>
  <c r="AM799" i="10"/>
  <c r="AC719" i="10"/>
  <c r="R768" i="10"/>
  <c r="Y692" i="10"/>
  <c r="AA728" i="10"/>
  <c r="AM728" i="10"/>
  <c r="AO845" i="10"/>
  <c r="Y831" i="10"/>
  <c r="V768" i="10"/>
  <c r="R831" i="10"/>
  <c r="Y799" i="10"/>
  <c r="AE719" i="10"/>
  <c r="Z831" i="10"/>
  <c r="R845" i="10"/>
  <c r="AJ831" i="10"/>
  <c r="V759" i="10"/>
  <c r="AO692" i="10"/>
  <c r="AD816" i="10"/>
  <c r="Y768" i="10"/>
  <c r="U831" i="10"/>
  <c r="AD845" i="10"/>
  <c r="Z816" i="10"/>
  <c r="AG692" i="10"/>
  <c r="V845" i="10"/>
  <c r="V816" i="10"/>
  <c r="AC692" i="10"/>
  <c r="AN781" i="10"/>
  <c r="BD684" i="10"/>
  <c r="BD685" i="10" s="1"/>
  <c r="BD686" i="10" s="1"/>
  <c r="BM760" i="10"/>
  <c r="BM761" i="10" s="1"/>
  <c r="BM762" i="10" s="1"/>
  <c r="BP801" i="10"/>
  <c r="BP802" i="10" s="1"/>
  <c r="BP803" i="10" s="1"/>
  <c r="BJ684" i="10"/>
  <c r="BJ685" i="10" s="1"/>
  <c r="BJ686" i="10" s="1"/>
  <c r="BB760" i="10"/>
  <c r="BB761" i="10" s="1"/>
  <c r="BB762" i="10" s="1"/>
  <c r="BA399" i="10"/>
  <c r="BA400" i="10" s="1"/>
  <c r="BD801" i="10"/>
  <c r="BD802" i="10" s="1"/>
  <c r="BD803" i="10" s="1"/>
  <c r="AW833" i="10"/>
  <c r="AW834" i="10" s="1"/>
  <c r="AW835" i="10" s="1"/>
  <c r="D50" i="10"/>
  <c r="D680" i="10"/>
  <c r="BO784" i="10"/>
  <c r="BO785" i="10" s="1"/>
  <c r="BO786" i="10" s="1"/>
  <c r="BM684" i="10"/>
  <c r="BM685" i="10" s="1"/>
  <c r="BM686" i="10" s="1"/>
  <c r="BN684" i="10"/>
  <c r="BN685" i="10" s="1"/>
  <c r="BN686" i="10" s="1"/>
  <c r="BH760" i="10"/>
  <c r="BH761" i="10" s="1"/>
  <c r="BH762" i="10" s="1"/>
  <c r="BL819" i="10"/>
  <c r="BL820" i="10" s="1"/>
  <c r="BL821" i="10" s="1"/>
  <c r="BK399" i="10"/>
  <c r="BK400" i="10" s="1"/>
  <c r="AU847" i="10"/>
  <c r="AU848" i="10" s="1"/>
  <c r="AU849" i="10" s="1"/>
  <c r="AX847" i="10"/>
  <c r="AX848" i="10" s="1"/>
  <c r="AX849" i="10" s="1"/>
  <c r="E1524" i="10"/>
  <c r="P585" i="10"/>
  <c r="R583" i="10"/>
  <c r="R585" i="10" s="1"/>
  <c r="J50" i="10"/>
  <c r="J680" i="10"/>
  <c r="BL720" i="10"/>
  <c r="BL721" i="10" s="1"/>
  <c r="BL722" i="10" s="1"/>
  <c r="AZ819" i="10"/>
  <c r="AZ820" i="10" s="1"/>
  <c r="AZ821" i="10" s="1"/>
  <c r="AU751" i="10"/>
  <c r="AU752" i="10" s="1"/>
  <c r="AU753" i="10" s="1"/>
  <c r="BP819" i="10"/>
  <c r="BP820" i="10" s="1"/>
  <c r="BP821" i="10" s="1"/>
  <c r="BC847" i="10"/>
  <c r="BC848" i="10" s="1"/>
  <c r="BC849" i="10" s="1"/>
  <c r="AV684" i="10"/>
  <c r="AV685" i="10" s="1"/>
  <c r="AV686" i="10" s="1"/>
  <c r="AZ760" i="10"/>
  <c r="AZ761" i="10" s="1"/>
  <c r="AZ762" i="10" s="1"/>
  <c r="BN399" i="10"/>
  <c r="BN400" i="10" s="1"/>
  <c r="BN833" i="10"/>
  <c r="BN834" i="10" s="1"/>
  <c r="BN835" i="10" s="1"/>
  <c r="K586" i="10"/>
  <c r="H455" i="10" s="1"/>
  <c r="BC751" i="10"/>
  <c r="BC752" i="10" s="1"/>
  <c r="BC753" i="10" s="1"/>
  <c r="A1168" i="10"/>
  <c r="A1420" i="10"/>
  <c r="BP720" i="10"/>
  <c r="BP721" i="10" s="1"/>
  <c r="BP722" i="10" s="1"/>
  <c r="AV784" i="10"/>
  <c r="AV785" i="10" s="1"/>
  <c r="AV786" i="10" s="1"/>
  <c r="BE751" i="10"/>
  <c r="BE752" i="10" s="1"/>
  <c r="BE753" i="10" s="1"/>
  <c r="AT690" i="10"/>
  <c r="BQ684" i="10"/>
  <c r="BQ685" i="10" s="1"/>
  <c r="BQ686" i="10" s="1"/>
  <c r="BL760" i="10"/>
  <c r="BL761" i="10" s="1"/>
  <c r="BL762" i="10" s="1"/>
  <c r="BJ833" i="10"/>
  <c r="BJ834" i="10" s="1"/>
  <c r="BJ835" i="10" s="1"/>
  <c r="BM399" i="10"/>
  <c r="BM400" i="10" s="1"/>
  <c r="BB784" i="10"/>
  <c r="BB785" i="10" s="1"/>
  <c r="BB786" i="10" s="1"/>
  <c r="AT787" i="10" s="1"/>
  <c r="AZ784" i="10"/>
  <c r="AZ785" i="10" s="1"/>
  <c r="AZ786" i="10" s="1"/>
  <c r="BL751" i="10"/>
  <c r="BL752" i="10" s="1"/>
  <c r="BL753" i="10" s="1"/>
  <c r="L1094" i="10"/>
  <c r="L1096" i="10"/>
  <c r="L1098" i="10"/>
  <c r="BL833" i="10"/>
  <c r="BL834" i="10" s="1"/>
  <c r="BL835" i="10" s="1"/>
  <c r="BG684" i="10"/>
  <c r="BG685" i="10" s="1"/>
  <c r="BG686" i="10" s="1"/>
  <c r="AT760" i="10"/>
  <c r="AT761" i="10" s="1"/>
  <c r="AT762" i="10" s="1"/>
  <c r="BG399" i="10"/>
  <c r="BG400" i="10" s="1"/>
  <c r="BK784" i="10"/>
  <c r="BK785" i="10" s="1"/>
  <c r="BK786" i="10" s="1"/>
  <c r="BC801" i="10"/>
  <c r="BC802" i="10" s="1"/>
  <c r="BC803" i="10" s="1"/>
  <c r="BJ801" i="10"/>
  <c r="BJ802" i="10" s="1"/>
  <c r="BJ803" i="10" s="1"/>
  <c r="BJ751" i="10"/>
  <c r="BJ752" i="10" s="1"/>
  <c r="BJ753" i="10" s="1"/>
  <c r="P1308" i="10"/>
  <c r="K592" i="10"/>
  <c r="E612" i="10" s="1"/>
  <c r="N612" i="10" s="1"/>
  <c r="BJ720" i="10"/>
  <c r="BJ721" i="10" s="1"/>
  <c r="BJ722" i="10" s="1"/>
  <c r="AZ751" i="10"/>
  <c r="AZ752" i="10" s="1"/>
  <c r="AZ753" i="10" s="1"/>
  <c r="L623" i="10"/>
  <c r="L621" i="10"/>
  <c r="L624" i="10" s="1"/>
  <c r="P1094" i="10"/>
  <c r="P1096" i="10"/>
  <c r="P1098" i="10"/>
  <c r="P1100" i="10" s="1"/>
  <c r="P1104" i="10" s="1"/>
  <c r="P1106" i="10" s="1"/>
  <c r="P1107" i="10" s="1"/>
  <c r="H914" i="10"/>
  <c r="H923" i="10" s="1"/>
  <c r="H927" i="10" s="1"/>
  <c r="AY684" i="10"/>
  <c r="AY685" i="10" s="1"/>
  <c r="AY686" i="10" s="1"/>
  <c r="AU819" i="10"/>
  <c r="AU820" i="10" s="1"/>
  <c r="AU821" i="10" s="1"/>
  <c r="AX760" i="10"/>
  <c r="AX761" i="10" s="1"/>
  <c r="AX762" i="10" s="1"/>
  <c r="BD760" i="10"/>
  <c r="BD761" i="10" s="1"/>
  <c r="BD762" i="10" s="1"/>
  <c r="BG784" i="10"/>
  <c r="BG785" i="10" s="1"/>
  <c r="BG786" i="10" s="1"/>
  <c r="BO399" i="10"/>
  <c r="BO400" i="10" s="1"/>
  <c r="BC399" i="10"/>
  <c r="BC400" i="10" s="1"/>
  <c r="AW819" i="10"/>
  <c r="AW820" i="10" s="1"/>
  <c r="AW821" i="10" s="1"/>
  <c r="BI720" i="10"/>
  <c r="BI721" i="10" s="1"/>
  <c r="BI722" i="10" s="1"/>
  <c r="BO751" i="10"/>
  <c r="BO752" i="10" s="1"/>
  <c r="BO753" i="10" s="1"/>
  <c r="AW684" i="10"/>
  <c r="AW685" i="10" s="1"/>
  <c r="AW686" i="10" s="1"/>
  <c r="AU760" i="10"/>
  <c r="AU761" i="10" s="1"/>
  <c r="AU762" i="10" s="1"/>
  <c r="AU785" i="10"/>
  <c r="AU786" i="10" s="1"/>
  <c r="AZ399" i="10"/>
  <c r="AZ400" i="10" s="1"/>
  <c r="BC784" i="10"/>
  <c r="BC785" i="10" s="1"/>
  <c r="BC786" i="10" s="1"/>
  <c r="BM738" i="10"/>
  <c r="BM739" i="10" s="1"/>
  <c r="BM740" i="10" s="1"/>
  <c r="H50" i="10"/>
  <c r="H680" i="10"/>
  <c r="Q403" i="10"/>
  <c r="I398" i="10" s="1"/>
  <c r="R579" i="10"/>
  <c r="R581" i="10" s="1"/>
  <c r="Q171" i="10"/>
  <c r="R171" i="10"/>
  <c r="BD720" i="10"/>
  <c r="BD721" i="10" s="1"/>
  <c r="BD722" i="10" s="1"/>
  <c r="AY751" i="10"/>
  <c r="AY752" i="10" s="1"/>
  <c r="AY753" i="10" s="1"/>
  <c r="K1009" i="10"/>
  <c r="O419" i="10"/>
  <c r="BE847" i="10"/>
  <c r="BE848" i="10" s="1"/>
  <c r="BE849" i="10" s="1"/>
  <c r="BH684" i="10"/>
  <c r="BH685" i="10" s="1"/>
  <c r="BH686" i="10" s="1"/>
  <c r="BK760" i="10"/>
  <c r="BK761" i="10" s="1"/>
  <c r="BK762" i="10" s="1"/>
  <c r="BJ399" i="10"/>
  <c r="BJ400" i="10" s="1"/>
  <c r="BD399" i="10"/>
  <c r="BD400" i="10" s="1"/>
  <c r="K814" i="10"/>
  <c r="AZ738" i="10"/>
  <c r="AZ739" i="10" s="1"/>
  <c r="AZ740" i="10" s="1"/>
  <c r="BK738" i="10"/>
  <c r="BK739" i="10" s="1"/>
  <c r="BK740" i="10" s="1"/>
  <c r="BC684" i="10"/>
  <c r="BC685" i="10" s="1"/>
  <c r="BC686" i="10" s="1"/>
  <c r="AW760" i="10"/>
  <c r="AW761" i="10" s="1"/>
  <c r="AW762" i="10" s="1"/>
  <c r="BQ399" i="10"/>
  <c r="BQ400" i="10" s="1"/>
  <c r="AU399" i="10"/>
  <c r="AU400" i="10" s="1"/>
  <c r="K818" i="10"/>
  <c r="K817" i="10"/>
  <c r="AY738" i="10"/>
  <c r="AY739" i="10" s="1"/>
  <c r="AY740" i="10" s="1"/>
  <c r="BQ751" i="10"/>
  <c r="BQ752" i="10" s="1"/>
  <c r="BQ753" i="10" s="1"/>
  <c r="O413" i="10"/>
  <c r="AD786" i="10"/>
  <c r="AD785" i="10"/>
  <c r="BB801" i="10"/>
  <c r="BB802" i="10" s="1"/>
  <c r="BB803" i="10" s="1"/>
  <c r="BO684" i="10"/>
  <c r="BO685" i="10" s="1"/>
  <c r="BO686" i="10" s="1"/>
  <c r="AP725" i="10"/>
  <c r="F737" i="10" s="1"/>
  <c r="BK801" i="10"/>
  <c r="BK802" i="10" s="1"/>
  <c r="BK803" i="10" s="1"/>
  <c r="BQ760" i="10"/>
  <c r="BQ761" i="10" s="1"/>
  <c r="BQ762" i="10" s="1"/>
  <c r="BP399" i="10"/>
  <c r="BP400" i="10" s="1"/>
  <c r="AV399" i="10"/>
  <c r="AV400" i="10" s="1"/>
  <c r="E49" i="10"/>
  <c r="AU833" i="10"/>
  <c r="AU834" i="10" s="1"/>
  <c r="AU835" i="10" s="1"/>
  <c r="AT836" i="10" s="1"/>
  <c r="BQ738" i="10"/>
  <c r="BQ739" i="10" s="1"/>
  <c r="BQ740" i="10" s="1"/>
  <c r="BH751" i="10"/>
  <c r="BH752" i="10" s="1"/>
  <c r="BH753" i="10" s="1"/>
  <c r="BF819" i="10"/>
  <c r="BF820" i="10" s="1"/>
  <c r="BF821" i="10" s="1"/>
  <c r="BL684" i="10"/>
  <c r="BL685" i="10" s="1"/>
  <c r="BL686" i="10" s="1"/>
  <c r="AP756" i="10"/>
  <c r="I737" i="10" s="1"/>
  <c r="BP760" i="10"/>
  <c r="BP761" i="10" s="1"/>
  <c r="BP762" i="10" s="1"/>
  <c r="BH399" i="10"/>
  <c r="BH400" i="10" s="1"/>
  <c r="AX399" i="10"/>
  <c r="AX400" i="10" s="1"/>
  <c r="AW801" i="10"/>
  <c r="AW802" i="10" s="1"/>
  <c r="AW803" i="10" s="1"/>
  <c r="P1378" i="10"/>
  <c r="P1383" i="10"/>
  <c r="P1399" i="10" s="1"/>
  <c r="I392" i="10" s="1"/>
  <c r="R1471" i="10" s="1"/>
  <c r="U1471" i="10" s="1"/>
  <c r="BD738" i="10"/>
  <c r="BD739" i="10" s="1"/>
  <c r="BD740" i="10" s="1"/>
  <c r="H664" i="10"/>
  <c r="K664" i="10"/>
  <c r="D664" i="10"/>
  <c r="G664" i="10"/>
  <c r="E664" i="10"/>
  <c r="I664" i="10"/>
  <c r="J664" i="10"/>
  <c r="L664" i="10"/>
  <c r="F664" i="10"/>
  <c r="BI684" i="10"/>
  <c r="BI685" i="10" s="1"/>
  <c r="BI686" i="10" s="1"/>
  <c r="BE760" i="10"/>
  <c r="BE761" i="10" s="1"/>
  <c r="BE762" i="10" s="1"/>
  <c r="AW399" i="10"/>
  <c r="AW400" i="10" s="1"/>
  <c r="AY399" i="10"/>
  <c r="AY400" i="10" s="1"/>
  <c r="BO833" i="10"/>
  <c r="BO834" i="10" s="1"/>
  <c r="BO835" i="10" s="1"/>
  <c r="G680" i="10"/>
  <c r="G50" i="10"/>
  <c r="BI738" i="10"/>
  <c r="BI739" i="10" s="1"/>
  <c r="BI740" i="10" s="1"/>
  <c r="J955" i="10"/>
  <c r="BQ833" i="10"/>
  <c r="BQ834" i="10" s="1"/>
  <c r="BQ835" i="10" s="1"/>
  <c r="AE978" i="10"/>
  <c r="L978" i="10"/>
  <c r="E978" i="10"/>
  <c r="K999" i="10"/>
  <c r="J999" i="10" s="1"/>
  <c r="BN760" i="10"/>
  <c r="BN761" i="10" s="1"/>
  <c r="BN762" i="10" s="1"/>
  <c r="BE399" i="10"/>
  <c r="BE400" i="10" s="1"/>
  <c r="AT399" i="10"/>
  <c r="AT400" i="10" s="1"/>
  <c r="E614" i="10"/>
  <c r="BG847" i="10"/>
  <c r="BG848" i="10" s="1"/>
  <c r="BG849" i="10" s="1"/>
  <c r="AT738" i="10"/>
  <c r="AT739" i="10" s="1"/>
  <c r="AT740" i="10" s="1"/>
  <c r="Z284" i="10"/>
  <c r="Z293" i="10" s="1"/>
  <c r="BL399" i="10"/>
  <c r="BL400" i="10" s="1"/>
  <c r="BI399" i="10"/>
  <c r="BI400" i="10" s="1"/>
  <c r="I400" i="10"/>
  <c r="I447" i="10" s="1"/>
  <c r="D1521" i="10"/>
  <c r="H1521" i="10" s="1"/>
  <c r="BH738" i="10"/>
  <c r="BH739" i="10" s="1"/>
  <c r="BH740" i="10" s="1"/>
  <c r="AP716" i="10"/>
  <c r="E737" i="10" s="1"/>
  <c r="BG751" i="10"/>
  <c r="BG752" i="10" s="1"/>
  <c r="BG753" i="10" s="1"/>
  <c r="BF784" i="10"/>
  <c r="BF785" i="10" s="1"/>
  <c r="BF786" i="10" s="1"/>
  <c r="AU720" i="10"/>
  <c r="AU721" i="10" s="1"/>
  <c r="AU722" i="10" s="1"/>
  <c r="AT723" i="10" s="1"/>
  <c r="AP796" i="10"/>
  <c r="E781" i="10" s="1"/>
  <c r="AW751" i="10"/>
  <c r="AW752" i="10" s="1"/>
  <c r="AW753" i="10" s="1"/>
  <c r="BA684" i="10"/>
  <c r="BA685" i="10" s="1"/>
  <c r="BA686" i="10" s="1"/>
  <c r="AW784" i="10"/>
  <c r="AW785" i="10" s="1"/>
  <c r="AW786" i="10" s="1"/>
  <c r="BA760" i="10"/>
  <c r="BA761" i="10" s="1"/>
  <c r="BA762" i="10" s="1"/>
  <c r="BB399" i="10"/>
  <c r="BB400" i="10" s="1"/>
  <c r="BK819" i="10"/>
  <c r="BK820" i="10" s="1"/>
  <c r="BK821" i="10" s="1"/>
  <c r="N143" i="10"/>
  <c r="BF738" i="10"/>
  <c r="BF739" i="10" s="1"/>
  <c r="BF740" i="10" s="1"/>
  <c r="AY784" i="10"/>
  <c r="AY785" i="10" s="1"/>
  <c r="AY786" i="10" s="1"/>
  <c r="BB720" i="10"/>
  <c r="BB721" i="10" s="1"/>
  <c r="BB722" i="10" s="1"/>
  <c r="BA784" i="10"/>
  <c r="BA785" i="10" s="1"/>
  <c r="BA786" i="10" s="1"/>
  <c r="BH801" i="10"/>
  <c r="BH802" i="10" s="1"/>
  <c r="BH803" i="10" s="1"/>
  <c r="BO760" i="10"/>
  <c r="BO761" i="10" s="1"/>
  <c r="BO762" i="10" s="1"/>
  <c r="F680" i="10"/>
  <c r="F50" i="10"/>
  <c r="BC720" i="10"/>
  <c r="BC721" i="10" s="1"/>
  <c r="BC722" i="10" s="1"/>
  <c r="BJ847" i="10"/>
  <c r="BJ848" i="10" s="1"/>
  <c r="BJ849" i="10" s="1"/>
  <c r="AT751" i="10"/>
  <c r="AT752" i="10" s="1"/>
  <c r="AT753" i="10" s="1"/>
  <c r="P1265" i="10"/>
  <c r="I391" i="10"/>
  <c r="R1470" i="10" s="1"/>
  <c r="BP784" i="10"/>
  <c r="BP785" i="10" s="1"/>
  <c r="BP786" i="10" s="1"/>
  <c r="BB684" i="10"/>
  <c r="BB685" i="10" s="1"/>
  <c r="BB686" i="10" s="1"/>
  <c r="AV760" i="10"/>
  <c r="AV761" i="10" s="1"/>
  <c r="AV762" i="10" s="1"/>
  <c r="K955" i="10"/>
  <c r="BB738" i="10"/>
  <c r="BB739" i="10" s="1"/>
  <c r="BB740" i="10" s="1"/>
  <c r="BD751" i="10"/>
  <c r="BD752" i="10" s="1"/>
  <c r="BD753" i="10" s="1"/>
  <c r="BP684" i="10"/>
  <c r="BP685" i="10" s="1"/>
  <c r="BP686" i="10" s="1"/>
  <c r="BF760" i="10"/>
  <c r="BF761" i="10" s="1"/>
  <c r="BF762" i="10" s="1"/>
  <c r="BI729" i="10"/>
  <c r="BI730" i="10" s="1"/>
  <c r="BI731" i="10" s="1"/>
  <c r="AT732" i="10" s="1"/>
  <c r="AX738" i="10"/>
  <c r="AX739" i="10" s="1"/>
  <c r="AX740" i="10" s="1"/>
  <c r="AV751" i="10"/>
  <c r="AV752" i="10" s="1"/>
  <c r="AV753" i="10" s="1"/>
  <c r="BL784" i="10"/>
  <c r="BL785" i="10" s="1"/>
  <c r="BL786" i="10" s="1"/>
  <c r="BO847" i="10"/>
  <c r="BO848" i="10" s="1"/>
  <c r="BO849" i="10" s="1"/>
  <c r="BI751" i="10"/>
  <c r="BI752" i="10" s="1"/>
  <c r="BI753" i="10" s="1"/>
  <c r="BF684" i="10"/>
  <c r="BF685" i="10" s="1"/>
  <c r="BF686" i="10" s="1"/>
  <c r="AX720" i="10"/>
  <c r="AX721" i="10" s="1"/>
  <c r="AX722" i="10" s="1"/>
  <c r="AP828" i="10"/>
  <c r="G781" i="10" s="1"/>
  <c r="AX819" i="10"/>
  <c r="AX820" i="10" s="1"/>
  <c r="AX821" i="10" s="1"/>
  <c r="BD847" i="10"/>
  <c r="BD848" i="10" s="1"/>
  <c r="BD849" i="10" s="1"/>
  <c r="E955" i="10"/>
  <c r="AP765" i="10"/>
  <c r="J737" i="10" s="1"/>
  <c r="BD784" i="10"/>
  <c r="BD785" i="10" s="1"/>
  <c r="BD786" i="10" s="1"/>
  <c r="AN205" i="10" l="1"/>
  <c r="R734" i="10"/>
  <c r="AP719" i="10"/>
  <c r="E735" i="10" s="1"/>
  <c r="AT804" i="10"/>
  <c r="AI680" i="10"/>
  <c r="AI681" i="10"/>
  <c r="AI679" i="10"/>
  <c r="W681" i="10"/>
  <c r="W680" i="10"/>
  <c r="W679" i="10"/>
  <c r="AP768" i="10"/>
  <c r="J735" i="10" s="1"/>
  <c r="AT853" i="10"/>
  <c r="E680" i="10"/>
  <c r="E50" i="10"/>
  <c r="U1470" i="10"/>
  <c r="R1474" i="10"/>
  <c r="AJ681" i="10"/>
  <c r="AJ679" i="10"/>
  <c r="AJ680" i="10"/>
  <c r="P1108" i="10"/>
  <c r="P1109" i="10"/>
  <c r="Y679" i="10"/>
  <c r="Y680" i="10"/>
  <c r="AT763" i="10"/>
  <c r="K1008" i="10"/>
  <c r="O418" i="10"/>
  <c r="AP692" i="10"/>
  <c r="D735" i="10" s="1"/>
  <c r="J938" i="10"/>
  <c r="AT754" i="10"/>
  <c r="J434" i="10"/>
  <c r="AP799" i="10"/>
  <c r="E777" i="10" s="1"/>
  <c r="AF679" i="10"/>
  <c r="AT822" i="10"/>
  <c r="AM680" i="10"/>
  <c r="AM681" i="10"/>
  <c r="AM679" i="10"/>
  <c r="L632" i="10"/>
  <c r="AP728" i="10"/>
  <c r="F735" i="10" s="1"/>
  <c r="AG237" i="10"/>
  <c r="AJ750" i="10" s="1"/>
  <c r="AG211" i="10"/>
  <c r="AJ744" i="10" s="1"/>
  <c r="AL211" i="10"/>
  <c r="AO744" i="10" s="1"/>
  <c r="Q211" i="10"/>
  <c r="T744" i="10" s="1"/>
  <c r="O237" i="10"/>
  <c r="R750" i="10" s="1"/>
  <c r="X237" i="10"/>
  <c r="AA750" i="10" s="1"/>
  <c r="AD211" i="10"/>
  <c r="AG744" i="10" s="1"/>
  <c r="AE237" i="10"/>
  <c r="AH750" i="10" s="1"/>
  <c r="AA237" i="10"/>
  <c r="AD750" i="10" s="1"/>
  <c r="R237" i="10"/>
  <c r="U750" i="10" s="1"/>
  <c r="O211" i="10"/>
  <c r="AJ237" i="10"/>
  <c r="AM750" i="10" s="1"/>
  <c r="AH211" i="10"/>
  <c r="AK744" i="10" s="1"/>
  <c r="AJ211" i="10"/>
  <c r="AM744" i="10" s="1"/>
  <c r="V237" i="10"/>
  <c r="Y750" i="10" s="1"/>
  <c r="AB211" i="10"/>
  <c r="AE744" i="10" s="1"/>
  <c r="AC211" i="10"/>
  <c r="AF744" i="10" s="1"/>
  <c r="T211" i="10"/>
  <c r="W744" i="10" s="1"/>
  <c r="W237" i="10"/>
  <c r="Z750" i="10" s="1"/>
  <c r="W211" i="10"/>
  <c r="Z744" i="10" s="1"/>
  <c r="R211" i="10"/>
  <c r="U744" i="10" s="1"/>
  <c r="AF211" i="10"/>
  <c r="AI744" i="10" s="1"/>
  <c r="AK211" i="10"/>
  <c r="AN744" i="10" s="1"/>
  <c r="AL237" i="10"/>
  <c r="AO750" i="10" s="1"/>
  <c r="V211" i="10"/>
  <c r="Y744" i="10" s="1"/>
  <c r="S211" i="10"/>
  <c r="V744" i="10" s="1"/>
  <c r="AH237" i="10"/>
  <c r="AK750" i="10" s="1"/>
  <c r="Q237" i="10"/>
  <c r="T750" i="10" s="1"/>
  <c r="AC237" i="10"/>
  <c r="AF750" i="10" s="1"/>
  <c r="AI237" i="10"/>
  <c r="AL750" i="10" s="1"/>
  <c r="S237" i="10"/>
  <c r="V750" i="10" s="1"/>
  <c r="AK237" i="10"/>
  <c r="AN750" i="10" s="1"/>
  <c r="P211" i="10"/>
  <c r="S744" i="10" s="1"/>
  <c r="AA211" i="10"/>
  <c r="AD744" i="10" s="1"/>
  <c r="AD237" i="10"/>
  <c r="AG750" i="10" s="1"/>
  <c r="AE211" i="10"/>
  <c r="AH744" i="10" s="1"/>
  <c r="T237" i="10"/>
  <c r="W750" i="10" s="1"/>
  <c r="X211" i="10"/>
  <c r="AA744" i="10" s="1"/>
  <c r="Z237" i="10"/>
  <c r="AC750" i="10" s="1"/>
  <c r="U211" i="10"/>
  <c r="X744" i="10" s="1"/>
  <c r="AB237" i="10"/>
  <c r="AE750" i="10" s="1"/>
  <c r="Y237" i="10"/>
  <c r="AB750" i="10" s="1"/>
  <c r="Y211" i="10"/>
  <c r="AB744" i="10" s="1"/>
  <c r="AF237" i="10"/>
  <c r="AI750" i="10" s="1"/>
  <c r="Z211" i="10"/>
  <c r="AC744" i="10" s="1"/>
  <c r="U237" i="10"/>
  <c r="X750" i="10" s="1"/>
  <c r="AI211" i="10"/>
  <c r="AL744" i="10" s="1"/>
  <c r="P237" i="10"/>
  <c r="S750" i="10" s="1"/>
  <c r="L1100" i="10"/>
  <c r="L1104" i="10" s="1"/>
  <c r="L1106" i="10" s="1"/>
  <c r="L1107" i="10" s="1"/>
  <c r="AP781" i="10"/>
  <c r="D777" i="10" s="1"/>
  <c r="Z681" i="10"/>
  <c r="AI737" i="10"/>
  <c r="AP737" i="10" s="1"/>
  <c r="G735" i="10" s="1"/>
  <c r="AB680" i="10"/>
  <c r="AB681" i="10"/>
  <c r="AB679" i="10"/>
  <c r="AG681" i="10"/>
  <c r="AG680" i="10"/>
  <c r="AG679" i="10"/>
  <c r="K650" i="10"/>
  <c r="W789" i="10"/>
  <c r="Y721" i="10"/>
  <c r="W838" i="10"/>
  <c r="AF789" i="10"/>
  <c r="U838" i="10"/>
  <c r="Y772" i="10"/>
  <c r="V685" i="10"/>
  <c r="AH761" i="10"/>
  <c r="AM685" i="10"/>
  <c r="AH838" i="10"/>
  <c r="AO789" i="10"/>
  <c r="AO824" i="10"/>
  <c r="R712" i="10"/>
  <c r="AK772" i="10"/>
  <c r="AB721" i="10"/>
  <c r="V761" i="10"/>
  <c r="AB685" i="10"/>
  <c r="AL712" i="10"/>
  <c r="AH730" i="10"/>
  <c r="U721" i="10"/>
  <c r="T721" i="10"/>
  <c r="AB772" i="10"/>
  <c r="S772" i="10"/>
  <c r="AB838" i="10"/>
  <c r="U772" i="10"/>
  <c r="V740" i="10"/>
  <c r="AC685" i="10"/>
  <c r="AB712" i="10"/>
  <c r="T685" i="10"/>
  <c r="AG740" i="10"/>
  <c r="AJ772" i="10"/>
  <c r="AJ789" i="10"/>
  <c r="AK721" i="10"/>
  <c r="AD806" i="10"/>
  <c r="Z712" i="10"/>
  <c r="AF838" i="10"/>
  <c r="S740" i="10"/>
  <c r="AA721" i="10"/>
  <c r="X712" i="10"/>
  <c r="V721" i="10"/>
  <c r="AA712" i="10"/>
  <c r="AE838" i="10"/>
  <c r="AN712" i="10"/>
  <c r="AI712" i="10"/>
  <c r="Y838" i="10"/>
  <c r="AB761" i="10"/>
  <c r="S712" i="10"/>
  <c r="AF730" i="10"/>
  <c r="AD772" i="10"/>
  <c r="Y806" i="10"/>
  <c r="AA806" i="10"/>
  <c r="V806" i="10"/>
  <c r="R824" i="10"/>
  <c r="U712" i="10"/>
  <c r="AM806" i="10"/>
  <c r="S721" i="10"/>
  <c r="T806" i="10"/>
  <c r="AM838" i="10"/>
  <c r="AE721" i="10"/>
  <c r="AF685" i="10"/>
  <c r="W772" i="10"/>
  <c r="AG789" i="10"/>
  <c r="AK838" i="10"/>
  <c r="Z740" i="10"/>
  <c r="T761" i="10"/>
  <c r="R789" i="10"/>
  <c r="AK789" i="10"/>
  <c r="AM824" i="10"/>
  <c r="W752" i="10"/>
  <c r="AF806" i="10"/>
  <c r="S752" i="10"/>
  <c r="S824" i="10"/>
  <c r="AO740" i="10"/>
  <c r="Y752" i="10"/>
  <c r="AM761" i="10"/>
  <c r="R752" i="10"/>
  <c r="AG772" i="10"/>
  <c r="AL838" i="10"/>
  <c r="AE730" i="10"/>
  <c r="V730" i="10"/>
  <c r="R721" i="10"/>
  <c r="V824" i="10"/>
  <c r="AH740" i="10"/>
  <c r="AO761" i="10"/>
  <c r="AA740" i="10"/>
  <c r="S685" i="10"/>
  <c r="W740" i="10"/>
  <c r="AC806" i="10"/>
  <c r="U761" i="10"/>
  <c r="AD761" i="10"/>
  <c r="AE752" i="10"/>
  <c r="AG730" i="10"/>
  <c r="AJ761" i="10"/>
  <c r="AK740" i="10"/>
  <c r="X685" i="10"/>
  <c r="AI789" i="10"/>
  <c r="AL752" i="10"/>
  <c r="V772" i="10"/>
  <c r="AJ721" i="10"/>
  <c r="AG752" i="10"/>
  <c r="AD789" i="10"/>
  <c r="AO752" i="10"/>
  <c r="AH772" i="10"/>
  <c r="AF761" i="10"/>
  <c r="Y685" i="10"/>
  <c r="AB730" i="10"/>
  <c r="U789" i="10"/>
  <c r="AC838" i="10"/>
  <c r="AD838" i="10"/>
  <c r="T730" i="10"/>
  <c r="AA772" i="10"/>
  <c r="W761" i="10"/>
  <c r="Z806" i="10"/>
  <c r="AI772" i="10"/>
  <c r="AF752" i="10"/>
  <c r="AI838" i="10"/>
  <c r="AC721" i="10"/>
  <c r="AH789" i="10"/>
  <c r="Z772" i="10"/>
  <c r="U806" i="10"/>
  <c r="Y730" i="10"/>
  <c r="AE772" i="10"/>
  <c r="AN721" i="10"/>
  <c r="S806" i="10"/>
  <c r="W712" i="10"/>
  <c r="AE789" i="10"/>
  <c r="AI721" i="10"/>
  <c r="AK730" i="10"/>
  <c r="AD712" i="10"/>
  <c r="AF824" i="10"/>
  <c r="AI824" i="10"/>
  <c r="AK761" i="10"/>
  <c r="AB806" i="10"/>
  <c r="W730" i="10"/>
  <c r="AN838" i="10"/>
  <c r="X761" i="10"/>
  <c r="AA789" i="10"/>
  <c r="AG721" i="10"/>
  <c r="AC824" i="10"/>
  <c r="AH824" i="10"/>
  <c r="AD752" i="10"/>
  <c r="AA838" i="10"/>
  <c r="AJ824" i="10"/>
  <c r="AO721" i="10"/>
  <c r="AF712" i="10"/>
  <c r="U740" i="10"/>
  <c r="AI752" i="10"/>
  <c r="AO730" i="10"/>
  <c r="X740" i="10"/>
  <c r="T740" i="10"/>
  <c r="AG824" i="10"/>
  <c r="Z789" i="10"/>
  <c r="AM772" i="10"/>
  <c r="Z685" i="10"/>
  <c r="AF721" i="10"/>
  <c r="X806" i="10"/>
  <c r="AE712" i="10"/>
  <c r="AF740" i="10"/>
  <c r="AK824" i="10"/>
  <c r="T772" i="10"/>
  <c r="AL761" i="10"/>
  <c r="AO772" i="10"/>
  <c r="AD730" i="10"/>
  <c r="AM730" i="10"/>
  <c r="AM740" i="10"/>
  <c r="AC752" i="10"/>
  <c r="AL824" i="10"/>
  <c r="AN685" i="10"/>
  <c r="AB789" i="10"/>
  <c r="V838" i="10"/>
  <c r="W721" i="10"/>
  <c r="X789" i="10"/>
  <c r="Z761" i="10"/>
  <c r="AF772" i="10"/>
  <c r="AN761" i="10"/>
  <c r="AI685" i="10"/>
  <c r="W806" i="10"/>
  <c r="AN806" i="10"/>
  <c r="AC712" i="10"/>
  <c r="T838" i="10"/>
  <c r="AJ730" i="10"/>
  <c r="AA685" i="10"/>
  <c r="AM752" i="10"/>
  <c r="AJ740" i="10"/>
  <c r="AJ685" i="10"/>
  <c r="AH685" i="10"/>
  <c r="Y712" i="10"/>
  <c r="AA824" i="10"/>
  <c r="S761" i="10"/>
  <c r="AE806" i="10"/>
  <c r="X772" i="10"/>
  <c r="AA752" i="10"/>
  <c r="Y789" i="10"/>
  <c r="AE761" i="10"/>
  <c r="R730" i="10"/>
  <c r="U824" i="10"/>
  <c r="AC789" i="10"/>
  <c r="AM712" i="10"/>
  <c r="V752" i="10"/>
  <c r="AN789" i="10"/>
  <c r="AJ806" i="10"/>
  <c r="AG712" i="10"/>
  <c r="X752" i="10"/>
  <c r="AK712" i="10"/>
  <c r="AG806" i="10"/>
  <c r="AK685" i="10"/>
  <c r="AK752" i="10"/>
  <c r="AM721" i="10"/>
  <c r="X824" i="10"/>
  <c r="AL730" i="10"/>
  <c r="AH752" i="10"/>
  <c r="Z752" i="10"/>
  <c r="AD685" i="10"/>
  <c r="AJ838" i="10"/>
  <c r="AH712" i="10"/>
  <c r="AJ712" i="10"/>
  <c r="AL789" i="10"/>
  <c r="W685" i="10"/>
  <c r="Y740" i="10"/>
  <c r="AO712" i="10"/>
  <c r="X730" i="10"/>
  <c r="R761" i="10"/>
  <c r="AN824" i="10"/>
  <c r="AL721" i="10"/>
  <c r="AI730" i="10"/>
  <c r="AN740" i="10"/>
  <c r="Y761" i="10"/>
  <c r="S730" i="10"/>
  <c r="AH721" i="10"/>
  <c r="AL740" i="10"/>
  <c r="S838" i="10"/>
  <c r="AG761" i="10"/>
  <c r="AK806" i="10"/>
  <c r="Z838" i="10"/>
  <c r="AL806" i="10"/>
  <c r="AE824" i="10"/>
  <c r="T824" i="10"/>
  <c r="U685" i="10"/>
  <c r="Z730" i="10"/>
  <c r="AD824" i="10"/>
  <c r="AI806" i="10"/>
  <c r="AB740" i="10"/>
  <c r="AA761" i="10"/>
  <c r="AI761" i="10"/>
  <c r="AM789" i="10"/>
  <c r="AC740" i="10"/>
  <c r="R740" i="10"/>
  <c r="AL685" i="10"/>
  <c r="R838" i="10"/>
  <c r="AC730" i="10"/>
  <c r="T712" i="10"/>
  <c r="AE740" i="10"/>
  <c r="AO806" i="10"/>
  <c r="T789" i="10"/>
  <c r="AA730" i="10"/>
  <c r="AD721" i="10"/>
  <c r="R685" i="10"/>
  <c r="Y824" i="10"/>
  <c r="R772" i="10"/>
  <c r="AO838" i="10"/>
  <c r="AC761" i="10"/>
  <c r="V789" i="10"/>
  <c r="AG685" i="10"/>
  <c r="AI740" i="10"/>
  <c r="AE685" i="10"/>
  <c r="AB824" i="10"/>
  <c r="X838" i="10"/>
  <c r="AC772" i="10"/>
  <c r="AD740" i="10"/>
  <c r="AJ752" i="10"/>
  <c r="AG838" i="10"/>
  <c r="AH806" i="10"/>
  <c r="V712" i="10"/>
  <c r="AO685" i="10"/>
  <c r="AN752" i="10"/>
  <c r="X721" i="10"/>
  <c r="T752" i="10"/>
  <c r="W824" i="10"/>
  <c r="AB752" i="10"/>
  <c r="U730" i="10"/>
  <c r="AN772" i="10"/>
  <c r="U752" i="10"/>
  <c r="S789" i="10"/>
  <c r="AL772" i="10"/>
  <c r="R806" i="10"/>
  <c r="Z824" i="10"/>
  <c r="AN730" i="10"/>
  <c r="Z721" i="10"/>
  <c r="O585" i="10"/>
  <c r="K585" i="10"/>
  <c r="I434" i="10"/>
  <c r="D681" i="10"/>
  <c r="AP845" i="10"/>
  <c r="H777" i="10" s="1"/>
  <c r="O581" i="10"/>
  <c r="K581" i="10"/>
  <c r="A1182" i="10"/>
  <c r="A1422" i="10"/>
  <c r="AP816" i="10"/>
  <c r="F777" i="10" s="1"/>
  <c r="AC679" i="10"/>
  <c r="AC681" i="10"/>
  <c r="AC680" i="10"/>
  <c r="AE679" i="10"/>
  <c r="AE680" i="10"/>
  <c r="AE681" i="10"/>
  <c r="AT741" i="10"/>
  <c r="AP831" i="10"/>
  <c r="G777" i="10" s="1"/>
  <c r="I403" i="10"/>
  <c r="I449" i="10" s="1"/>
  <c r="K1472" i="10" s="1"/>
  <c r="D1523" i="10"/>
  <c r="H1523" i="10" s="1"/>
  <c r="AN681" i="10"/>
  <c r="AN679" i="10"/>
  <c r="AN680" i="10"/>
  <c r="E681" i="10" l="1"/>
  <c r="D684" i="10"/>
  <c r="D686" i="10" s="1"/>
  <c r="D683" i="10"/>
  <c r="D685" i="10" s="1"/>
  <c r="V680" i="10"/>
  <c r="AK679" i="10"/>
  <c r="F1008" i="10"/>
  <c r="G1467" i="10"/>
  <c r="S1464" i="10"/>
  <c r="V681" i="10"/>
  <c r="AD681" i="10"/>
  <c r="V679" i="10"/>
  <c r="T680" i="10"/>
  <c r="A947" i="10"/>
  <c r="F947" i="10"/>
  <c r="L947" i="10"/>
  <c r="D949" i="10"/>
  <c r="D951" i="10" s="1"/>
  <c r="D953" i="10" s="1"/>
  <c r="J949" i="10"/>
  <c r="J951" i="10" s="1"/>
  <c r="J953" i="10" s="1"/>
  <c r="B947" i="10"/>
  <c r="K947" i="10"/>
  <c r="E947" i="10"/>
  <c r="C947" i="10"/>
  <c r="H947" i="10"/>
  <c r="G947" i="10"/>
  <c r="I947" i="10"/>
  <c r="J947" i="10"/>
  <c r="D947" i="10"/>
  <c r="I949" i="10"/>
  <c r="I951" i="10" s="1"/>
  <c r="I953" i="10" s="1"/>
  <c r="E949" i="10"/>
  <c r="C949" i="10"/>
  <c r="G949" i="10"/>
  <c r="G951" i="10" s="1"/>
  <c r="G953" i="10" s="1"/>
  <c r="K949" i="10"/>
  <c r="F949" i="10"/>
  <c r="L949" i="10"/>
  <c r="B949" i="10"/>
  <c r="A949" i="10"/>
  <c r="T681" i="10"/>
  <c r="U1474" i="10"/>
  <c r="I1472" i="10" s="1"/>
  <c r="T679" i="10"/>
  <c r="X679" i="10"/>
  <c r="AO679" i="10"/>
  <c r="AL679" i="10"/>
  <c r="X680" i="10"/>
  <c r="AO681" i="10"/>
  <c r="AL680" i="10"/>
  <c r="X681" i="10"/>
  <c r="AO680" i="10"/>
  <c r="E1008" i="10"/>
  <c r="O412" i="10"/>
  <c r="K1467" i="10"/>
  <c r="P1115" i="10"/>
  <c r="I394" i="10" s="1"/>
  <c r="R1466" i="10" s="1"/>
  <c r="AF680" i="10"/>
  <c r="AD679" i="10"/>
  <c r="S679" i="10"/>
  <c r="AL681" i="10"/>
  <c r="L1108" i="10"/>
  <c r="L1109" i="10"/>
  <c r="AD680" i="10"/>
  <c r="AK681" i="10"/>
  <c r="S680" i="10"/>
  <c r="AT855" i="10"/>
  <c r="J876" i="10" s="1"/>
  <c r="G971" i="10" s="1"/>
  <c r="S681" i="10"/>
  <c r="Q641" i="10"/>
  <c r="Y641" i="10"/>
  <c r="H641" i="10"/>
  <c r="C641" i="10"/>
  <c r="I641" i="10"/>
  <c r="G641" i="10"/>
  <c r="D645" i="10"/>
  <c r="N641" i="10"/>
  <c r="T641" i="10"/>
  <c r="G645" i="10"/>
  <c r="P641" i="10"/>
  <c r="C645" i="10"/>
  <c r="L645" i="10"/>
  <c r="A645" i="10"/>
  <c r="F645" i="10"/>
  <c r="S641" i="10"/>
  <c r="B641" i="10"/>
  <c r="A641" i="10"/>
  <c r="O641" i="10"/>
  <c r="B645" i="10"/>
  <c r="V641" i="10"/>
  <c r="J645" i="10"/>
  <c r="I645" i="10"/>
  <c r="W641" i="10"/>
  <c r="R641" i="10"/>
  <c r="E645" i="10"/>
  <c r="E641" i="10"/>
  <c r="F641" i="10"/>
  <c r="H645" i="10"/>
  <c r="K641" i="10"/>
  <c r="U641" i="10"/>
  <c r="J641" i="10"/>
  <c r="X641" i="10"/>
  <c r="K645" i="10"/>
  <c r="D641" i="10"/>
  <c r="L641" i="10"/>
  <c r="H949" i="10"/>
  <c r="H951" i="10" s="1"/>
  <c r="H953" i="10" s="1"/>
  <c r="AP750" i="10"/>
  <c r="H735" i="10" s="1"/>
  <c r="AK680" i="10"/>
  <c r="AH680" i="10"/>
  <c r="O420" i="10"/>
  <c r="O422" i="10" s="1"/>
  <c r="I451" i="10" s="1"/>
  <c r="K455" i="10" s="1"/>
  <c r="K1010" i="10"/>
  <c r="AF681" i="10"/>
  <c r="AH681" i="10"/>
  <c r="AA680" i="10"/>
  <c r="A1196" i="10"/>
  <c r="A1424" i="10"/>
  <c r="R680" i="10"/>
  <c r="AH679" i="10"/>
  <c r="U680" i="10"/>
  <c r="AT765" i="10"/>
  <c r="J856" i="10" s="1"/>
  <c r="G970" i="10" s="1"/>
  <c r="AA679" i="10"/>
  <c r="AP734" i="10"/>
  <c r="G737" i="10" s="1"/>
  <c r="Z679" i="10"/>
  <c r="U679" i="10"/>
  <c r="AA681" i="10"/>
  <c r="J824" i="10"/>
  <c r="G975" i="10" s="1"/>
  <c r="R679" i="10"/>
  <c r="R681" i="10"/>
  <c r="Z680" i="10"/>
  <c r="AN211" i="10"/>
  <c r="R744" i="10"/>
  <c r="U681" i="10"/>
  <c r="Y681" i="10"/>
  <c r="D742" i="10" l="1"/>
  <c r="D743" i="10" s="1"/>
  <c r="F742" i="10"/>
  <c r="F743" i="10" s="1"/>
  <c r="G786" i="10"/>
  <c r="G787" i="10" s="1"/>
  <c r="AK753" i="10"/>
  <c r="AK757" i="10" s="1"/>
  <c r="AM773" i="10"/>
  <c r="AM777" i="10" s="1"/>
  <c r="AI713" i="10"/>
  <c r="AI717" i="10" s="1"/>
  <c r="AB825" i="10"/>
  <c r="AB829" i="10" s="1"/>
  <c r="Z839" i="10"/>
  <c r="Z843" i="10" s="1"/>
  <c r="AE722" i="10"/>
  <c r="AE726" i="10" s="1"/>
  <c r="D786" i="10"/>
  <c r="D787" i="10" s="1"/>
  <c r="G742" i="10"/>
  <c r="G743" i="10" s="1"/>
  <c r="F786" i="10"/>
  <c r="F787" i="10" s="1"/>
  <c r="J742" i="10"/>
  <c r="J743" i="10" s="1"/>
  <c r="E742" i="10"/>
  <c r="E743" i="10" s="1"/>
  <c r="I742" i="10"/>
  <c r="I743" i="10" s="1"/>
  <c r="E786" i="10"/>
  <c r="E787" i="10" s="1"/>
  <c r="H742" i="10"/>
  <c r="H743" i="10" s="1"/>
  <c r="AA773" i="10"/>
  <c r="AA777" i="10" s="1"/>
  <c r="AE839" i="10"/>
  <c r="AE843" i="10" s="1"/>
  <c r="AN773" i="10"/>
  <c r="AN777" i="10" s="1"/>
  <c r="AJ807" i="10"/>
  <c r="AJ812" i="10" s="1"/>
  <c r="W713" i="10"/>
  <c r="W717" i="10" s="1"/>
  <c r="AF686" i="10"/>
  <c r="AF690" i="10" s="1"/>
  <c r="Y839" i="10"/>
  <c r="Y843" i="10" s="1"/>
  <c r="AL839" i="10"/>
  <c r="AL843" i="10" s="1"/>
  <c r="V839" i="10"/>
  <c r="V843" i="10" s="1"/>
  <c r="Y773" i="10"/>
  <c r="Y777" i="10" s="1"/>
  <c r="R753" i="10"/>
  <c r="AE753" i="10"/>
  <c r="AE757" i="10" s="1"/>
  <c r="X762" i="10"/>
  <c r="X766" i="10" s="1"/>
  <c r="AL791" i="10"/>
  <c r="AL797" i="10" s="1"/>
  <c r="T791" i="10"/>
  <c r="T797" i="10" s="1"/>
  <c r="AM762" i="10"/>
  <c r="AM766" i="10" s="1"/>
  <c r="Y791" i="10"/>
  <c r="Y797" i="10" s="1"/>
  <c r="U773" i="10"/>
  <c r="U777" i="10" s="1"/>
  <c r="U839" i="10"/>
  <c r="U843" i="10" s="1"/>
  <c r="Y753" i="10"/>
  <c r="Y757" i="10" s="1"/>
  <c r="Z825" i="10"/>
  <c r="Z829" i="10" s="1"/>
  <c r="AA686" i="10"/>
  <c r="AA690" i="10" s="1"/>
  <c r="AH686" i="10"/>
  <c r="AH690" i="10" s="1"/>
  <c r="AN753" i="10"/>
  <c r="AN757" i="10" s="1"/>
  <c r="AG762" i="10"/>
  <c r="AG766" i="10" s="1"/>
  <c r="AD791" i="10"/>
  <c r="AD797" i="10" s="1"/>
  <c r="AL713" i="10"/>
  <c r="AL717" i="10" s="1"/>
  <c r="AO839" i="10"/>
  <c r="AO843" i="10" s="1"/>
  <c r="AF753" i="10"/>
  <c r="AF757" i="10" s="1"/>
  <c r="AN807" i="10"/>
  <c r="AN812" i="10" s="1"/>
  <c r="W753" i="10"/>
  <c r="W757" i="10" s="1"/>
  <c r="AJ753" i="10"/>
  <c r="AJ757" i="10" s="1"/>
  <c r="AJ839" i="10"/>
  <c r="AJ843" i="10" s="1"/>
  <c r="AG839" i="10"/>
  <c r="AG843" i="10" s="1"/>
  <c r="X791" i="10"/>
  <c r="X797" i="10" s="1"/>
  <c r="R686" i="10"/>
  <c r="AJ791" i="10"/>
  <c r="AJ797" i="10" s="1"/>
  <c r="AG773" i="10"/>
  <c r="AG777" i="10" s="1"/>
  <c r="Y713" i="10"/>
  <c r="Y717" i="10" s="1"/>
  <c r="X722" i="10"/>
  <c r="X726" i="10" s="1"/>
  <c r="AH839" i="10"/>
  <c r="AH843" i="10" s="1"/>
  <c r="AJ773" i="10"/>
  <c r="AJ777" i="10" s="1"/>
  <c r="U753" i="10"/>
  <c r="U757" i="10" s="1"/>
  <c r="AI791" i="10"/>
  <c r="AI797" i="10" s="1"/>
  <c r="AF839" i="10"/>
  <c r="AF843" i="10" s="1"/>
  <c r="W686" i="10"/>
  <c r="W690" i="10" s="1"/>
  <c r="AA762" i="10"/>
  <c r="AA766" i="10" s="1"/>
  <c r="AK773" i="10"/>
  <c r="AK777" i="10" s="1"/>
  <c r="AN825" i="10"/>
  <c r="AN829" i="10" s="1"/>
  <c r="AK807" i="10"/>
  <c r="AK812" i="10" s="1"/>
  <c r="AI825" i="10"/>
  <c r="AI829" i="10" s="1"/>
  <c r="V713" i="10"/>
  <c r="V717" i="10" s="1"/>
  <c r="Z686" i="10"/>
  <c r="Z690" i="10" s="1"/>
  <c r="Z773" i="10"/>
  <c r="Z777" i="10" s="1"/>
  <c r="AA731" i="10"/>
  <c r="AA735" i="10" s="1"/>
  <c r="AF762" i="10"/>
  <c r="AF766" i="10" s="1"/>
  <c r="AC791" i="10"/>
  <c r="AC797" i="10" s="1"/>
  <c r="AN791" i="10"/>
  <c r="AN797" i="10" s="1"/>
  <c r="AI807" i="10"/>
  <c r="AI812" i="10" s="1"/>
  <c r="AB753" i="10"/>
  <c r="AB757" i="10" s="1"/>
  <c r="V773" i="10"/>
  <c r="V777" i="10" s="1"/>
  <c r="T713" i="10"/>
  <c r="T717" i="10" s="1"/>
  <c r="AM722" i="10"/>
  <c r="AM726" i="10" s="1"/>
  <c r="AM839" i="10"/>
  <c r="AM843" i="10" s="1"/>
  <c r="Z807" i="10"/>
  <c r="Z812" i="10" s="1"/>
  <c r="AF722" i="10"/>
  <c r="AF726" i="10" s="1"/>
  <c r="AG825" i="10"/>
  <c r="AG829" i="10" s="1"/>
  <c r="AE807" i="10"/>
  <c r="AE812" i="10" s="1"/>
  <c r="W762" i="10"/>
  <c r="W766" i="10" s="1"/>
  <c r="AJ713" i="10"/>
  <c r="AJ717" i="10" s="1"/>
  <c r="X686" i="10"/>
  <c r="X690" i="10" s="1"/>
  <c r="S722" i="10"/>
  <c r="S726" i="10" s="1"/>
  <c r="AF791" i="10"/>
  <c r="AF797" i="10" s="1"/>
  <c r="U713" i="10"/>
  <c r="U717" i="10" s="1"/>
  <c r="U791" i="10"/>
  <c r="U797" i="10" s="1"/>
  <c r="R722" i="10"/>
  <c r="X753" i="10"/>
  <c r="X757" i="10" s="1"/>
  <c r="AA825" i="10"/>
  <c r="AA829" i="10" s="1"/>
  <c r="AK762" i="10"/>
  <c r="AK766" i="10" s="1"/>
  <c r="AO713" i="10"/>
  <c r="AO717" i="10" s="1"/>
  <c r="T825" i="10"/>
  <c r="T829" i="10" s="1"/>
  <c r="AO791" i="10"/>
  <c r="AO797" i="10" s="1"/>
  <c r="S753" i="10"/>
  <c r="S757" i="10" s="1"/>
  <c r="AB713" i="10"/>
  <c r="AB717" i="10" s="1"/>
  <c r="AN686" i="10"/>
  <c r="AN690" i="10" s="1"/>
  <c r="S791" i="10"/>
  <c r="S797" i="10" s="1"/>
  <c r="AL722" i="10"/>
  <c r="AL726" i="10" s="1"/>
  <c r="AO753" i="10"/>
  <c r="AO757" i="10" s="1"/>
  <c r="AL773" i="10"/>
  <c r="AL777" i="10" s="1"/>
  <c r="U807" i="10"/>
  <c r="U812" i="10" s="1"/>
  <c r="AB762" i="10"/>
  <c r="AB766" i="10" s="1"/>
  <c r="Y807" i="10"/>
  <c r="Y812" i="10" s="1"/>
  <c r="AN839" i="10"/>
  <c r="AN843" i="10" s="1"/>
  <c r="AD825" i="10"/>
  <c r="AD829" i="10" s="1"/>
  <c r="S773" i="10"/>
  <c r="S777" i="10" s="1"/>
  <c r="AH713" i="10"/>
  <c r="AH717" i="10" s="1"/>
  <c r="AG686" i="10"/>
  <c r="AG690" i="10" s="1"/>
  <c r="AH791" i="10"/>
  <c r="AH797" i="10" s="1"/>
  <c r="AL807" i="10"/>
  <c r="AL812" i="10" s="1"/>
  <c r="S713" i="10"/>
  <c r="S717" i="10" s="1"/>
  <c r="AG807" i="10"/>
  <c r="AG812" i="10" s="1"/>
  <c r="AK791" i="10"/>
  <c r="AK797" i="10" s="1"/>
  <c r="T807" i="10"/>
  <c r="T812" i="10" s="1"/>
  <c r="AG791" i="10"/>
  <c r="AG797" i="10" s="1"/>
  <c r="AD686" i="10"/>
  <c r="AD690" i="10" s="1"/>
  <c r="AA722" i="10"/>
  <c r="AA726" i="10" s="1"/>
  <c r="AI773" i="10"/>
  <c r="AI777" i="10" s="1"/>
  <c r="AC807" i="10"/>
  <c r="AC812" i="10" s="1"/>
  <c r="AD762" i="10"/>
  <c r="AD766" i="10" s="1"/>
  <c r="X839" i="10"/>
  <c r="X843" i="10" s="1"/>
  <c r="AD722" i="10"/>
  <c r="AD726" i="10" s="1"/>
  <c r="AJ722" i="10"/>
  <c r="AJ726" i="10" s="1"/>
  <c r="AL753" i="10"/>
  <c r="AL757" i="10" s="1"/>
  <c r="Y762" i="10"/>
  <c r="Y766" i="10" s="1"/>
  <c r="AH753" i="10"/>
  <c r="AH757" i="10" s="1"/>
  <c r="Z753" i="10"/>
  <c r="Z757" i="10" s="1"/>
  <c r="T839" i="10"/>
  <c r="T843" i="10" s="1"/>
  <c r="AL686" i="10"/>
  <c r="AL690" i="10" s="1"/>
  <c r="AC825" i="10"/>
  <c r="AC829" i="10" s="1"/>
  <c r="Z713" i="10"/>
  <c r="Z717" i="10" s="1"/>
  <c r="W791" i="10"/>
  <c r="W797" i="10" s="1"/>
  <c r="AB722" i="10"/>
  <c r="AB726" i="10" s="1"/>
  <c r="AA839" i="10"/>
  <c r="AA843" i="10" s="1"/>
  <c r="V686" i="10"/>
  <c r="V690" i="10" s="1"/>
  <c r="R791" i="10"/>
  <c r="V807" i="10"/>
  <c r="V812" i="10" s="1"/>
  <c r="AM753" i="10"/>
  <c r="AM757" i="10" s="1"/>
  <c r="AI753" i="10"/>
  <c r="AI757" i="10" s="1"/>
  <c r="AE686" i="10"/>
  <c r="AE690" i="10" s="1"/>
  <c r="R807" i="10"/>
  <c r="AI722" i="10"/>
  <c r="AI726" i="10" s="1"/>
  <c r="AN722" i="10"/>
  <c r="AN726" i="10" s="1"/>
  <c r="AM825" i="10"/>
  <c r="AM829" i="10" s="1"/>
  <c r="AA753" i="10"/>
  <c r="AA757" i="10" s="1"/>
  <c r="AC753" i="10"/>
  <c r="AC757" i="10" s="1"/>
  <c r="AL825" i="10"/>
  <c r="AL829" i="10" s="1"/>
  <c r="AM791" i="10"/>
  <c r="AM797" i="10" s="1"/>
  <c r="AK839" i="10"/>
  <c r="AK843" i="10" s="1"/>
  <c r="X825" i="10"/>
  <c r="X829" i="10" s="1"/>
  <c r="U762" i="10"/>
  <c r="U766" i="10" s="1"/>
  <c r="R713" i="10"/>
  <c r="Z722" i="10"/>
  <c r="Z726" i="10" s="1"/>
  <c r="W722" i="10"/>
  <c r="W726" i="10" s="1"/>
  <c r="AB807" i="10"/>
  <c r="AB812" i="10" s="1"/>
  <c r="T753" i="10"/>
  <c r="T757" i="10" s="1"/>
  <c r="AD839" i="10"/>
  <c r="AD843" i="10" s="1"/>
  <c r="AA791" i="10"/>
  <c r="AA797" i="10" s="1"/>
  <c r="W773" i="10"/>
  <c r="W777" i="10" s="1"/>
  <c r="AJ762" i="10"/>
  <c r="AJ766" i="10" s="1"/>
  <c r="AO773" i="10"/>
  <c r="AO777" i="10" s="1"/>
  <c r="AF807" i="10"/>
  <c r="AF812" i="10" s="1"/>
  <c r="AG753" i="10"/>
  <c r="AG757" i="10" s="1"/>
  <c r="AE713" i="10"/>
  <c r="AE717" i="10" s="1"/>
  <c r="AD773" i="10"/>
  <c r="AD777" i="10" s="1"/>
  <c r="S686" i="10"/>
  <c r="S690" i="10" s="1"/>
  <c r="AE773" i="10"/>
  <c r="AE777" i="10" s="1"/>
  <c r="V753" i="10"/>
  <c r="V757" i="10" s="1"/>
  <c r="W807" i="10"/>
  <c r="W812" i="10" s="1"/>
  <c r="AH722" i="10"/>
  <c r="AH726" i="10" s="1"/>
  <c r="AC722" i="10"/>
  <c r="AC726" i="10" s="1"/>
  <c r="AJ731" i="10"/>
  <c r="AJ735" i="10" s="1"/>
  <c r="AH825" i="10"/>
  <c r="AH829" i="10" s="1"/>
  <c r="AC686" i="10"/>
  <c r="AC690" i="10" s="1"/>
  <c r="AF825" i="10"/>
  <c r="AF829" i="10" s="1"/>
  <c r="AK731" i="10"/>
  <c r="AK735" i="10" s="1"/>
  <c r="AC741" i="10"/>
  <c r="AC745" i="10" s="1"/>
  <c r="AK686" i="10"/>
  <c r="AK690" i="10" s="1"/>
  <c r="AE791" i="10"/>
  <c r="AE797" i="10" s="1"/>
  <c r="AO731" i="10"/>
  <c r="AO735" i="10" s="1"/>
  <c r="V762" i="10"/>
  <c r="V766" i="10" s="1"/>
  <c r="X713" i="10"/>
  <c r="X717" i="10" s="1"/>
  <c r="X807" i="10"/>
  <c r="X812" i="10" s="1"/>
  <c r="AB791" i="10"/>
  <c r="AB797" i="10" s="1"/>
  <c r="AO807" i="10"/>
  <c r="AO812" i="10" s="1"/>
  <c r="T686" i="10"/>
  <c r="T690" i="10" s="1"/>
  <c r="AJ825" i="10"/>
  <c r="AJ829" i="10" s="1"/>
  <c r="AH762" i="10"/>
  <c r="AH766" i="10" s="1"/>
  <c r="AH807" i="10"/>
  <c r="AH812" i="10" s="1"/>
  <c r="T722" i="10"/>
  <c r="T726" i="10" s="1"/>
  <c r="R773" i="10"/>
  <c r="AM807" i="10"/>
  <c r="AM812" i="10" s="1"/>
  <c r="AD807" i="10"/>
  <c r="AD812" i="10" s="1"/>
  <c r="AA713" i="10"/>
  <c r="AA717" i="10" s="1"/>
  <c r="AF713" i="10"/>
  <c r="AF717" i="10" s="1"/>
  <c r="AE762" i="10"/>
  <c r="AE766" i="10" s="1"/>
  <c r="AO686" i="10"/>
  <c r="AO690" i="10" s="1"/>
  <c r="U686" i="10"/>
  <c r="U690" i="10" s="1"/>
  <c r="Y722" i="10"/>
  <c r="Y726" i="10" s="1"/>
  <c r="AO825" i="10"/>
  <c r="AO829" i="10" s="1"/>
  <c r="V791" i="10"/>
  <c r="V797" i="10" s="1"/>
  <c r="AF773" i="10"/>
  <c r="AF777" i="10" s="1"/>
  <c r="AO762" i="10"/>
  <c r="AO766" i="10" s="1"/>
  <c r="R762" i="10"/>
  <c r="AC713" i="10"/>
  <c r="AC717" i="10" s="1"/>
  <c r="AB686" i="10"/>
  <c r="AB690" i="10" s="1"/>
  <c r="AN731" i="10"/>
  <c r="AN735" i="10" s="1"/>
  <c r="AO722" i="10"/>
  <c r="AO726" i="10" s="1"/>
  <c r="S807" i="10"/>
  <c r="S812" i="10" s="1"/>
  <c r="AL762" i="10"/>
  <c r="AL766" i="10" s="1"/>
  <c r="X773" i="10"/>
  <c r="X777" i="10" s="1"/>
  <c r="AI686" i="10"/>
  <c r="AI690" i="10" s="1"/>
  <c r="AC839" i="10"/>
  <c r="AC843" i="10" s="1"/>
  <c r="AN762" i="10"/>
  <c r="AN766" i="10" s="1"/>
  <c r="AM713" i="10"/>
  <c r="AM717" i="10" s="1"/>
  <c r="V825" i="10"/>
  <c r="V829" i="10" s="1"/>
  <c r="U825" i="10"/>
  <c r="U829" i="10" s="1"/>
  <c r="T762" i="10"/>
  <c r="T766" i="10" s="1"/>
  <c r="AN713" i="10"/>
  <c r="AN717" i="10" s="1"/>
  <c r="AK825" i="10"/>
  <c r="AK829" i="10" s="1"/>
  <c r="AA807" i="10"/>
  <c r="AA812" i="10" s="1"/>
  <c r="AB839" i="10"/>
  <c r="AB843" i="10" s="1"/>
  <c r="W825" i="10"/>
  <c r="W829" i="10" s="1"/>
  <c r="U722" i="10"/>
  <c r="U726" i="10" s="1"/>
  <c r="AD753" i="10"/>
  <c r="AD757" i="10" s="1"/>
  <c r="W839" i="10"/>
  <c r="W843" i="10" s="1"/>
  <c r="AJ686" i="10"/>
  <c r="AJ690" i="10" s="1"/>
  <c r="S825" i="10"/>
  <c r="S829" i="10" s="1"/>
  <c r="AD713" i="10"/>
  <c r="AD717" i="10" s="1"/>
  <c r="AI762" i="10"/>
  <c r="AI766" i="10" s="1"/>
  <c r="AH773" i="10"/>
  <c r="AH777" i="10" s="1"/>
  <c r="AB773" i="10"/>
  <c r="AB777" i="10" s="1"/>
  <c r="AE825" i="10"/>
  <c r="AE829" i="10" s="1"/>
  <c r="S839" i="10"/>
  <c r="S843" i="10" s="1"/>
  <c r="AK722" i="10"/>
  <c r="AK726" i="10" s="1"/>
  <c r="Z791" i="10"/>
  <c r="Z797" i="10" s="1"/>
  <c r="W731" i="10"/>
  <c r="W735" i="10" s="1"/>
  <c r="AN741" i="10"/>
  <c r="AN745" i="10" s="1"/>
  <c r="X741" i="10"/>
  <c r="X745" i="10" s="1"/>
  <c r="AD741" i="10"/>
  <c r="AD745" i="10" s="1"/>
  <c r="Y741" i="10"/>
  <c r="Y745" i="10" s="1"/>
  <c r="T773" i="10"/>
  <c r="T777" i="10" s="1"/>
  <c r="AC731" i="10"/>
  <c r="AC735" i="10" s="1"/>
  <c r="AG722" i="10"/>
  <c r="AG726" i="10" s="1"/>
  <c r="T741" i="10"/>
  <c r="T745" i="10" s="1"/>
  <c r="Y731" i="10"/>
  <c r="Y735" i="10" s="1"/>
  <c r="AE741" i="10"/>
  <c r="AE745" i="10" s="1"/>
  <c r="AG713" i="10"/>
  <c r="AG717" i="10" s="1"/>
  <c r="AD731" i="10"/>
  <c r="AD735" i="10" s="1"/>
  <c r="AM731" i="10"/>
  <c r="AM735" i="10" s="1"/>
  <c r="AK713" i="10"/>
  <c r="AK717" i="10" s="1"/>
  <c r="AI839" i="10"/>
  <c r="AI843" i="10" s="1"/>
  <c r="X731" i="10"/>
  <c r="X735" i="10" s="1"/>
  <c r="R741" i="10"/>
  <c r="AP741" i="10" s="1"/>
  <c r="H736" i="10" s="1"/>
  <c r="AL741" i="10"/>
  <c r="AL745" i="10" s="1"/>
  <c r="AL731" i="10"/>
  <c r="AL735" i="10" s="1"/>
  <c r="S741" i="10"/>
  <c r="S745" i="10" s="1"/>
  <c r="AI731" i="10"/>
  <c r="AI735" i="10" s="1"/>
  <c r="AB741" i="10"/>
  <c r="AB745" i="10" s="1"/>
  <c r="AG741" i="10"/>
  <c r="AG745" i="10" s="1"/>
  <c r="R825" i="10"/>
  <c r="AF731" i="10"/>
  <c r="AF735" i="10" s="1"/>
  <c r="T731" i="10"/>
  <c r="T735" i="10" s="1"/>
  <c r="AG731" i="10"/>
  <c r="AG735" i="10" s="1"/>
  <c r="AC762" i="10"/>
  <c r="AC766" i="10" s="1"/>
  <c r="R839" i="10"/>
  <c r="AC773" i="10"/>
  <c r="AC777" i="10" s="1"/>
  <c r="AM686" i="10"/>
  <c r="AM690" i="10" s="1"/>
  <c r="S762" i="10"/>
  <c r="S766" i="10" s="1"/>
  <c r="Y686" i="10"/>
  <c r="Y690" i="10" s="1"/>
  <c r="V741" i="10"/>
  <c r="V745" i="10" s="1"/>
  <c r="AJ741" i="10"/>
  <c r="AJ745" i="10" s="1"/>
  <c r="S731" i="10"/>
  <c r="S735" i="10" s="1"/>
  <c r="AA741" i="10"/>
  <c r="AA745" i="10" s="1"/>
  <c r="U731" i="10"/>
  <c r="U735" i="10" s="1"/>
  <c r="Z762" i="10"/>
  <c r="Z766" i="10" s="1"/>
  <c r="U741" i="10"/>
  <c r="U745" i="10" s="1"/>
  <c r="AK741" i="10"/>
  <c r="AK745" i="10" s="1"/>
  <c r="AO741" i="10"/>
  <c r="AO745" i="10" s="1"/>
  <c r="AI741" i="10"/>
  <c r="AI745" i="10" s="1"/>
  <c r="AH741" i="10"/>
  <c r="AH745" i="10" s="1"/>
  <c r="V722" i="10"/>
  <c r="V726" i="10" s="1"/>
  <c r="AH731" i="10"/>
  <c r="AH735" i="10" s="1"/>
  <c r="AF741" i="10"/>
  <c r="AF745" i="10" s="1"/>
  <c r="AM741" i="10"/>
  <c r="AM745" i="10" s="1"/>
  <c r="R731" i="10"/>
  <c r="Y825" i="10"/>
  <c r="Y829" i="10" s="1"/>
  <c r="Z731" i="10"/>
  <c r="Z735" i="10" s="1"/>
  <c r="AB731" i="10"/>
  <c r="AB735" i="10" s="1"/>
  <c r="AE731" i="10"/>
  <c r="AE735" i="10" s="1"/>
  <c r="Z741" i="10"/>
  <c r="Z745" i="10" s="1"/>
  <c r="V731" i="10"/>
  <c r="V735" i="10" s="1"/>
  <c r="W741" i="10"/>
  <c r="W745" i="10" s="1"/>
  <c r="H786" i="10"/>
  <c r="H787" i="10" s="1"/>
  <c r="AC803" i="10"/>
  <c r="AC849" i="10"/>
  <c r="AC821" i="10"/>
  <c r="AC835" i="10"/>
  <c r="AC786" i="10"/>
  <c r="AJ786" i="10"/>
  <c r="AJ821" i="10"/>
  <c r="AJ835" i="10"/>
  <c r="AJ803" i="10"/>
  <c r="AJ849" i="10"/>
  <c r="AK821" i="10"/>
  <c r="AK803" i="10"/>
  <c r="AK786" i="10"/>
  <c r="AK835" i="10"/>
  <c r="AK849" i="10"/>
  <c r="E975" i="10"/>
  <c r="F1501" i="10" s="1"/>
  <c r="T1449" i="10"/>
  <c r="K996" i="10"/>
  <c r="J996" i="10" s="1"/>
  <c r="AE975" i="10"/>
  <c r="L975" i="10"/>
  <c r="I1501" i="10"/>
  <c r="S803" i="10"/>
  <c r="S849" i="10"/>
  <c r="S835" i="10"/>
  <c r="S786" i="10"/>
  <c r="S821" i="10"/>
  <c r="U803" i="10"/>
  <c r="U835" i="10"/>
  <c r="U849" i="10"/>
  <c r="U786" i="10"/>
  <c r="U821" i="10"/>
  <c r="AB849" i="10"/>
  <c r="AB786" i="10"/>
  <c r="AB835" i="10"/>
  <c r="AB821" i="10"/>
  <c r="AB803" i="10"/>
  <c r="A951" i="10"/>
  <c r="A953" i="10" s="1"/>
  <c r="AL835" i="10"/>
  <c r="AL849" i="10"/>
  <c r="AL821" i="10"/>
  <c r="AL803" i="10"/>
  <c r="AL786" i="10"/>
  <c r="Z849" i="10"/>
  <c r="Z835" i="10"/>
  <c r="Z821" i="10"/>
  <c r="Z803" i="10"/>
  <c r="Z786" i="10"/>
  <c r="R835" i="10"/>
  <c r="R803" i="10"/>
  <c r="R821" i="10"/>
  <c r="R786" i="10"/>
  <c r="R849" i="10"/>
  <c r="AO786" i="10"/>
  <c r="AO803" i="10"/>
  <c r="AO835" i="10"/>
  <c r="AO821" i="10"/>
  <c r="AO849" i="10"/>
  <c r="AE821" i="10"/>
  <c r="AE786" i="10"/>
  <c r="AE803" i="10"/>
  <c r="AE849" i="10"/>
  <c r="AE835" i="10"/>
  <c r="L1115" i="10"/>
  <c r="AG835" i="10"/>
  <c r="AG786" i="10"/>
  <c r="AG849" i="10"/>
  <c r="AG821" i="10"/>
  <c r="AG803" i="10"/>
  <c r="AK970" i="10"/>
  <c r="I1495" i="10"/>
  <c r="K991" i="10"/>
  <c r="J991" i="10" s="1"/>
  <c r="T1444" i="10"/>
  <c r="L970" i="10"/>
  <c r="E970" i="10"/>
  <c r="AE970" i="10"/>
  <c r="B951" i="10"/>
  <c r="B953" i="10" s="1"/>
  <c r="X803" i="10"/>
  <c r="X821" i="10"/>
  <c r="X835" i="10"/>
  <c r="X849" i="10"/>
  <c r="X786" i="10"/>
  <c r="C951" i="10"/>
  <c r="C953" i="10" s="1"/>
  <c r="AI849" i="10"/>
  <c r="AI803" i="10"/>
  <c r="AI835" i="10"/>
  <c r="AI786" i="10"/>
  <c r="AI821" i="10"/>
  <c r="U1572" i="10"/>
  <c r="AA835" i="10"/>
  <c r="AA786" i="10"/>
  <c r="AA803" i="10"/>
  <c r="AA849" i="10"/>
  <c r="AA821" i="10"/>
  <c r="W803" i="10"/>
  <c r="W849" i="10"/>
  <c r="W821" i="10"/>
  <c r="W835" i="10"/>
  <c r="W786" i="10"/>
  <c r="A1426" i="10"/>
  <c r="A1212" i="10"/>
  <c r="E951" i="10"/>
  <c r="E953" i="10" s="1"/>
  <c r="J958" i="10" s="1"/>
  <c r="R745" i="10"/>
  <c r="AP745" i="10" s="1"/>
  <c r="H738" i="10" s="1"/>
  <c r="AP744" i="10"/>
  <c r="H737" i="10" s="1"/>
  <c r="I1496" i="10"/>
  <c r="E971" i="10"/>
  <c r="F1496" i="10" s="1"/>
  <c r="AE971" i="10"/>
  <c r="T1445" i="10"/>
  <c r="K992" i="10"/>
  <c r="J992" i="10" s="1"/>
  <c r="L971" i="10"/>
  <c r="G724" i="10"/>
  <c r="G733" i="10" s="1"/>
  <c r="E724" i="10"/>
  <c r="E733" i="10" s="1"/>
  <c r="F766" i="10"/>
  <c r="F775" i="10" s="1"/>
  <c r="D724" i="10"/>
  <c r="D733" i="10" s="1"/>
  <c r="D766" i="10"/>
  <c r="D775" i="10" s="1"/>
  <c r="G766" i="10"/>
  <c r="G775" i="10" s="1"/>
  <c r="I724" i="10"/>
  <c r="I733" i="10" s="1"/>
  <c r="J724" i="10"/>
  <c r="J733" i="10" s="1"/>
  <c r="E766" i="10"/>
  <c r="E775" i="10" s="1"/>
  <c r="H724" i="10"/>
  <c r="H733" i="10" s="1"/>
  <c r="H766" i="10"/>
  <c r="H775" i="10" s="1"/>
  <c r="F724" i="10"/>
  <c r="F733" i="10" s="1"/>
  <c r="F951" i="10"/>
  <c r="F953" i="10" s="1"/>
  <c r="T803" i="10"/>
  <c r="T786" i="10"/>
  <c r="T849" i="10"/>
  <c r="T835" i="10"/>
  <c r="T821" i="10"/>
  <c r="Y835" i="10"/>
  <c r="Y821" i="10"/>
  <c r="Y786" i="10"/>
  <c r="Y803" i="10"/>
  <c r="Y849" i="10"/>
  <c r="AH786" i="10"/>
  <c r="AH849" i="10"/>
  <c r="AH835" i="10"/>
  <c r="AH821" i="10"/>
  <c r="AH803" i="10"/>
  <c r="I1471" i="10"/>
  <c r="R1468" i="10"/>
  <c r="L951" i="10"/>
  <c r="L953" i="10" s="1"/>
  <c r="AP680" i="10"/>
  <c r="K951" i="10"/>
  <c r="K953" i="10" s="1"/>
  <c r="V803" i="10"/>
  <c r="V835" i="10"/>
  <c r="V821" i="10"/>
  <c r="V786" i="10"/>
  <c r="V849" i="10"/>
  <c r="I1467" i="10"/>
  <c r="S1468" i="10"/>
  <c r="AN803" i="10"/>
  <c r="AN786" i="10"/>
  <c r="AN849" i="10"/>
  <c r="AN821" i="10"/>
  <c r="AN835" i="10"/>
  <c r="AM821" i="10"/>
  <c r="AM835" i="10"/>
  <c r="AM803" i="10"/>
  <c r="AM786" i="10"/>
  <c r="AM849" i="10"/>
  <c r="AP681" i="10"/>
  <c r="AP679" i="10"/>
  <c r="AF786" i="10"/>
  <c r="AF849" i="10"/>
  <c r="AF821" i="10"/>
  <c r="AF803" i="10"/>
  <c r="AF835" i="10"/>
  <c r="E684" i="10"/>
  <c r="E686" i="10" s="1"/>
  <c r="F681" i="10"/>
  <c r="E683" i="10"/>
  <c r="E685" i="10" s="1"/>
  <c r="H740" i="10" l="1"/>
  <c r="H744" i="10" s="1"/>
  <c r="H745" i="10" s="1"/>
  <c r="H739" i="10"/>
  <c r="AP791" i="10"/>
  <c r="E780" i="10" s="1"/>
  <c r="R797" i="10"/>
  <c r="AP797" i="10" s="1"/>
  <c r="E782" i="10" s="1"/>
  <c r="AP722" i="10"/>
  <c r="F736" i="10" s="1"/>
  <c r="R726" i="10"/>
  <c r="AP726" i="10" s="1"/>
  <c r="F738" i="10" s="1"/>
  <c r="AP762" i="10"/>
  <c r="J736" i="10" s="1"/>
  <c r="R766" i="10"/>
  <c r="AP766" i="10" s="1"/>
  <c r="J738" i="10" s="1"/>
  <c r="H747" i="10"/>
  <c r="H746" i="10"/>
  <c r="AP713" i="10"/>
  <c r="E736" i="10" s="1"/>
  <c r="R717" i="10"/>
  <c r="AP717" i="10" s="1"/>
  <c r="E738" i="10" s="1"/>
  <c r="G983" i="10"/>
  <c r="J879" i="10"/>
  <c r="G974" i="10" s="1"/>
  <c r="A1269" i="10"/>
  <c r="A1428" i="10"/>
  <c r="AL970" i="10"/>
  <c r="F1495" i="10" s="1"/>
  <c r="G1495" i="10" s="1"/>
  <c r="D739" i="10"/>
  <c r="D740" i="10"/>
  <c r="D744" i="10" s="1"/>
  <c r="D745" i="10" s="1"/>
  <c r="F684" i="10"/>
  <c r="F686" i="10" s="1"/>
  <c r="F683" i="10"/>
  <c r="F685" i="10" s="1"/>
  <c r="G681" i="10"/>
  <c r="H783" i="10"/>
  <c r="H784" i="10"/>
  <c r="I739" i="10"/>
  <c r="I740" i="10"/>
  <c r="I744" i="10" s="1"/>
  <c r="I745" i="10" s="1"/>
  <c r="AP839" i="10"/>
  <c r="H780" i="10" s="1"/>
  <c r="R843" i="10"/>
  <c r="AP843" i="10" s="1"/>
  <c r="H782" i="10" s="1"/>
  <c r="E784" i="10"/>
  <c r="E783" i="10"/>
  <c r="E740" i="10"/>
  <c r="E739" i="10"/>
  <c r="F739" i="10"/>
  <c r="F740" i="10"/>
  <c r="F744" i="10" s="1"/>
  <c r="F745" i="10" s="1"/>
  <c r="AP686" i="10"/>
  <c r="D736" i="10" s="1"/>
  <c r="R690" i="10"/>
  <c r="AP690" i="10" s="1"/>
  <c r="D738" i="10" s="1"/>
  <c r="G783" i="10"/>
  <c r="G784" i="10"/>
  <c r="E1574" i="10"/>
  <c r="E1570" i="10"/>
  <c r="E1011" i="10"/>
  <c r="D1517" i="10"/>
  <c r="H1517" i="10" s="1"/>
  <c r="H1524" i="10" s="1"/>
  <c r="I404" i="10"/>
  <c r="I436" i="10" s="1"/>
  <c r="L681" i="10"/>
  <c r="AP731" i="10"/>
  <c r="G736" i="10" s="1"/>
  <c r="R735" i="10"/>
  <c r="AP735" i="10" s="1"/>
  <c r="G738" i="10" s="1"/>
  <c r="AP753" i="10"/>
  <c r="I736" i="10" s="1"/>
  <c r="R757" i="10"/>
  <c r="AP757" i="10" s="1"/>
  <c r="I738" i="10" s="1"/>
  <c r="D725" i="10"/>
  <c r="E725" i="10"/>
  <c r="F767" i="10"/>
  <c r="G725" i="10"/>
  <c r="F725" i="10"/>
  <c r="H725" i="10"/>
  <c r="D767" i="10"/>
  <c r="G767" i="10"/>
  <c r="I725" i="10"/>
  <c r="E767" i="10"/>
  <c r="J725" i="10"/>
  <c r="H767" i="10"/>
  <c r="F783" i="10"/>
  <c r="F784" i="10"/>
  <c r="AP773" i="10"/>
  <c r="D780" i="10" s="1"/>
  <c r="R777" i="10"/>
  <c r="AP777" i="10" s="1"/>
  <c r="D782" i="10" s="1"/>
  <c r="AP825" i="10"/>
  <c r="G780" i="10" s="1"/>
  <c r="R829" i="10"/>
  <c r="AP829" i="10" s="1"/>
  <c r="G782" i="10" s="1"/>
  <c r="AP807" i="10"/>
  <c r="F780" i="10" s="1"/>
  <c r="R812" i="10"/>
  <c r="AP812" i="10" s="1"/>
  <c r="F782" i="10" s="1"/>
  <c r="D783" i="10"/>
  <c r="D784" i="10"/>
  <c r="J740" i="10"/>
  <c r="J739" i="10"/>
  <c r="J1495" i="10"/>
  <c r="G739" i="10"/>
  <c r="G740" i="10"/>
  <c r="J957" i="10"/>
  <c r="O414" i="10" l="1"/>
  <c r="K1471" i="10"/>
  <c r="L683" i="10"/>
  <c r="L685" i="10" s="1"/>
  <c r="L684" i="10"/>
  <c r="L686" i="10" s="1"/>
  <c r="G684" i="10"/>
  <c r="G686" i="10" s="1"/>
  <c r="G683" i="10"/>
  <c r="G685" i="10" s="1"/>
  <c r="H681" i="10"/>
  <c r="T1448" i="10"/>
  <c r="K995" i="10"/>
  <c r="J995" i="10" s="1"/>
  <c r="L974" i="10"/>
  <c r="E974" i="10"/>
  <c r="AE974" i="10"/>
  <c r="AK974" i="10"/>
  <c r="I1499" i="10"/>
  <c r="T1456" i="10"/>
  <c r="G1002" i="10"/>
  <c r="F1002" i="10" s="1"/>
  <c r="K1002" i="10"/>
  <c r="J1002" i="10" s="1"/>
  <c r="E983" i="10"/>
  <c r="L983" i="10"/>
  <c r="E744" i="10"/>
  <c r="E745" i="10" s="1"/>
  <c r="E746" i="10" s="1"/>
  <c r="G744" i="10"/>
  <c r="G745" i="10" s="1"/>
  <c r="G746" i="10" s="1"/>
  <c r="G768" i="10"/>
  <c r="G726" i="10"/>
  <c r="D726" i="10"/>
  <c r="E726" i="10"/>
  <c r="H726" i="10"/>
  <c r="J726" i="10"/>
  <c r="F768" i="10"/>
  <c r="I726" i="10"/>
  <c r="E768" i="10"/>
  <c r="H768" i="10"/>
  <c r="D768" i="10"/>
  <c r="F726" i="10"/>
  <c r="F788" i="10"/>
  <c r="F789" i="10" s="1"/>
  <c r="F790" i="10" s="1"/>
  <c r="F791" i="10"/>
  <c r="G788" i="10"/>
  <c r="G789" i="10" s="1"/>
  <c r="G791" i="10"/>
  <c r="G790" i="10"/>
  <c r="J747" i="10"/>
  <c r="J746" i="10"/>
  <c r="E790" i="10"/>
  <c r="F746" i="10"/>
  <c r="F747" i="10"/>
  <c r="H790" i="10"/>
  <c r="A1430" i="10"/>
  <c r="A1322" i="10"/>
  <c r="G982" i="10"/>
  <c r="J959" i="10"/>
  <c r="J878" i="10"/>
  <c r="D788" i="10"/>
  <c r="D789" i="10" s="1"/>
  <c r="D791" i="10"/>
  <c r="D794" i="10" s="1"/>
  <c r="D795" i="10" s="1"/>
  <c r="J835" i="10" s="1"/>
  <c r="G972" i="10" s="1"/>
  <c r="D790" i="10"/>
  <c r="D792" i="10" s="1"/>
  <c r="D793" i="10" s="1"/>
  <c r="J1528" i="10"/>
  <c r="J1527" i="10"/>
  <c r="D746" i="10"/>
  <c r="D748" i="10" s="1"/>
  <c r="D749" i="10" s="1"/>
  <c r="G1572" i="10" s="1"/>
  <c r="E1572" i="10" s="1"/>
  <c r="D747" i="10"/>
  <c r="D750" i="10" s="1"/>
  <c r="D751" i="10" s="1"/>
  <c r="J831" i="10" s="1"/>
  <c r="E788" i="10"/>
  <c r="E789" i="10" s="1"/>
  <c r="E791" i="10" s="1"/>
  <c r="J744" i="10"/>
  <c r="J745" i="10" s="1"/>
  <c r="I747" i="10"/>
  <c r="I746" i="10"/>
  <c r="H788" i="10"/>
  <c r="H789" i="10" s="1"/>
  <c r="H791" i="10" s="1"/>
  <c r="G969" i="10" l="1"/>
  <c r="AA969" i="10"/>
  <c r="E747" i="10"/>
  <c r="AL974" i="10"/>
  <c r="F1499" i="10" s="1"/>
  <c r="H684" i="10"/>
  <c r="H686" i="10" s="1"/>
  <c r="I681" i="10"/>
  <c r="H683" i="10"/>
  <c r="H685" i="10" s="1"/>
  <c r="F727" i="10"/>
  <c r="D727" i="10"/>
  <c r="G769" i="10"/>
  <c r="E727" i="10"/>
  <c r="G727" i="10"/>
  <c r="J727" i="10"/>
  <c r="H727" i="10"/>
  <c r="F769" i="10"/>
  <c r="I727" i="10"/>
  <c r="E769" i="10"/>
  <c r="D769" i="10"/>
  <c r="H769" i="10"/>
  <c r="G1001" i="10"/>
  <c r="F1001" i="10" s="1"/>
  <c r="T1455" i="10"/>
  <c r="K1001" i="10"/>
  <c r="J1001" i="10" s="1"/>
  <c r="L982" i="10"/>
  <c r="E982" i="10"/>
  <c r="G747" i="10"/>
  <c r="G973" i="10"/>
  <c r="AA973" i="10"/>
  <c r="K993" i="10"/>
  <c r="J993" i="10" s="1"/>
  <c r="I1497" i="10"/>
  <c r="AE972" i="10"/>
  <c r="T1446" i="10"/>
  <c r="L972" i="10"/>
  <c r="E972" i="10"/>
  <c r="F1497" i="10" s="1"/>
  <c r="J732" i="10"/>
  <c r="E732" i="10"/>
  <c r="E774" i="10"/>
  <c r="G732" i="10"/>
  <c r="D732" i="10"/>
  <c r="I732" i="10"/>
  <c r="H774" i="10"/>
  <c r="F732" i="10"/>
  <c r="H732" i="10"/>
  <c r="D774" i="10"/>
  <c r="G774" i="10"/>
  <c r="F774" i="10"/>
  <c r="I728" i="10" l="1"/>
  <c r="G728" i="10"/>
  <c r="E728" i="10"/>
  <c r="F770" i="10"/>
  <c r="G770" i="10"/>
  <c r="F728" i="10"/>
  <c r="H728" i="10"/>
  <c r="D728" i="10"/>
  <c r="J728" i="10"/>
  <c r="E770" i="10"/>
  <c r="D770" i="10"/>
  <c r="H770" i="10"/>
  <c r="I684" i="10"/>
  <c r="I686" i="10" s="1"/>
  <c r="J681" i="10"/>
  <c r="I683" i="10"/>
  <c r="I685" i="10" s="1"/>
  <c r="AE973" i="10"/>
  <c r="K994" i="10"/>
  <c r="J994" i="10" s="1"/>
  <c r="T1447" i="10"/>
  <c r="E973" i="10"/>
  <c r="AK973" i="10"/>
  <c r="L973" i="10"/>
  <c r="G979" i="10"/>
  <c r="AE969" i="10"/>
  <c r="AK969" i="10"/>
  <c r="G981" i="10" s="1"/>
  <c r="T1443" i="10"/>
  <c r="T1452" i="10" s="1"/>
  <c r="K990" i="10"/>
  <c r="L969" i="10"/>
  <c r="L979" i="10" s="1"/>
  <c r="G1453" i="10" s="1"/>
  <c r="E1576" i="10" s="1"/>
  <c r="E969" i="10"/>
  <c r="I1498" i="10" l="1"/>
  <c r="J1498" i="10" s="1"/>
  <c r="AL969" i="10"/>
  <c r="F1494" i="10"/>
  <c r="J729" i="10"/>
  <c r="G729" i="10"/>
  <c r="E729" i="10"/>
  <c r="D771" i="10"/>
  <c r="D729" i="10"/>
  <c r="I729" i="10"/>
  <c r="H771" i="10"/>
  <c r="H729" i="10"/>
  <c r="E771" i="10"/>
  <c r="F771" i="10"/>
  <c r="F729" i="10"/>
  <c r="G771" i="10"/>
  <c r="J684" i="10"/>
  <c r="J686" i="10" s="1"/>
  <c r="K681" i="10"/>
  <c r="J683" i="10"/>
  <c r="J685" i="10" s="1"/>
  <c r="J990" i="10"/>
  <c r="J1004" i="10" s="1"/>
  <c r="G1448" i="10" s="1"/>
  <c r="K1004" i="10"/>
  <c r="T1454" i="10"/>
  <c r="T1458" i="10" s="1"/>
  <c r="L981" i="10"/>
  <c r="G1000" i="10"/>
  <c r="F1000" i="10" s="1"/>
  <c r="K1000" i="10"/>
  <c r="J1000" i="10" s="1"/>
  <c r="E981" i="10"/>
  <c r="G985" i="10"/>
  <c r="AE979" i="10"/>
  <c r="AF969" i="10"/>
  <c r="I1494" i="10"/>
  <c r="AL973" i="10"/>
  <c r="F1498" i="10" s="1"/>
  <c r="G1498" i="10" s="1"/>
  <c r="AF973" i="10"/>
  <c r="AG973" i="10" s="1"/>
  <c r="G994" i="10" s="1"/>
  <c r="F994" i="10" s="1"/>
  <c r="G1452" i="10"/>
  <c r="E979" i="10"/>
  <c r="G1454" i="10"/>
  <c r="H1461" i="10"/>
  <c r="C1461" i="10"/>
  <c r="E1461" i="10"/>
  <c r="J1448" i="10" l="1"/>
  <c r="K684" i="10"/>
  <c r="K686" i="10" s="1"/>
  <c r="K683" i="10"/>
  <c r="K685" i="10" s="1"/>
  <c r="I730" i="10"/>
  <c r="F772" i="10"/>
  <c r="F730" i="10"/>
  <c r="J730" i="10"/>
  <c r="H730" i="10"/>
  <c r="E772" i="10"/>
  <c r="E730" i="10"/>
  <c r="G772" i="10"/>
  <c r="D772" i="10"/>
  <c r="D730" i="10"/>
  <c r="G730" i="10"/>
  <c r="H772" i="10"/>
  <c r="J1461" i="10"/>
  <c r="AG969" i="10"/>
  <c r="G990" i="10" s="1"/>
  <c r="AF979" i="10"/>
  <c r="AF976" i="10"/>
  <c r="AG976" i="10" s="1"/>
  <c r="G998" i="10" s="1"/>
  <c r="F998" i="10" s="1"/>
  <c r="AF978" i="10"/>
  <c r="AG978" i="10" s="1"/>
  <c r="AF977" i="10"/>
  <c r="AG977" i="10" s="1"/>
  <c r="G999" i="10" s="1"/>
  <c r="F999" i="10" s="1"/>
  <c r="AF970" i="10"/>
  <c r="AG970" i="10" s="1"/>
  <c r="G991" i="10" s="1"/>
  <c r="F991" i="10" s="1"/>
  <c r="AF971" i="10"/>
  <c r="AG971" i="10" s="1"/>
  <c r="G992" i="10" s="1"/>
  <c r="F992" i="10" s="1"/>
  <c r="AF975" i="10"/>
  <c r="AG975" i="10" s="1"/>
  <c r="AF974" i="10"/>
  <c r="AG974" i="10" s="1"/>
  <c r="G995" i="10" s="1"/>
  <c r="F995" i="10" s="1"/>
  <c r="AF972" i="10"/>
  <c r="AG972" i="10" s="1"/>
  <c r="G993" i="10" s="1"/>
  <c r="F993" i="10" s="1"/>
  <c r="E1035" i="10"/>
  <c r="E985" i="10"/>
  <c r="A1461" i="10"/>
  <c r="G1461" i="10"/>
  <c r="F990" i="10" l="1"/>
  <c r="F1004" i="10" s="1"/>
  <c r="G1004" i="10"/>
  <c r="E773" i="10"/>
  <c r="F731" i="10"/>
  <c r="G731" i="10"/>
  <c r="E731" i="10"/>
  <c r="D731" i="10"/>
  <c r="H773" i="10"/>
  <c r="I731" i="10"/>
  <c r="H731" i="10"/>
  <c r="D773" i="10"/>
  <c r="J731" i="10"/>
  <c r="F773" i="10"/>
  <c r="G773" i="10"/>
  <c r="A1037" i="10"/>
  <c r="J1443" i="10"/>
  <c r="G997" i="10"/>
  <c r="F997" i="10" s="1"/>
  <c r="G996" i="10"/>
  <c r="F996" i="10" s="1"/>
  <c r="J1447" i="10" l="1"/>
  <c r="J1449" i="10" s="1"/>
  <c r="G1455" i="10"/>
  <c r="K1013" i="10"/>
  <c r="G1447" i="10"/>
  <c r="G1449" i="10" s="1"/>
  <c r="O1020" i="10"/>
  <c r="H1025" i="10" l="1"/>
  <c r="Q1025" i="10" s="1"/>
  <c r="H1022" i="10"/>
  <c r="Q1022" i="10" s="1"/>
  <c r="H1026" i="10"/>
  <c r="Q1026" i="10" s="1"/>
  <c r="H1021" i="10"/>
  <c r="H1024" i="10"/>
  <c r="Q1024" i="10" s="1"/>
  <c r="H1023" i="10"/>
  <c r="Q1023" i="10" s="1"/>
  <c r="H1027" i="10"/>
  <c r="Q1027" i="10" s="1"/>
  <c r="G1451" i="10"/>
  <c r="Q1021" i="10" l="1"/>
  <c r="P1021" i="10" s="1"/>
  <c r="O1037" i="10"/>
  <c r="I1030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Milen</author>
    <author>Милен</author>
  </authors>
  <commentList>
    <comment ref="J5" authorId="0" shapeId="0" xr:uid="{AF95F01B-AC1C-42D7-B34A-297742A1C50B}">
      <text>
        <r>
          <rPr>
            <b/>
            <sz val="10"/>
            <color indexed="81"/>
            <rFont val="Tahoma"/>
            <family val="2"/>
            <charset val="204"/>
          </rPr>
          <t>Milen:</t>
        </r>
        <r>
          <rPr>
            <sz val="10"/>
            <color indexed="81"/>
            <rFont val="Tahoma"/>
            <family val="2"/>
            <charset val="204"/>
          </rPr>
          <t xml:space="preserve">
Дължина на допирната повърхност между външни стени и еркери</t>
        </r>
      </text>
    </comment>
    <comment ref="K5" authorId="1" shapeId="0" xr:uid="{24E30A97-7DFE-40DE-AABB-AAADFEAEABB0}">
      <text>
        <r>
          <rPr>
            <b/>
            <sz val="10"/>
            <color indexed="81"/>
            <rFont val="Tahoma"/>
            <family val="2"/>
            <charset val="204"/>
          </rPr>
          <t>Милен:</t>
        </r>
        <r>
          <rPr>
            <sz val="10"/>
            <color indexed="81"/>
            <rFont val="Tahoma"/>
            <family val="2"/>
            <charset val="204"/>
          </rPr>
          <t xml:space="preserve">
Брой изпъкнали ъгли на етажа.
По този начин автоматично се определя дължина на топлинният мост на стени</t>
        </r>
      </text>
    </comment>
    <comment ref="K52" authorId="0" shapeId="0" xr:uid="{1C5C08DC-E8A8-462F-BC30-A8F86E6553D4}">
      <text>
        <r>
          <rPr>
            <b/>
            <sz val="9"/>
            <color indexed="81"/>
            <rFont val="Tahoma"/>
            <family val="2"/>
            <charset val="204"/>
          </rPr>
          <t>Milen:</t>
        </r>
        <r>
          <rPr>
            <sz val="9"/>
            <color indexed="81"/>
            <rFont val="Tahoma"/>
            <family val="2"/>
            <charset val="204"/>
          </rPr>
          <t xml:space="preserve">
Коефициент на прозорци и врати с остъкляване</t>
        </r>
      </text>
    </comment>
    <comment ref="N93" authorId="1" shapeId="0" xr:uid="{D74C3C91-CFCC-4F45-B7A2-9B50AED8AD40}">
      <text>
        <r>
          <rPr>
            <b/>
            <sz val="10"/>
            <color indexed="81"/>
            <rFont val="Tahoma"/>
            <family val="2"/>
            <charset val="204"/>
          </rPr>
          <t>Милен:</t>
        </r>
        <r>
          <rPr>
            <sz val="10"/>
            <color indexed="81"/>
            <rFont val="Tahoma"/>
            <family val="2"/>
            <charset val="204"/>
          </rPr>
          <t xml:space="preserve">
Ако срещу всеки размер на прозорец има поне една бройка и празните редове са изтрити (а не скрити) ще изпише 
</t>
        </r>
        <r>
          <rPr>
            <b/>
            <i/>
            <sz val="10"/>
            <color indexed="81"/>
            <rFont val="Tahoma"/>
            <family val="2"/>
            <charset val="204"/>
          </rPr>
          <t>Правилно въведени прозорци</t>
        </r>
      </text>
    </comment>
    <comment ref="K94" authorId="0" shapeId="0" xr:uid="{61959B4A-637F-4CD3-B237-5D582F9FBEF7}">
      <text>
        <r>
          <rPr>
            <b/>
            <sz val="9"/>
            <color indexed="81"/>
            <rFont val="Tahoma"/>
            <family val="2"/>
            <charset val="204"/>
          </rPr>
          <t>Milen:</t>
        </r>
        <r>
          <rPr>
            <sz val="9"/>
            <color indexed="81"/>
            <rFont val="Tahoma"/>
            <family val="2"/>
            <charset val="204"/>
          </rPr>
          <t xml:space="preserve">
Коефициент на плътни врати</t>
        </r>
      </text>
    </comment>
    <comment ref="N136" authorId="1" shapeId="0" xr:uid="{DD853E8E-A068-4EBE-8905-ACB79130B1D8}">
      <text>
        <r>
          <rPr>
            <b/>
            <sz val="10"/>
            <color indexed="81"/>
            <rFont val="Tahoma"/>
            <family val="2"/>
            <charset val="204"/>
          </rPr>
          <t>Милен:</t>
        </r>
        <r>
          <rPr>
            <sz val="10"/>
            <color indexed="81"/>
            <rFont val="Tahoma"/>
            <family val="2"/>
            <charset val="204"/>
          </rPr>
          <t xml:space="preserve">
Ако срещу всеки размер на прозорец има поне една бройка и празните редове са изтрити (а не скрити) ще изпише 
</t>
        </r>
        <r>
          <rPr>
            <b/>
            <i/>
            <sz val="10"/>
            <color indexed="81"/>
            <rFont val="Tahoma"/>
            <family val="2"/>
            <charset val="204"/>
          </rPr>
          <t>Правилно въведени прозорци</t>
        </r>
      </text>
    </comment>
    <comment ref="H153" authorId="1" shapeId="0" xr:uid="{2CE0BD9C-58C1-447E-88E4-D14255D2E441}">
      <text>
        <r>
          <rPr>
            <b/>
            <sz val="10"/>
            <color indexed="81"/>
            <rFont val="Tahoma"/>
            <family val="2"/>
            <charset val="204"/>
          </rPr>
          <t xml:space="preserve">Милен:
</t>
        </r>
        <r>
          <rPr>
            <sz val="10"/>
            <color indexed="81"/>
            <rFont val="Tahoma"/>
            <family val="2"/>
            <charset val="204"/>
          </rPr>
          <t>Обща площ на всички покриви с височина на въздушното пространство по-малка от 30см</t>
        </r>
      </text>
    </comment>
    <comment ref="H154" authorId="1" shapeId="0" xr:uid="{4D7F7559-8A35-4EC7-A373-BA5C69F53AAE}">
      <text>
        <r>
          <rPr>
            <b/>
            <sz val="10"/>
            <color indexed="81"/>
            <rFont val="Tahoma"/>
            <family val="2"/>
            <charset val="204"/>
          </rPr>
          <t>Милен:</t>
        </r>
        <r>
          <rPr>
            <sz val="10"/>
            <color indexed="81"/>
            <rFont val="Tahoma"/>
            <family val="2"/>
            <charset val="204"/>
          </rPr>
          <t xml:space="preserve">
Обща площ на всички покриви с височина на въздушното пространство по-голяма от 30см</t>
        </r>
      </text>
    </comment>
    <comment ref="K157" authorId="0" shapeId="0" xr:uid="{027CE89F-00C7-46F5-89E4-72B9978F9A47}">
      <text>
        <r>
          <rPr>
            <b/>
            <sz val="9"/>
            <color indexed="81"/>
            <rFont val="Tahoma"/>
            <family val="2"/>
            <charset val="204"/>
          </rPr>
          <t>Milen:</t>
        </r>
        <r>
          <rPr>
            <sz val="9"/>
            <color indexed="81"/>
            <rFont val="Tahoma"/>
            <family val="2"/>
            <charset val="204"/>
          </rPr>
          <t xml:space="preserve">
Тук могат да се въвеждат стойности </t>
        </r>
        <r>
          <rPr>
            <b/>
            <sz val="9"/>
            <color indexed="81"/>
            <rFont val="Tahoma"/>
            <family val="2"/>
            <charset val="204"/>
          </rPr>
          <t xml:space="preserve">0 </t>
        </r>
        <r>
          <rPr>
            <sz val="9"/>
            <color indexed="81"/>
            <rFont val="Tahoma"/>
            <family val="2"/>
            <charset val="204"/>
          </rPr>
          <t xml:space="preserve">няма нужса да бъде </t>
        </r>
        <r>
          <rPr>
            <b/>
            <sz val="9"/>
            <color indexed="81"/>
            <rFont val="Tahoma"/>
            <family val="2"/>
            <charset val="204"/>
          </rPr>
          <t xml:space="preserve">0,0000000000000001 </t>
        </r>
        <r>
          <rPr>
            <sz val="9"/>
            <color indexed="81"/>
            <rFont val="Tahoma"/>
            <family val="2"/>
            <charset val="204"/>
          </rPr>
          <t>или нещо подобно</t>
        </r>
      </text>
    </comment>
    <comment ref="K164" authorId="1" shapeId="0" xr:uid="{6DF86366-6107-480E-BAD1-DA55FCDDAD2B}">
      <text>
        <r>
          <rPr>
            <b/>
            <sz val="10"/>
            <color indexed="81"/>
            <rFont val="Tahoma"/>
            <family val="2"/>
            <charset val="204"/>
          </rPr>
          <t>Милен:</t>
        </r>
        <r>
          <rPr>
            <sz val="10"/>
            <color indexed="81"/>
            <rFont val="Tahoma"/>
            <family val="2"/>
            <charset val="204"/>
          </rPr>
          <t xml:space="preserve">
Дължина на допирнита повърхност между стена граничеща със земя и под върху земя</t>
        </r>
      </text>
    </comment>
    <comment ref="K173" authorId="1" shapeId="0" xr:uid="{997125D8-803C-4C45-9520-875A17C59A94}">
      <text>
        <r>
          <rPr>
            <b/>
            <sz val="10"/>
            <color indexed="81"/>
            <rFont val="Tahoma"/>
            <family val="2"/>
            <charset val="204"/>
          </rPr>
          <t>Милен:</t>
        </r>
        <r>
          <rPr>
            <sz val="10"/>
            <color indexed="81"/>
            <rFont val="Tahoma"/>
            <family val="2"/>
            <charset val="204"/>
          </rPr>
          <t xml:space="preserve">
Площ на стената граничеща със земя.
Може да се получи като </t>
        </r>
        <r>
          <rPr>
            <b/>
            <sz val="10"/>
            <color indexed="81"/>
            <rFont val="Tahoma"/>
            <family val="2"/>
            <charset val="204"/>
          </rPr>
          <t>Дължина на участъка граничещ със земя</t>
        </r>
        <r>
          <rPr>
            <sz val="10"/>
            <color indexed="81"/>
            <rFont val="Tahoma"/>
            <family val="2"/>
            <charset val="204"/>
          </rPr>
          <t xml:space="preserve"> се умножи по </t>
        </r>
        <r>
          <rPr>
            <b/>
            <sz val="10"/>
            <color indexed="81"/>
            <rFont val="Tahoma"/>
            <family val="2"/>
            <charset val="204"/>
          </rPr>
          <t>Височината на подземната чест на стена граничеща със земя</t>
        </r>
      </text>
    </comment>
    <comment ref="K177" authorId="1" shapeId="0" xr:uid="{327D1D97-F934-4516-B31C-5663EF5B85FC}">
      <text>
        <r>
          <rPr>
            <b/>
            <sz val="10"/>
            <color indexed="81"/>
            <rFont val="Tahoma"/>
            <family val="2"/>
            <charset val="204"/>
          </rPr>
          <t>Милен:</t>
        </r>
        <r>
          <rPr>
            <sz val="10"/>
            <color indexed="81"/>
            <rFont val="Tahoma"/>
            <family val="2"/>
            <charset val="204"/>
          </rPr>
          <t xml:space="preserve">
Външна изчислителна температура (зимна) на населеното място</t>
        </r>
      </text>
    </comment>
    <comment ref="K179" authorId="1" shapeId="0" xr:uid="{8A0FD3CB-5E45-41D9-B9EE-5AEDBE740327}">
      <text>
        <r>
          <rPr>
            <b/>
            <sz val="10"/>
            <color indexed="81"/>
            <rFont val="Tahoma"/>
            <family val="2"/>
            <charset val="204"/>
          </rPr>
          <t>Милен:</t>
        </r>
        <r>
          <rPr>
            <sz val="10"/>
            <color indexed="81"/>
            <rFont val="Tahoma"/>
            <family val="2"/>
            <charset val="204"/>
          </rPr>
          <t xml:space="preserve">
Външна изчислителна температура (лятна) на населеното място</t>
        </r>
      </text>
    </comment>
    <comment ref="K181" authorId="0" shapeId="0" xr:uid="{BD9630C0-5071-4DB8-A238-9D02D42A05E0}">
      <text>
        <r>
          <rPr>
            <b/>
            <sz val="9"/>
            <color indexed="81"/>
            <rFont val="Tahoma"/>
            <family val="2"/>
            <charset val="204"/>
          </rPr>
          <t>Milen:</t>
        </r>
        <r>
          <rPr>
            <sz val="9"/>
            <color indexed="81"/>
            <rFont val="Tahoma"/>
            <family val="2"/>
            <charset val="204"/>
          </rPr>
          <t xml:space="preserve">
Среднообемна температура на сградата. Ако въвеждате различна температура и ви се получи някъде грешка просто не въвеждайте цяло число от сорта на 18С, а 18,000000000000001С</t>
        </r>
      </text>
    </comment>
    <comment ref="K183" authorId="0" shapeId="0" xr:uid="{AAB2ECCC-F10C-49C4-8D64-B0DF68B63B8F}">
      <text>
        <r>
          <rPr>
            <b/>
            <sz val="9"/>
            <color indexed="81"/>
            <rFont val="Tahoma"/>
            <family val="2"/>
            <charset val="204"/>
          </rPr>
          <t>Milen:</t>
        </r>
        <r>
          <rPr>
            <sz val="9"/>
            <color indexed="81"/>
            <rFont val="Tahoma"/>
            <family val="2"/>
            <charset val="204"/>
          </rPr>
          <t xml:space="preserve">
Среднообемна температура на сградата. Ако въвеждате различна температура и ви се получи някъде грешка просто не въвеждайте цяло число от сорта на 24С, а 24,000000000000001С</t>
        </r>
      </text>
    </comment>
    <comment ref="K188" authorId="0" shapeId="0" xr:uid="{FBAFE24F-31F0-44A4-9301-B99819032D3C}">
      <text>
        <r>
          <rPr>
            <b/>
            <sz val="9"/>
            <color indexed="81"/>
            <rFont val="Tahoma"/>
            <family val="2"/>
            <charset val="204"/>
          </rPr>
          <t>Milen:</t>
        </r>
        <r>
          <rPr>
            <sz val="9"/>
            <color indexed="81"/>
            <rFont val="Tahoma"/>
            <family val="2"/>
            <charset val="204"/>
          </rPr>
          <t xml:space="preserve">
Трябва само да въведете номера на климатичната зона. Вече няма нужда да копирате каквото и да е в лист </t>
        </r>
        <r>
          <rPr>
            <b/>
            <sz val="9"/>
            <color indexed="81"/>
            <rFont val="Tahoma"/>
            <family val="2"/>
            <charset val="204"/>
          </rPr>
          <t xml:space="preserve">Климатични зони. </t>
        </r>
        <r>
          <rPr>
            <sz val="9"/>
            <color indexed="81"/>
            <rFont val="Tahoma"/>
            <family val="2"/>
            <charset val="204"/>
          </rPr>
          <t>Всичко става автоматично.</t>
        </r>
      </text>
    </comment>
    <comment ref="K192" authorId="0" shapeId="0" xr:uid="{D15A2E3B-3767-4885-B175-EB4F8B62DC46}">
      <text>
        <r>
          <rPr>
            <b/>
            <sz val="9"/>
            <color indexed="81"/>
            <rFont val="Tahoma"/>
            <family val="2"/>
            <charset val="204"/>
          </rPr>
          <t>Milen:</t>
        </r>
        <r>
          <rPr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9"/>
            <color indexed="81"/>
            <rFont val="Tahoma"/>
            <family val="2"/>
            <charset val="204"/>
          </rPr>
          <t xml:space="preserve">Типове сгради: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9"/>
            <color indexed="81"/>
            <rFont val="Tahoma"/>
            <family val="2"/>
            <charset val="204"/>
          </rPr>
          <t>1</t>
        </r>
        <r>
          <rPr>
            <sz val="9"/>
            <color indexed="81"/>
            <rFont val="Tahoma"/>
            <family val="2"/>
            <charset val="204"/>
          </rPr>
          <t xml:space="preserve"> - Многофамилни жилищни сгради т.ч и общежития
</t>
        </r>
        <r>
          <rPr>
            <b/>
            <sz val="9"/>
            <color indexed="81"/>
            <rFont val="Tahoma"/>
            <family val="2"/>
            <charset val="204"/>
          </rPr>
          <t>2</t>
        </r>
        <r>
          <rPr>
            <sz val="9"/>
            <color indexed="81"/>
            <rFont val="Tahoma"/>
            <family val="2"/>
            <charset val="204"/>
          </rPr>
          <t xml:space="preserve"> - Еднофамилни жилищни сгради
</t>
        </r>
        <r>
          <rPr>
            <b/>
            <sz val="9"/>
            <color indexed="81"/>
            <rFont val="Tahoma"/>
            <family val="2"/>
            <charset val="204"/>
          </rPr>
          <t>3</t>
        </r>
        <r>
          <rPr>
            <sz val="9"/>
            <color indexed="81"/>
            <rFont val="Tahoma"/>
            <family val="2"/>
            <charset val="204"/>
          </rPr>
          <t xml:space="preserve"> - Административни сгради (офиси)
</t>
        </r>
        <r>
          <rPr>
            <b/>
            <sz val="9"/>
            <color indexed="81"/>
            <rFont val="Tahoma"/>
            <family val="2"/>
            <charset val="204"/>
          </rPr>
          <t>4</t>
        </r>
        <r>
          <rPr>
            <sz val="9"/>
            <color indexed="81"/>
            <rFont val="Tahoma"/>
            <family val="2"/>
            <charset val="204"/>
          </rPr>
          <t xml:space="preserve"> - Училища
</t>
        </r>
        <r>
          <rPr>
            <b/>
            <sz val="9"/>
            <color indexed="81"/>
            <rFont val="Tahoma"/>
            <family val="2"/>
            <charset val="204"/>
          </rPr>
          <t>5</t>
        </r>
        <r>
          <rPr>
            <sz val="9"/>
            <color indexed="81"/>
            <rFont val="Tahoma"/>
            <family val="2"/>
            <charset val="204"/>
          </rPr>
          <t xml:space="preserve"> - Университети
</t>
        </r>
        <r>
          <rPr>
            <b/>
            <sz val="9"/>
            <color indexed="81"/>
            <rFont val="Tahoma"/>
            <family val="2"/>
            <charset val="204"/>
          </rPr>
          <t>6</t>
        </r>
        <r>
          <rPr>
            <sz val="9"/>
            <color indexed="81"/>
            <rFont val="Tahoma"/>
            <family val="2"/>
            <charset val="204"/>
          </rPr>
          <t xml:space="preserve"> - Детски градини и детски ясли
</t>
        </r>
        <r>
          <rPr>
            <b/>
            <sz val="9"/>
            <color indexed="81"/>
            <rFont val="Tahoma"/>
            <family val="2"/>
            <charset val="204"/>
          </rPr>
          <t>7</t>
        </r>
        <r>
          <rPr>
            <sz val="9"/>
            <color indexed="81"/>
            <rFont val="Tahoma"/>
            <family val="2"/>
            <charset val="204"/>
          </rPr>
          <t xml:space="preserve"> - Сгради за здравеопазване (болници, лечебни зав. за извънболнична помощ, мед. центрове)
</t>
        </r>
        <r>
          <rPr>
            <b/>
            <sz val="9"/>
            <color indexed="81"/>
            <rFont val="Tahoma"/>
            <family val="2"/>
            <charset val="204"/>
          </rPr>
          <t>8</t>
        </r>
        <r>
          <rPr>
            <sz val="9"/>
            <color indexed="81"/>
            <rFont val="Tahoma"/>
            <family val="2"/>
            <charset val="204"/>
          </rPr>
          <t xml:space="preserve"> - Хотели и ресторанти (сгради в обл. на хотелиерството, ресторантьорството и общ. хранене)
</t>
        </r>
        <r>
          <rPr>
            <b/>
            <sz val="9"/>
            <color indexed="81"/>
            <rFont val="Tahoma"/>
            <family val="2"/>
            <charset val="204"/>
          </rPr>
          <t>9</t>
        </r>
        <r>
          <rPr>
            <sz val="9"/>
            <color indexed="81"/>
            <rFont val="Tahoma"/>
            <family val="2"/>
            <charset val="204"/>
          </rPr>
          <t xml:space="preserve"> - Сгради за търговия (търговски услуги на едро и дребно)
</t>
        </r>
        <r>
          <rPr>
            <b/>
            <sz val="9"/>
            <color indexed="81"/>
            <rFont val="Tahoma"/>
            <family val="2"/>
            <charset val="204"/>
          </rPr>
          <t>10</t>
        </r>
        <r>
          <rPr>
            <sz val="9"/>
            <color indexed="81"/>
            <rFont val="Tahoma"/>
            <family val="2"/>
            <charset val="204"/>
          </rPr>
          <t xml:space="preserve"> - Сгради за спорт
</t>
        </r>
        <r>
          <rPr>
            <b/>
            <sz val="9"/>
            <color indexed="81"/>
            <rFont val="Tahoma"/>
            <family val="2"/>
            <charset val="204"/>
          </rPr>
          <t>11</t>
        </r>
        <r>
          <rPr>
            <sz val="9"/>
            <color indexed="81"/>
            <rFont val="Tahoma"/>
            <family val="2"/>
            <charset val="204"/>
          </rPr>
          <t xml:space="preserve"> - Сграда в областта на културата и изкуството
</t>
        </r>
      </text>
    </comment>
    <comment ref="K197" authorId="0" shapeId="0" xr:uid="{A139E4FC-ACFD-4636-81CD-85721FE6CE69}">
      <text>
        <r>
          <rPr>
            <b/>
            <sz val="9"/>
            <color indexed="81"/>
            <rFont val="Tahoma"/>
            <family val="2"/>
            <charset val="204"/>
          </rPr>
          <t>Milen:</t>
        </r>
        <r>
          <rPr>
            <sz val="9"/>
            <color indexed="81"/>
            <rFont val="Tahoma"/>
            <family val="2"/>
            <charset val="204"/>
          </rPr>
          <t xml:space="preserve">
При въвеждане на </t>
        </r>
        <r>
          <rPr>
            <b/>
            <sz val="9"/>
            <color indexed="81"/>
            <rFont val="Tahoma"/>
            <family val="2"/>
            <charset val="204"/>
          </rPr>
          <t>1</t>
        </r>
        <r>
          <rPr>
            <sz val="9"/>
            <color indexed="81"/>
            <rFont val="Tahoma"/>
            <family val="2"/>
            <charset val="204"/>
          </rPr>
          <t xml:space="preserve"> за охлаждане на сградата, алгоритъмът изчислява задължително влажностен режим. Ако искате да изчислите само сух охладителен товар трябва да покажете следващият ред (той е скрит) и там да въведете </t>
        </r>
        <r>
          <rPr>
            <b/>
            <sz val="9"/>
            <color indexed="81"/>
            <rFont val="Tahoma"/>
            <family val="2"/>
            <charset val="204"/>
          </rPr>
          <t>0</t>
        </r>
        <r>
          <rPr>
            <sz val="9"/>
            <color indexed="81"/>
            <rFont val="Tahoma"/>
            <family val="2"/>
            <charset val="204"/>
          </rPr>
          <t>.</t>
        </r>
      </text>
    </comment>
    <comment ref="K199" authorId="0" shapeId="0" xr:uid="{165F392F-571B-45DD-B0C4-56D8E81CADE5}">
      <text>
        <r>
          <rPr>
            <b/>
            <sz val="9"/>
            <color indexed="81"/>
            <rFont val="Tahoma"/>
            <family val="2"/>
            <charset val="204"/>
          </rPr>
          <t>Milen:</t>
        </r>
        <r>
          <rPr>
            <sz val="9"/>
            <color indexed="81"/>
            <rFont val="Tahoma"/>
            <family val="2"/>
            <charset val="204"/>
          </rPr>
          <t xml:space="preserve">
При въвеждане на </t>
        </r>
        <r>
          <rPr>
            <b/>
            <sz val="9"/>
            <color indexed="81"/>
            <rFont val="Tahoma"/>
            <family val="2"/>
            <charset val="204"/>
          </rPr>
          <t>1</t>
        </r>
        <r>
          <rPr>
            <sz val="9"/>
            <color indexed="81"/>
            <rFont val="Tahoma"/>
            <family val="2"/>
            <charset val="204"/>
          </rPr>
          <t xml:space="preserve"> топлинните мостове се отчитат при въвеждане на </t>
        </r>
        <r>
          <rPr>
            <b/>
            <sz val="9"/>
            <color indexed="81"/>
            <rFont val="Tahoma"/>
            <family val="2"/>
            <charset val="204"/>
          </rPr>
          <t xml:space="preserve">0 </t>
        </r>
        <r>
          <rPr>
            <sz val="9"/>
            <color indexed="81"/>
            <rFont val="Tahoma"/>
            <family val="2"/>
            <charset val="204"/>
          </rPr>
          <t>топлинните мостове не се взимат под внимание</t>
        </r>
        <r>
          <rPr>
            <sz val="9"/>
            <color indexed="81"/>
            <rFont val="Tahoma"/>
            <family val="2"/>
            <charset val="204"/>
          </rPr>
          <t>.</t>
        </r>
      </text>
    </comment>
    <comment ref="G208" authorId="0" shapeId="0" xr:uid="{34B95A59-2133-45E3-90DE-B8F4436F1EF9}">
      <text>
        <r>
          <rPr>
            <b/>
            <sz val="9"/>
            <color indexed="81"/>
            <rFont val="Tahoma"/>
            <family val="2"/>
            <charset val="204"/>
          </rPr>
          <t>Milen:</t>
        </r>
        <r>
          <rPr>
            <sz val="9"/>
            <color indexed="81"/>
            <rFont val="Tahoma"/>
            <family val="2"/>
            <charset val="204"/>
          </rPr>
          <t xml:space="preserve">
При термопомпа се използва </t>
        </r>
        <r>
          <rPr>
            <b/>
            <sz val="9"/>
            <color indexed="81"/>
            <rFont val="Tahoma"/>
            <family val="2"/>
            <charset val="204"/>
          </rPr>
          <t>SCOP</t>
        </r>
      </text>
    </comment>
    <comment ref="C253" authorId="1" shapeId="0" xr:uid="{C01935DE-23C5-4CB2-B0FF-1AF21DC75225}">
      <text>
        <r>
          <rPr>
            <b/>
            <sz val="10"/>
            <color indexed="81"/>
            <rFont val="Tahoma"/>
            <family val="2"/>
            <charset val="204"/>
          </rPr>
          <t>Милен:</t>
        </r>
        <r>
          <rPr>
            <sz val="10"/>
            <color indexed="81"/>
            <rFont val="Tahoma"/>
            <family val="2"/>
            <charset val="204"/>
          </rPr>
          <t xml:space="preserve">
В тези таблици, ако </t>
        </r>
        <r>
          <rPr>
            <b/>
            <sz val="10"/>
            <color indexed="81"/>
            <rFont val="Tahoma"/>
            <family val="2"/>
            <charset val="204"/>
          </rPr>
          <t>НЯМА</t>
        </r>
        <r>
          <rPr>
            <sz val="10"/>
            <color indexed="81"/>
            <rFont val="Tahoma"/>
            <family val="2"/>
            <charset val="204"/>
          </rPr>
          <t xml:space="preserve"> вентилация навсякъде трябва да има 0 за да работи коректно алгоритъма</t>
        </r>
      </text>
    </comment>
    <comment ref="A291" authorId="0" shapeId="0" xr:uid="{1A58FAFB-C80D-4813-91B7-E10E9BF26ADF}">
      <text>
        <r>
          <rPr>
            <b/>
            <sz val="9"/>
            <color indexed="81"/>
            <rFont val="Tahoma"/>
            <family val="2"/>
            <charset val="204"/>
          </rPr>
          <t>Milen:</t>
        </r>
        <r>
          <rPr>
            <sz val="9"/>
            <color indexed="81"/>
            <rFont val="Tahoma"/>
            <family val="2"/>
            <charset val="204"/>
          </rPr>
          <t xml:space="preserve">
Приемам че в спалня има един полилей от 4бр лампи, а в дневната с кухненския бокс са 12бр лампи. По този начин не броя в останалите помещения: коридори и бани.</t>
        </r>
      </text>
    </comment>
    <comment ref="A331" authorId="0" shapeId="0" xr:uid="{BE54016C-1AAD-427D-A02A-6FCF24102981}">
      <text>
        <r>
          <rPr>
            <b/>
            <sz val="9"/>
            <color indexed="81"/>
            <rFont val="Tahoma"/>
            <family val="2"/>
            <charset val="204"/>
          </rPr>
          <t>Milen:</t>
        </r>
        <r>
          <rPr>
            <sz val="9"/>
            <color indexed="81"/>
            <rFont val="Tahoma"/>
            <family val="2"/>
            <charset val="204"/>
          </rPr>
          <t xml:space="preserve">
Приемам че във всяка стая има телевизор за да могат да се сметнат климатиците.</t>
        </r>
      </text>
    </comment>
    <comment ref="A349" authorId="0" shapeId="0" xr:uid="{94C249C1-2C24-4F84-AF46-64A80D623A07}">
      <text>
        <r>
          <rPr>
            <b/>
            <sz val="9"/>
            <color indexed="81"/>
            <rFont val="Tahoma"/>
            <family val="2"/>
            <charset val="204"/>
          </rPr>
          <t>Milen:</t>
        </r>
        <r>
          <rPr>
            <sz val="9"/>
            <color indexed="81"/>
            <rFont val="Tahoma"/>
            <family val="2"/>
            <charset val="204"/>
          </rPr>
          <t xml:space="preserve">
Приемам че 9-ки са в спалните, а 14-ки в дневните.</t>
        </r>
      </text>
    </comment>
    <comment ref="A350" authorId="0" shapeId="0" xr:uid="{5EA62312-B810-41C8-B2FD-F0C0E81C9611}">
      <text>
        <r>
          <rPr>
            <b/>
            <sz val="9"/>
            <color indexed="81"/>
            <rFont val="Tahoma"/>
            <family val="2"/>
            <charset val="204"/>
          </rPr>
          <t>Milen:</t>
        </r>
        <r>
          <rPr>
            <sz val="9"/>
            <color indexed="81"/>
            <rFont val="Tahoma"/>
            <family val="2"/>
            <charset val="204"/>
          </rPr>
          <t xml:space="preserve">
Приемам че 9-ки са в спалните, а 14-ки в дневните</t>
        </r>
      </text>
    </comment>
    <comment ref="A365" authorId="0" shapeId="0" xr:uid="{F290CC7A-D9A5-493C-A60F-0DF9347B28DA}">
      <text>
        <r>
          <rPr>
            <b/>
            <sz val="9"/>
            <color indexed="81"/>
            <rFont val="Tahoma"/>
            <family val="2"/>
            <charset val="204"/>
          </rPr>
          <t>Milen:</t>
        </r>
        <r>
          <rPr>
            <sz val="9"/>
            <color indexed="81"/>
            <rFont val="Tahoma"/>
            <family val="2"/>
            <charset val="204"/>
          </rPr>
          <t xml:space="preserve">
В следващите редове се въвежда обобщена мощност на съответните, помпи и вентилатори, както и обобщен режим на ползване.</t>
        </r>
      </text>
    </comment>
    <comment ref="I399" authorId="1" shapeId="0" xr:uid="{2204F399-15EB-4D20-AC3F-40C1592A0B5B}">
      <text>
        <r>
          <rPr>
            <b/>
            <sz val="10"/>
            <color indexed="81"/>
            <rFont val="Tahoma"/>
            <family val="2"/>
            <charset val="204"/>
          </rPr>
          <t>Милен:</t>
        </r>
        <r>
          <rPr>
            <sz val="10"/>
            <color indexed="81"/>
            <rFont val="Tahoma"/>
            <family val="2"/>
            <charset val="204"/>
          </rPr>
          <t xml:space="preserve">
Тук се вкарва обобщен коефициент от този вид детайл ако имаме повече от един брой</t>
        </r>
      </text>
    </comment>
    <comment ref="I400" authorId="1" shapeId="0" xr:uid="{A6C9CAEE-ED43-46A0-AE3C-7A776F95EB0B}">
      <text>
        <r>
          <rPr>
            <b/>
            <sz val="10"/>
            <color indexed="81"/>
            <rFont val="Tahoma"/>
            <family val="2"/>
            <charset val="204"/>
          </rPr>
          <t>Милен:</t>
        </r>
        <r>
          <rPr>
            <sz val="10"/>
            <color indexed="81"/>
            <rFont val="Tahoma"/>
            <family val="2"/>
            <charset val="204"/>
          </rPr>
          <t xml:space="preserve">
Тук се вкарва обобщен коефициент от този вид детайл ако имаме повече от един брой</t>
        </r>
      </text>
    </comment>
    <comment ref="I401" authorId="1" shapeId="0" xr:uid="{745B0FD3-07C0-43C4-AC13-15C52D57621C}">
      <text>
        <r>
          <rPr>
            <b/>
            <sz val="10"/>
            <color indexed="81"/>
            <rFont val="Tahoma"/>
            <family val="2"/>
            <charset val="204"/>
          </rPr>
          <t>Милен:</t>
        </r>
        <r>
          <rPr>
            <sz val="10"/>
            <color indexed="81"/>
            <rFont val="Tahoma"/>
            <family val="2"/>
            <charset val="204"/>
          </rPr>
          <t xml:space="preserve">
Тук се вкарва обобщен коефициент от този вид детайл ако имаме повече от един брой</t>
        </r>
      </text>
    </comment>
    <comment ref="I402" authorId="1" shapeId="0" xr:uid="{E5894D67-298F-47AF-9180-B72131F37B39}">
      <text>
        <r>
          <rPr>
            <b/>
            <sz val="10"/>
            <color indexed="81"/>
            <rFont val="Tahoma"/>
            <family val="2"/>
            <charset val="204"/>
          </rPr>
          <t>Милен:</t>
        </r>
        <r>
          <rPr>
            <sz val="10"/>
            <color indexed="81"/>
            <rFont val="Tahoma"/>
            <family val="2"/>
            <charset val="204"/>
          </rPr>
          <t xml:space="preserve">
Тук се вкарва обобщен коефициент от този вид детайл ако имаме повече от един брой</t>
        </r>
      </text>
    </comment>
    <comment ref="I403" authorId="1" shapeId="0" xr:uid="{E836D195-B033-476D-92EF-5FC6B830B3DF}">
      <text>
        <r>
          <rPr>
            <b/>
            <sz val="10"/>
            <color indexed="81"/>
            <rFont val="Tahoma"/>
            <family val="2"/>
            <charset val="204"/>
          </rPr>
          <t>Милен:</t>
        </r>
        <r>
          <rPr>
            <sz val="10"/>
            <color indexed="81"/>
            <rFont val="Tahoma"/>
            <family val="2"/>
            <charset val="204"/>
          </rPr>
          <t xml:space="preserve">
Тук се вкарва обобщен коефициент от този вид детайл ако имаме повече от един брой</t>
        </r>
      </text>
    </comment>
    <comment ref="I404" authorId="1" shapeId="0" xr:uid="{94B25079-4638-4CDE-9CD1-27DA7CBED7E9}">
      <text>
        <r>
          <rPr>
            <b/>
            <sz val="10"/>
            <color indexed="81"/>
            <rFont val="Tahoma"/>
            <family val="2"/>
            <charset val="204"/>
          </rPr>
          <t>Милен:</t>
        </r>
        <r>
          <rPr>
            <sz val="10"/>
            <color indexed="81"/>
            <rFont val="Tahoma"/>
            <family val="2"/>
            <charset val="204"/>
          </rPr>
          <t xml:space="preserve">
Тук се вкарва обобщен коефициент от този вид детайл ако имаме повече от един брой</t>
        </r>
      </text>
    </comment>
    <comment ref="L428" authorId="1" shapeId="0" xr:uid="{3922A2D0-F2FB-42A0-A90A-EA303D5A7F63}">
      <text>
        <r>
          <rPr>
            <b/>
            <sz val="10"/>
            <color indexed="81"/>
            <rFont val="Tahoma"/>
            <family val="2"/>
            <charset val="204"/>
          </rPr>
          <t>Милен:</t>
        </r>
        <r>
          <rPr>
            <sz val="10"/>
            <color indexed="81"/>
            <rFont val="Tahoma"/>
            <family val="2"/>
            <charset val="204"/>
          </rPr>
          <t xml:space="preserve">
Обща дължина на допирната повърхност между външни стени и еркери</t>
        </r>
      </text>
    </comment>
    <comment ref="L429" authorId="1" shapeId="0" xr:uid="{459C1E74-810C-48D2-A8D4-7375690B8BF0}">
      <text>
        <r>
          <rPr>
            <b/>
            <sz val="10"/>
            <color indexed="81"/>
            <rFont val="Tahoma"/>
            <family val="2"/>
            <charset val="204"/>
          </rPr>
          <t>Милен:</t>
        </r>
        <r>
          <rPr>
            <sz val="10"/>
            <color indexed="81"/>
            <rFont val="Tahoma"/>
            <family val="2"/>
            <charset val="204"/>
          </rPr>
          <t xml:space="preserve">
Обща дължина на допирната повърхност на всички видове покриви със стени</t>
        </r>
      </text>
    </comment>
    <comment ref="A433" authorId="1" shapeId="0" xr:uid="{F055EE71-6107-4793-A5F6-6B65585634EE}">
      <text>
        <r>
          <rPr>
            <b/>
            <sz val="10"/>
            <color indexed="81"/>
            <rFont val="Tahoma"/>
            <family val="2"/>
            <charset val="204"/>
          </rPr>
          <t>Милен:</t>
        </r>
        <r>
          <rPr>
            <sz val="10"/>
            <color indexed="81"/>
            <rFont val="Tahoma"/>
            <family val="2"/>
            <charset val="204"/>
          </rPr>
          <t xml:space="preserve">
`(рамки към стена)` - уточнява вида на топлинния мост</t>
        </r>
      </text>
    </comment>
    <comment ref="A434" authorId="1" shapeId="0" xr:uid="{3E2F7CD1-A904-417C-80CB-45098F2D3F3E}">
      <text>
        <r>
          <rPr>
            <b/>
            <sz val="10"/>
            <color indexed="81"/>
            <rFont val="Tahoma"/>
            <family val="2"/>
            <charset val="204"/>
          </rPr>
          <t>Милен:</t>
        </r>
        <r>
          <rPr>
            <sz val="10"/>
            <color indexed="81"/>
            <rFont val="Tahoma"/>
            <family val="2"/>
            <charset val="204"/>
          </rPr>
          <t xml:space="preserve">
`(ъгли на сградата)` - уточнява вида на топлинния мост</t>
        </r>
      </text>
    </comment>
    <comment ref="A435" authorId="1" shapeId="0" xr:uid="{4B7C9ED8-5907-4453-9886-2EDB07411891}">
      <text>
        <r>
          <rPr>
            <b/>
            <sz val="10"/>
            <color indexed="81"/>
            <rFont val="Tahoma"/>
            <family val="2"/>
            <charset val="204"/>
          </rPr>
          <t>Милен:</t>
        </r>
        <r>
          <rPr>
            <sz val="10"/>
            <color indexed="81"/>
            <rFont val="Tahoma"/>
            <family val="2"/>
            <charset val="204"/>
          </rPr>
          <t xml:space="preserve">
`(покривна плоча към стена)` - уточнява вида на топлинния мост</t>
        </r>
      </text>
    </comment>
    <comment ref="A436" authorId="1" shapeId="0" xr:uid="{65C7773B-0C76-4CF1-A84A-F4A1B9E7D84B}">
      <text>
        <r>
          <rPr>
            <b/>
            <sz val="10"/>
            <color indexed="81"/>
            <rFont val="Tahoma"/>
            <family val="2"/>
            <charset val="204"/>
          </rPr>
          <t>Милен:</t>
        </r>
        <r>
          <rPr>
            <sz val="10"/>
            <color indexed="81"/>
            <rFont val="Tahoma"/>
            <family val="2"/>
            <charset val="204"/>
          </rPr>
          <t xml:space="preserve">
`(покривна плоча към стена)` - уточнява вида на топлинния мост</t>
        </r>
      </text>
    </comment>
    <comment ref="K920" authorId="0" shapeId="0" xr:uid="{75B55645-8284-4409-852D-DD08E636A87B}">
      <text>
        <r>
          <rPr>
            <b/>
            <sz val="9"/>
            <color indexed="81"/>
            <rFont val="Tahoma"/>
            <family val="2"/>
            <charset val="204"/>
          </rPr>
          <t>Milen:</t>
        </r>
        <r>
          <rPr>
            <sz val="9"/>
            <color indexed="81"/>
            <rFont val="Tahoma"/>
            <family val="2"/>
            <charset val="204"/>
          </rPr>
          <t xml:space="preserve">
Свеж асфалт (Fresh asphalt) - 0.04
Износен асфалт (Worn asphalt) - 0.12
Иглолилстна гора, лято (Conifer forest, Summer) - 0.08, 0.09 до 0.15
Широколистна гора (Deciduous trees) - 0.15 до 0.18
Гола почва (Bare soil) - 0.17
Зелена трева (Green grass) - 0.25
Пустинен пясък (Desert sand) - 0.40
Нов бетон (New concrete) - 0.55
Океански лед (Ocean ice) - 0.5–0.7
Свеж сняг (Fresh snow) - 0.80–0.90</t>
        </r>
      </text>
    </comment>
    <comment ref="K929" authorId="0" shapeId="0" xr:uid="{786DC5F6-E835-4EB4-9EFC-B0A2DB7D7D9E}">
      <text>
        <r>
          <rPr>
            <b/>
            <sz val="9"/>
            <color indexed="81"/>
            <rFont val="Tahoma"/>
            <family val="2"/>
            <charset val="204"/>
          </rPr>
          <t>Milen:</t>
        </r>
        <r>
          <rPr>
            <sz val="9"/>
            <color indexed="81"/>
            <rFont val="Tahoma"/>
            <family val="2"/>
            <charset val="204"/>
          </rPr>
          <t xml:space="preserve">
за колектори с еднослойно покритие - 0,95
за колектори с двуслойно прозрачно покритие - 0,93 за зима и 0,90 за лято</t>
        </r>
      </text>
    </comment>
    <comment ref="K930" authorId="0" shapeId="0" xr:uid="{E02108D0-B07C-4A60-B274-0C9D65635884}">
      <text>
        <r>
          <rPr>
            <b/>
            <sz val="9"/>
            <color indexed="81"/>
            <rFont val="Tahoma"/>
            <family val="2"/>
            <charset val="204"/>
          </rPr>
          <t>Milen:</t>
        </r>
        <r>
          <rPr>
            <sz val="9"/>
            <color indexed="81"/>
            <rFont val="Tahoma"/>
            <family val="2"/>
            <charset val="204"/>
          </rPr>
          <t xml:space="preserve">
за колектори с еднослойно покритие - 0,95
за колектори с двуслойно прозрачно покритие - 0,93 за зима и 0,90 за лято</t>
        </r>
      </text>
    </comment>
    <comment ref="J937" authorId="0" shapeId="0" xr:uid="{020DA2EA-7692-4496-AD43-5D2BE87AC43D}">
      <text>
        <r>
          <rPr>
            <b/>
            <sz val="9"/>
            <color indexed="81"/>
            <rFont val="Tahoma"/>
            <family val="2"/>
            <charset val="204"/>
          </rPr>
          <t>Milen:</t>
        </r>
        <r>
          <rPr>
            <sz val="9"/>
            <color indexed="81"/>
            <rFont val="Tahoma"/>
            <family val="2"/>
            <charset val="204"/>
          </rPr>
          <t xml:space="preserve">
От каталог на </t>
        </r>
        <r>
          <rPr>
            <b/>
            <sz val="9"/>
            <color indexed="81"/>
            <rFont val="Tahoma"/>
            <family val="2"/>
            <charset val="204"/>
          </rPr>
          <t xml:space="preserve">Viessmann
</t>
        </r>
        <r>
          <rPr>
            <sz val="9"/>
            <color indexed="81"/>
            <rFont val="Tahoma"/>
            <family val="2"/>
            <charset val="204"/>
          </rPr>
          <t>От програмата на Viessmann има друг коефициент 4,33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Milen</author>
  </authors>
  <commentList>
    <comment ref="F120" authorId="0" shapeId="0" xr:uid="{7B3DB6CB-9325-4936-865A-2C871277D090}">
      <text>
        <r>
          <rPr>
            <b/>
            <sz val="9"/>
            <color indexed="81"/>
            <rFont val="Tahoma"/>
            <family val="2"/>
            <charset val="204"/>
          </rPr>
          <t>Milen:</t>
        </r>
        <r>
          <rPr>
            <sz val="9"/>
            <color indexed="81"/>
            <rFont val="Tahoma"/>
            <family val="2"/>
            <charset val="204"/>
          </rPr>
          <t xml:space="preserve">
Прието е същото като административна сграда</t>
        </r>
      </text>
    </comment>
  </commentList>
</comments>
</file>

<file path=xl/sharedStrings.xml><?xml version="1.0" encoding="utf-8"?>
<sst xmlns="http://schemas.openxmlformats.org/spreadsheetml/2006/main" count="4108" uniqueCount="1252">
  <si>
    <r>
      <t>θ</t>
    </r>
    <r>
      <rPr>
        <b/>
        <i/>
        <vertAlign val="subscript"/>
        <sz val="12"/>
        <rFont val="Arial"/>
        <family val="2"/>
        <charset val="204"/>
      </rPr>
      <t>e</t>
    </r>
    <r>
      <rPr>
        <b/>
        <i/>
        <sz val="12"/>
        <rFont val="Arial"/>
        <family val="2"/>
        <charset val="204"/>
      </rPr>
      <t>=</t>
    </r>
  </si>
  <si>
    <t>%</t>
  </si>
  <si>
    <t>kolona</t>
  </si>
  <si>
    <t>red</t>
  </si>
  <si>
    <t>int</t>
  </si>
  <si>
    <t>dec</t>
  </si>
  <si>
    <t>P i</t>
  </si>
  <si>
    <t>P e</t>
  </si>
  <si>
    <t>Pemax</t>
  </si>
  <si>
    <t>Pimax</t>
  </si>
  <si>
    <t>И</t>
  </si>
  <si>
    <t>СИ</t>
  </si>
  <si>
    <t>С</t>
  </si>
  <si>
    <t>СЗ</t>
  </si>
  <si>
    <t>З</t>
  </si>
  <si>
    <t>ЮЗ</t>
  </si>
  <si>
    <t>Ю</t>
  </si>
  <si>
    <t>ЮИ</t>
  </si>
  <si>
    <t>a</t>
  </si>
  <si>
    <t>b</t>
  </si>
  <si>
    <t>n</t>
  </si>
  <si>
    <t>бр.</t>
  </si>
  <si>
    <r>
      <t>m</t>
    </r>
    <r>
      <rPr>
        <sz val="10"/>
        <rFont val="Arial"/>
        <charset val="204"/>
      </rPr>
      <t/>
    </r>
  </si>
  <si>
    <t>Фасади</t>
  </si>
  <si>
    <t>Геометрия</t>
  </si>
  <si>
    <t xml:space="preserve">Обща площ </t>
  </si>
  <si>
    <t>Дължина</t>
  </si>
  <si>
    <r>
      <t>m</t>
    </r>
    <r>
      <rPr>
        <i/>
        <vertAlign val="superscript"/>
        <sz val="12"/>
        <rFont val="Arial"/>
        <family val="2"/>
        <charset val="204"/>
      </rPr>
      <t>2</t>
    </r>
  </si>
  <si>
    <t>Периметър на земната основа при под в/у терен без подземен етаж</t>
  </si>
  <si>
    <t>Площ на земната основа при под в/у терен без подземен етаж</t>
  </si>
  <si>
    <t>Периметър на подземният етаж при неотопляем сутерен</t>
  </si>
  <si>
    <t>Врати</t>
  </si>
  <si>
    <t>Врати (външни)</t>
  </si>
  <si>
    <t>Прозорци на фасадите (външни)</t>
  </si>
  <si>
    <t>Стени (външни)</t>
  </si>
  <si>
    <t>Показатели на енергопреобразуващите системи в сградата</t>
  </si>
  <si>
    <t>По изп проект</t>
  </si>
  <si>
    <t>Норма</t>
  </si>
  <si>
    <t>Коефициент на трансформация при генерирането на топлина</t>
  </si>
  <si>
    <t>Коефициент на трансформация при генерирането на студ</t>
  </si>
  <si>
    <t>Ефективност на генератора на топлина, %</t>
  </si>
  <si>
    <t>час/ден</t>
  </si>
  <si>
    <t>д/седм</t>
  </si>
  <si>
    <t>Описание на стена на неотопляемо помещение към външен въздух, по фасади</t>
  </si>
  <si>
    <t>Ефективност на рекуперацията на топлина при вентилация, %</t>
  </si>
  <si>
    <r>
      <t>U</t>
    </r>
    <r>
      <rPr>
        <b/>
        <i/>
        <vertAlign val="subscript"/>
        <sz val="14"/>
        <rFont val="Arial"/>
        <family val="2"/>
        <charset val="204"/>
      </rPr>
      <t>пр</t>
    </r>
    <r>
      <rPr>
        <b/>
        <i/>
        <sz val="14"/>
        <rFont val="Arial"/>
        <family val="2"/>
        <charset val="204"/>
      </rPr>
      <t>=</t>
    </r>
  </si>
  <si>
    <r>
      <t>W/m</t>
    </r>
    <r>
      <rPr>
        <b/>
        <i/>
        <vertAlign val="superscript"/>
        <sz val="14"/>
        <rFont val="Arial"/>
        <family val="2"/>
        <charset val="204"/>
      </rPr>
      <t>2</t>
    </r>
    <r>
      <rPr>
        <b/>
        <i/>
        <sz val="14"/>
        <rFont val="Arial"/>
        <family val="2"/>
        <charset val="204"/>
      </rPr>
      <t>K</t>
    </r>
  </si>
  <si>
    <t>Обща дължина на отворите на прозорците и вратите</t>
  </si>
  <si>
    <t>Обща площ на прозорците и вратите</t>
  </si>
  <si>
    <t>Прозорци</t>
  </si>
  <si>
    <t>Площ на подземният етаж при неотопляем сутерен</t>
  </si>
  <si>
    <t>Периметър на подземният етаж при отопляем сутерен</t>
  </si>
  <si>
    <t>Площ на подземният етаж при отопляем сутерен</t>
  </si>
  <si>
    <t>единична мощност</t>
  </si>
  <si>
    <t>сумарна мощност</t>
  </si>
  <si>
    <t>режим на ползване</t>
  </si>
  <si>
    <t>коеф. на едновременност</t>
  </si>
  <si>
    <t>средно за ден</t>
  </si>
  <si>
    <t>приравнено за 1 час</t>
  </si>
  <si>
    <t>Дължина на топлинен мост на към стени</t>
  </si>
  <si>
    <r>
      <t>l</t>
    </r>
    <r>
      <rPr>
        <vertAlign val="subscript"/>
        <sz val="12"/>
        <rFont val="Arial"/>
        <family val="2"/>
        <charset val="204"/>
      </rPr>
      <t>кпр</t>
    </r>
    <r>
      <rPr>
        <sz val="12"/>
        <rFont val="Arial"/>
        <family val="2"/>
        <charset val="204"/>
      </rPr>
      <t>=</t>
    </r>
  </si>
  <si>
    <r>
      <t>А</t>
    </r>
    <r>
      <rPr>
        <vertAlign val="subscript"/>
        <sz val="12"/>
        <rFont val="Arial"/>
        <family val="2"/>
        <charset val="204"/>
      </rPr>
      <t>пр</t>
    </r>
    <r>
      <rPr>
        <sz val="12"/>
        <rFont val="Arial"/>
        <family val="2"/>
        <charset val="204"/>
      </rPr>
      <t>=</t>
    </r>
  </si>
  <si>
    <t>Дължина на строителен отвор на прозорците (топлинен мост)</t>
  </si>
  <si>
    <t>Прозорци и врати (рамки към стена)</t>
  </si>
  <si>
    <t>Външни стени (ъгли на сградата)</t>
  </si>
  <si>
    <t>Покрив плоча или възд. &lt; 30см (покривна плоча към стена)</t>
  </si>
  <si>
    <t>Покрив с въздушна междина &gt; 30см (покривна плоча към стена)</t>
  </si>
  <si>
    <t>при под върху неотопляем подземен етаж</t>
  </si>
  <si>
    <t>при под върху терен, без подземен етаж</t>
  </si>
  <si>
    <t>Определяне на средномесечния часов дебит за естествена вентилация</t>
  </si>
  <si>
    <r>
      <t>q</t>
    </r>
    <r>
      <rPr>
        <i/>
        <vertAlign val="subscript"/>
        <sz val="12"/>
        <rFont val="Arial"/>
        <family val="2"/>
        <charset val="204"/>
      </rPr>
      <t>ve,f</t>
    </r>
    <r>
      <rPr>
        <i/>
        <sz val="12"/>
        <rFont val="Arial"/>
        <family val="2"/>
        <charset val="204"/>
      </rPr>
      <t>=</t>
    </r>
  </si>
  <si>
    <r>
      <t>q</t>
    </r>
    <r>
      <rPr>
        <i/>
        <vertAlign val="subscript"/>
        <sz val="12"/>
        <rFont val="Arial"/>
        <family val="2"/>
        <charset val="204"/>
      </rPr>
      <t>ve,х</t>
    </r>
    <r>
      <rPr>
        <i/>
        <sz val="12"/>
        <rFont val="Arial"/>
        <family val="2"/>
        <charset val="204"/>
      </rPr>
      <t>=</t>
    </r>
  </si>
  <si>
    <t xml:space="preserve">Определяне на средномесечния часов допълнителен дебит за механична </t>
  </si>
  <si>
    <t>вентилация в отворите за външен въздух, дължащи се на вятъра</t>
  </si>
  <si>
    <r>
      <t>q</t>
    </r>
    <r>
      <rPr>
        <i/>
        <vertAlign val="subscript"/>
        <sz val="12"/>
        <rFont val="Arial"/>
        <family val="2"/>
        <charset val="204"/>
      </rPr>
      <t>ve, ес</t>
    </r>
    <r>
      <rPr>
        <i/>
        <sz val="12"/>
        <rFont val="Arial"/>
        <family val="2"/>
        <charset val="204"/>
      </rPr>
      <t>=</t>
    </r>
  </si>
  <si>
    <t>е=</t>
  </si>
  <si>
    <t>Коефициенти на защитеност от вятъра</t>
  </si>
  <si>
    <t>f=</t>
  </si>
  <si>
    <t>Кратност на въздухообмена при разлика в налягането вън-вътре 50Ра</t>
  </si>
  <si>
    <t>Заб: Стойностите за кратност на въздухообмена при разлика в налягането вън-вътре</t>
  </si>
  <si>
    <t xml:space="preserve">       50Ра и коефициент на защитеност от вятъра се избират от Табл. 5 и Табл. 6,</t>
  </si>
  <si>
    <t xml:space="preserve">       т.8.2 от Приложение №3 на Наредба №7</t>
  </si>
  <si>
    <r>
      <t>n</t>
    </r>
    <r>
      <rPr>
        <i/>
        <vertAlign val="subscript"/>
        <sz val="12"/>
        <rFont val="Arial"/>
        <family val="2"/>
        <charset val="204"/>
      </rPr>
      <t>50</t>
    </r>
    <r>
      <rPr>
        <i/>
        <sz val="12"/>
        <rFont val="Arial"/>
        <family val="2"/>
        <charset val="204"/>
      </rPr>
      <t>=</t>
    </r>
  </si>
  <si>
    <r>
      <t>q</t>
    </r>
    <r>
      <rPr>
        <i/>
        <vertAlign val="subscript"/>
        <sz val="12"/>
        <rFont val="Arial"/>
        <family val="2"/>
        <charset val="204"/>
      </rPr>
      <t>ve,е</t>
    </r>
    <r>
      <rPr>
        <i/>
        <sz val="12"/>
        <rFont val="Arial"/>
        <family val="2"/>
        <charset val="204"/>
      </rPr>
      <t>=</t>
    </r>
  </si>
  <si>
    <r>
      <t>θ</t>
    </r>
    <r>
      <rPr>
        <i/>
        <vertAlign val="subscript"/>
        <sz val="12"/>
        <rFont val="Arial"/>
        <family val="2"/>
        <charset val="204"/>
      </rPr>
      <t>k,sup</t>
    </r>
    <r>
      <rPr>
        <i/>
        <sz val="12"/>
        <rFont val="Arial"/>
        <family val="2"/>
        <charset val="204"/>
      </rPr>
      <t>=</t>
    </r>
  </si>
  <si>
    <r>
      <t>H</t>
    </r>
    <r>
      <rPr>
        <b/>
        <vertAlign val="subscript"/>
        <sz val="12"/>
        <rFont val="Arial"/>
        <family val="2"/>
        <charset val="204"/>
      </rPr>
      <t>ve</t>
    </r>
  </si>
  <si>
    <t>Типове сгради:</t>
  </si>
  <si>
    <t>Училище</t>
  </si>
  <si>
    <t>Университет</t>
  </si>
  <si>
    <t>Клас</t>
  </si>
  <si>
    <t>EPmin</t>
  </si>
  <si>
    <t>EPmax</t>
  </si>
  <si>
    <t>B</t>
  </si>
  <si>
    <t>D</t>
  </si>
  <si>
    <t>E</t>
  </si>
  <si>
    <t>F</t>
  </si>
  <si>
    <t>G</t>
  </si>
  <si>
    <t>Сгради за административно обслужване</t>
  </si>
  <si>
    <t>Училища</t>
  </si>
  <si>
    <t>Университети</t>
  </si>
  <si>
    <t>Детски градини</t>
  </si>
  <si>
    <t>Сгради за обществено обслужване в областтта на хотелиерството</t>
  </si>
  <si>
    <t>Сгради в областта на търговията</t>
  </si>
  <si>
    <t>Сгради за спорт</t>
  </si>
  <si>
    <t>Сгради в областта на културата и изкуството</t>
  </si>
  <si>
    <t>Използван клас на енергопотребление</t>
  </si>
  <si>
    <r>
      <t>H</t>
    </r>
    <r>
      <rPr>
        <vertAlign val="subscript"/>
        <sz val="10"/>
        <rFont val="Arial"/>
        <family val="2"/>
        <charset val="204"/>
      </rPr>
      <t>T</t>
    </r>
  </si>
  <si>
    <r>
      <t>K</t>
    </r>
    <r>
      <rPr>
        <vertAlign val="subscript"/>
        <sz val="10"/>
        <rFont val="Arial"/>
        <family val="2"/>
        <charset val="204"/>
      </rPr>
      <t>T</t>
    </r>
  </si>
  <si>
    <t xml:space="preserve">   Наклон на колектора</t>
  </si>
  <si>
    <t>°</t>
  </si>
  <si>
    <t>rad</t>
  </si>
  <si>
    <t xml:space="preserve">   Географска ширина</t>
  </si>
  <si>
    <r>
      <t>φ</t>
    </r>
    <r>
      <rPr>
        <i/>
        <sz val="12"/>
        <rFont val="Arial"/>
        <family val="2"/>
        <charset val="204"/>
      </rPr>
      <t>=</t>
    </r>
  </si>
  <si>
    <t>номер</t>
  </si>
  <si>
    <t>б</t>
  </si>
  <si>
    <t>degree</t>
  </si>
  <si>
    <t>radians</t>
  </si>
  <si>
    <r>
      <t>ω</t>
    </r>
    <r>
      <rPr>
        <vertAlign val="subscript"/>
        <sz val="12"/>
        <rFont val="Arial"/>
        <family val="2"/>
        <charset val="204"/>
      </rPr>
      <t>s</t>
    </r>
  </si>
  <si>
    <r>
      <t>ω`</t>
    </r>
    <r>
      <rPr>
        <vertAlign val="subscript"/>
        <sz val="12"/>
        <rFont val="Arial"/>
        <family val="2"/>
        <charset val="204"/>
      </rPr>
      <t>s</t>
    </r>
  </si>
  <si>
    <r>
      <t>R</t>
    </r>
    <r>
      <rPr>
        <vertAlign val="subscript"/>
        <sz val="12"/>
        <rFont val="Arial"/>
        <family val="2"/>
        <charset val="204"/>
      </rPr>
      <t>b</t>
    </r>
  </si>
  <si>
    <t>числител</t>
  </si>
  <si>
    <t>знаменател</t>
  </si>
  <si>
    <t>Rb</t>
  </si>
  <si>
    <r>
      <t>K</t>
    </r>
    <r>
      <rPr>
        <vertAlign val="subscript"/>
        <sz val="12"/>
        <rFont val="Arial"/>
        <family val="2"/>
        <charset val="204"/>
      </rPr>
      <t>T</t>
    </r>
  </si>
  <si>
    <r>
      <t>H</t>
    </r>
    <r>
      <rPr>
        <vertAlign val="subscript"/>
        <sz val="12"/>
        <rFont val="Arial"/>
        <family val="2"/>
        <charset val="204"/>
      </rPr>
      <t>d</t>
    </r>
    <r>
      <rPr>
        <sz val="12"/>
        <rFont val="Arial"/>
        <family val="2"/>
        <charset val="204"/>
      </rPr>
      <t>/H</t>
    </r>
  </si>
  <si>
    <t xml:space="preserve">   Коефициент на отражение на околната среда</t>
  </si>
  <si>
    <t>ρ=</t>
  </si>
  <si>
    <t>R</t>
  </si>
  <si>
    <t>проекционен коефициент</t>
  </si>
  <si>
    <r>
      <t>H ,kWh/m</t>
    </r>
    <r>
      <rPr>
        <vertAlign val="superscript"/>
        <sz val="12"/>
        <rFont val="Arial"/>
        <family val="2"/>
        <charset val="204"/>
      </rPr>
      <t>2</t>
    </r>
  </si>
  <si>
    <t>средномесечна сумарна слънчева радиация</t>
  </si>
  <si>
    <r>
      <t>H</t>
    </r>
    <r>
      <rPr>
        <vertAlign val="subscript"/>
        <sz val="12"/>
        <rFont val="Arial"/>
        <family val="2"/>
        <charset val="204"/>
      </rPr>
      <t>T</t>
    </r>
    <r>
      <rPr>
        <sz val="12"/>
        <rFont val="Arial"/>
        <family val="2"/>
        <charset val="204"/>
      </rPr>
      <t xml:space="preserve"> ,J/m</t>
    </r>
    <r>
      <rPr>
        <vertAlign val="superscript"/>
        <sz val="12"/>
        <rFont val="Arial"/>
        <family val="2"/>
        <charset val="204"/>
      </rPr>
      <t>2</t>
    </r>
    <r>
      <rPr>
        <sz val="12"/>
        <rFont val="Arial"/>
        <family val="2"/>
        <charset val="204"/>
      </rPr>
      <t xml:space="preserve"> на ден</t>
    </r>
  </si>
  <si>
    <t>средна месечна дневна радиация</t>
  </si>
  <si>
    <t xml:space="preserve">   Зимен режим</t>
  </si>
  <si>
    <r>
      <t>(τα)/(τα)</t>
    </r>
    <r>
      <rPr>
        <vertAlign val="subscript"/>
        <sz val="12"/>
        <rFont val="Arial"/>
        <family val="2"/>
        <charset val="204"/>
      </rPr>
      <t>n</t>
    </r>
    <r>
      <rPr>
        <sz val="12"/>
        <rFont val="Arial"/>
        <family val="2"/>
        <charset val="204"/>
      </rPr>
      <t>=</t>
    </r>
  </si>
  <si>
    <t xml:space="preserve">   Летен режим</t>
  </si>
  <si>
    <t xml:space="preserve">   Брой слънчеви колектори</t>
  </si>
  <si>
    <t xml:space="preserve">   Единична площ на слънчев колектор</t>
  </si>
  <si>
    <r>
      <t>А</t>
    </r>
    <r>
      <rPr>
        <vertAlign val="subscript"/>
        <sz val="12"/>
        <rFont val="Arial"/>
        <family val="2"/>
        <charset val="204"/>
      </rPr>
      <t>ед</t>
    </r>
    <r>
      <rPr>
        <sz val="12"/>
        <rFont val="Arial"/>
        <family val="2"/>
        <charset val="204"/>
      </rPr>
      <t>=</t>
    </r>
  </si>
  <si>
    <r>
      <t>м</t>
    </r>
    <r>
      <rPr>
        <vertAlign val="superscript"/>
        <sz val="12"/>
        <rFont val="Arial"/>
        <family val="2"/>
        <charset val="204"/>
      </rPr>
      <t>2</t>
    </r>
  </si>
  <si>
    <t xml:space="preserve">   Обща площ на слънчевите колектори</t>
  </si>
  <si>
    <t>А=</t>
  </si>
  <si>
    <t xml:space="preserve">   Коеф на ефективно отвеждане на топлината от колектора</t>
  </si>
  <si>
    <r>
      <t>F</t>
    </r>
    <r>
      <rPr>
        <vertAlign val="subscript"/>
        <sz val="12"/>
        <rFont val="Arial"/>
        <family val="2"/>
        <charset val="204"/>
      </rPr>
      <t>R</t>
    </r>
    <r>
      <rPr>
        <sz val="12"/>
        <rFont val="Arial"/>
        <family val="2"/>
        <charset val="204"/>
      </rPr>
      <t>=</t>
    </r>
  </si>
  <si>
    <t xml:space="preserve">   Коеф. на еф. Отв. на топлината от кол. с межд топлобменник</t>
  </si>
  <si>
    <r>
      <t>F`</t>
    </r>
    <r>
      <rPr>
        <vertAlign val="subscript"/>
        <sz val="12"/>
        <rFont val="Arial"/>
        <family val="2"/>
        <charset val="204"/>
      </rPr>
      <t>R</t>
    </r>
    <r>
      <rPr>
        <sz val="12"/>
        <rFont val="Arial"/>
        <family val="2"/>
        <charset val="204"/>
      </rPr>
      <t>=</t>
    </r>
  </si>
  <si>
    <t xml:space="preserve">   Коефициент на пълни топлинни загуби на колектора</t>
  </si>
  <si>
    <r>
      <t>U</t>
    </r>
    <r>
      <rPr>
        <vertAlign val="subscript"/>
        <sz val="12"/>
        <rFont val="Arial"/>
        <family val="2"/>
        <charset val="204"/>
      </rPr>
      <t>L</t>
    </r>
    <r>
      <rPr>
        <sz val="12"/>
        <rFont val="Arial"/>
        <family val="2"/>
        <charset val="204"/>
      </rPr>
      <t>=</t>
    </r>
  </si>
  <si>
    <r>
      <t>W/m</t>
    </r>
    <r>
      <rPr>
        <vertAlign val="superscript"/>
        <sz val="12"/>
        <rFont val="Arial"/>
        <family val="2"/>
        <charset val="204"/>
      </rPr>
      <t>2</t>
    </r>
    <r>
      <rPr>
        <sz val="12"/>
        <rFont val="Arial"/>
        <family val="2"/>
        <charset val="204"/>
      </rPr>
      <t>K</t>
    </r>
  </si>
  <si>
    <t xml:space="preserve">   Необходима топлина за БГВ</t>
  </si>
  <si>
    <r>
      <t>Q</t>
    </r>
    <r>
      <rPr>
        <vertAlign val="subscript"/>
        <sz val="12"/>
        <rFont val="Arial"/>
        <family val="2"/>
        <charset val="204"/>
      </rPr>
      <t>w</t>
    </r>
    <r>
      <rPr>
        <sz val="12"/>
        <rFont val="Arial"/>
        <family val="2"/>
        <charset val="204"/>
      </rPr>
      <t>=</t>
    </r>
  </si>
  <si>
    <t>брой дни в месеца</t>
  </si>
  <si>
    <r>
      <t>θ</t>
    </r>
    <r>
      <rPr>
        <vertAlign val="subscript"/>
        <sz val="12"/>
        <rFont val="Arial"/>
        <family val="2"/>
        <charset val="204"/>
      </rPr>
      <t>e</t>
    </r>
    <r>
      <rPr>
        <sz val="12"/>
        <rFont val="Arial"/>
        <family val="2"/>
        <charset val="204"/>
      </rPr>
      <t xml:space="preserve"> - средна месечна температура</t>
    </r>
  </si>
  <si>
    <t>X</t>
  </si>
  <si>
    <t>Y</t>
  </si>
  <si>
    <t>f</t>
  </si>
  <si>
    <r>
      <t>Q</t>
    </r>
    <r>
      <rPr>
        <vertAlign val="subscript"/>
        <sz val="12"/>
        <rFont val="Arial"/>
        <family val="2"/>
        <charset val="204"/>
      </rPr>
      <t>u</t>
    </r>
  </si>
  <si>
    <r>
      <t>Q</t>
    </r>
    <r>
      <rPr>
        <vertAlign val="subscript"/>
        <sz val="12"/>
        <rFont val="Arial"/>
        <family val="2"/>
        <charset val="204"/>
      </rPr>
      <t>w</t>
    </r>
  </si>
  <si>
    <t xml:space="preserve">   Общо количество годишна топлина от Слънчеви колектори</t>
  </si>
  <si>
    <t xml:space="preserve">   Количество топлина от Слънчеви колектори - зимен режим</t>
  </si>
  <si>
    <t xml:space="preserve">   Количество топлина от Слънчеви колектори - летен режим</t>
  </si>
  <si>
    <r>
      <t>Q</t>
    </r>
    <r>
      <rPr>
        <b/>
        <i/>
        <vertAlign val="subscript"/>
        <sz val="14"/>
        <rFont val="Arial"/>
        <family val="2"/>
        <charset val="204"/>
      </rPr>
      <t>u</t>
    </r>
    <r>
      <rPr>
        <b/>
        <i/>
        <sz val="14"/>
        <rFont val="Arial"/>
        <family val="2"/>
        <charset val="204"/>
      </rPr>
      <t>=</t>
    </r>
  </si>
  <si>
    <t>Определяне на параметрите на вентилация на сградата</t>
  </si>
  <si>
    <t>Топлинен поток от излъчване към небосвода</t>
  </si>
  <si>
    <t>Посока</t>
  </si>
  <si>
    <t>Описание на геометрията на сградата</t>
  </si>
  <si>
    <t>Дължина на фасадите</t>
  </si>
  <si>
    <t>Януари</t>
  </si>
  <si>
    <t>Февруари</t>
  </si>
  <si>
    <t>Май</t>
  </si>
  <si>
    <t>Юни</t>
  </si>
  <si>
    <t>Юли</t>
  </si>
  <si>
    <t>Август</t>
  </si>
  <si>
    <t>Септември</t>
  </si>
  <si>
    <t>Октомври</t>
  </si>
  <si>
    <t>Ноември</t>
  </si>
  <si>
    <t>Декември</t>
  </si>
  <si>
    <r>
      <t>Ф</t>
    </r>
    <r>
      <rPr>
        <vertAlign val="subscript"/>
        <sz val="12"/>
        <rFont val="Arial"/>
        <family val="2"/>
        <charset val="204"/>
      </rPr>
      <t>r</t>
    </r>
  </si>
  <si>
    <t>Фактор на засенчване от хоризонта, приемам</t>
  </si>
  <si>
    <t>Фактор на засенчване от козирки, приемам</t>
  </si>
  <si>
    <t>Фактор на засенчване от странични екрани, приемам</t>
  </si>
  <si>
    <t>Фактор на засенчване</t>
  </si>
  <si>
    <t>Коефициент на сумарна пропускливост на слънчева енергия</t>
  </si>
  <si>
    <r>
      <t>g</t>
    </r>
    <r>
      <rPr>
        <i/>
        <vertAlign val="subscript"/>
        <sz val="12"/>
        <rFont val="Arial"/>
        <family val="2"/>
        <charset val="204"/>
      </rPr>
      <t>gl,n</t>
    </r>
    <r>
      <rPr>
        <i/>
        <sz val="12"/>
        <rFont val="Arial"/>
        <family val="2"/>
        <charset val="204"/>
      </rPr>
      <t>=</t>
    </r>
  </si>
  <si>
    <t>Топлинен поток през прозрачни огражди елементи</t>
  </si>
  <si>
    <r>
      <t>A</t>
    </r>
    <r>
      <rPr>
        <vertAlign val="subscript"/>
        <sz val="12"/>
        <rFont val="Arial"/>
        <family val="2"/>
        <charset val="204"/>
      </rPr>
      <t>sol,k</t>
    </r>
  </si>
  <si>
    <t>Топлинен поток през непрозрачни огражди елементи</t>
  </si>
  <si>
    <r>
      <t>α</t>
    </r>
    <r>
      <rPr>
        <vertAlign val="subscript"/>
        <sz val="12"/>
        <rFont val="Arial"/>
        <family val="2"/>
        <charset val="204"/>
      </rPr>
      <t>S.c</t>
    </r>
  </si>
  <si>
    <r>
      <t>U</t>
    </r>
    <r>
      <rPr>
        <vertAlign val="subscript"/>
        <sz val="12"/>
        <rFont val="Arial"/>
        <family val="2"/>
        <charset val="204"/>
      </rPr>
      <t>c</t>
    </r>
  </si>
  <si>
    <r>
      <t>A</t>
    </r>
    <r>
      <rPr>
        <vertAlign val="subscript"/>
        <sz val="12"/>
        <rFont val="Arial"/>
        <family val="2"/>
        <charset val="204"/>
      </rPr>
      <t>c</t>
    </r>
  </si>
  <si>
    <t>Тип на сградата</t>
  </si>
  <si>
    <r>
      <t>EР</t>
    </r>
    <r>
      <rPr>
        <vertAlign val="subscript"/>
        <sz val="14"/>
        <rFont val="Arial"/>
        <family val="2"/>
        <charset val="204"/>
      </rPr>
      <t>мин</t>
    </r>
  </si>
  <si>
    <r>
      <t>EР</t>
    </r>
    <r>
      <rPr>
        <vertAlign val="subscript"/>
        <sz val="14"/>
        <rFont val="Arial"/>
        <family val="2"/>
        <charset val="204"/>
      </rPr>
      <t>макс</t>
    </r>
  </si>
  <si>
    <r>
      <t>kWh/m</t>
    </r>
    <r>
      <rPr>
        <vertAlign val="superscript"/>
        <sz val="12"/>
        <rFont val="Arial"/>
        <family val="2"/>
        <charset val="204"/>
      </rPr>
      <t>2</t>
    </r>
  </si>
  <si>
    <t>Клас B</t>
  </si>
  <si>
    <t>Клас A</t>
  </si>
  <si>
    <t>Клас C</t>
  </si>
  <si>
    <t>Клас D</t>
  </si>
  <si>
    <t>Клас E</t>
  </si>
  <si>
    <t>Посочените количества се отнасят единствено до границата на отопляемото пространство.</t>
  </si>
  <si>
    <t xml:space="preserve">В тях не са включени: декоративни елементи, обръщания на дограми и изолация </t>
  </si>
  <si>
    <t xml:space="preserve">   проектантите по части: "Енергийна ефективност", "Архитектурна", Конструктивна" и </t>
  </si>
  <si>
    <t xml:space="preserve">   Ел. инсталации.</t>
  </si>
  <si>
    <t xml:space="preserve">   на неотопляеми помещения.</t>
  </si>
  <si>
    <r>
      <rPr>
        <b/>
        <sz val="11"/>
        <rFont val="Arial"/>
        <family val="2"/>
        <charset val="204"/>
      </rPr>
      <t xml:space="preserve">       </t>
    </r>
    <r>
      <rPr>
        <b/>
        <u/>
        <sz val="11"/>
        <rFont val="Arial"/>
        <family val="2"/>
        <charset val="204"/>
      </rPr>
      <t>Забележка:</t>
    </r>
  </si>
  <si>
    <t>6. Стоманобетонова плоча</t>
  </si>
  <si>
    <t>7. Вътрешна мазилка</t>
  </si>
  <si>
    <t>2. Топлоизолация XPS</t>
  </si>
  <si>
    <t>Клас F</t>
  </si>
  <si>
    <t>Клас G</t>
  </si>
  <si>
    <t>Клас на енергопотребление</t>
  </si>
  <si>
    <t>EР</t>
  </si>
  <si>
    <t>ТЕЦ</t>
  </si>
  <si>
    <r>
      <t>Заб: Стойностите на α</t>
    </r>
    <r>
      <rPr>
        <i/>
        <vertAlign val="subscript"/>
        <sz val="14"/>
        <rFont val="Times New Roman"/>
        <family val="1"/>
        <charset val="204"/>
      </rPr>
      <t xml:space="preserve">S.c </t>
    </r>
    <r>
      <rPr>
        <i/>
        <sz val="14"/>
        <rFont val="Times New Roman"/>
        <family val="1"/>
        <charset val="204"/>
      </rPr>
      <t>се взимат от Табл. 8, т. 10.2.3, Приложение №3, Наредба №7</t>
    </r>
  </si>
  <si>
    <r>
      <t xml:space="preserve">        Степента на чернота на повърхността `</t>
    </r>
    <r>
      <rPr>
        <sz val="14"/>
        <rFont val="Arial"/>
        <family val="2"/>
        <charset val="204"/>
      </rPr>
      <t>ε</t>
    </r>
    <r>
      <rPr>
        <i/>
        <sz val="14"/>
        <rFont val="Times New Roman"/>
        <family val="1"/>
        <charset val="204"/>
      </rPr>
      <t>` е приета 0,9 за непрозрачни елементи</t>
    </r>
  </si>
  <si>
    <t>Спокойно седнал (театър, кино)</t>
  </si>
  <si>
    <t>Седнал, лека работа (писане) - училище, офис</t>
  </si>
  <si>
    <t>Седнал, лека работа (печатане) - офиси</t>
  </si>
  <si>
    <t>Прав, бавно ходене - магазини и складове</t>
  </si>
  <si>
    <t>Лека работа - завод</t>
  </si>
  <si>
    <t>Средна работа - завод, ходене, танцуване</t>
  </si>
  <si>
    <t>Тежка работа - завод, вдигане на тежести, боулинг</t>
  </si>
  <si>
    <t>Тежка работа - спорт</t>
  </si>
  <si>
    <t>Данни от табл.20 на методика към Наредба 05/15 (БСА 2006-7бр)</t>
  </si>
  <si>
    <t>Определяне на вътрешни топлинни източници</t>
  </si>
  <si>
    <t>Брой на обитателите на сградата</t>
  </si>
  <si>
    <t>Топлинен поток отделян от хора</t>
  </si>
  <si>
    <t>Фактор определящ престоя на хората в сградата</t>
  </si>
  <si>
    <t>Определяне на топлина от хора за 1час</t>
  </si>
  <si>
    <r>
      <t>F</t>
    </r>
    <r>
      <rPr>
        <i/>
        <vertAlign val="subscript"/>
        <sz val="12"/>
        <rFont val="Arial"/>
        <family val="2"/>
        <charset val="204"/>
      </rPr>
      <t>hor</t>
    </r>
    <r>
      <rPr>
        <i/>
        <sz val="12"/>
        <rFont val="Arial"/>
        <family val="2"/>
        <charset val="204"/>
      </rPr>
      <t>=</t>
    </r>
  </si>
  <si>
    <r>
      <t>F</t>
    </r>
    <r>
      <rPr>
        <i/>
        <vertAlign val="subscript"/>
        <sz val="12"/>
        <rFont val="Arial"/>
        <family val="2"/>
        <charset val="204"/>
      </rPr>
      <t>ov</t>
    </r>
    <r>
      <rPr>
        <i/>
        <sz val="12"/>
        <rFont val="Arial"/>
        <family val="2"/>
        <charset val="204"/>
      </rPr>
      <t>=</t>
    </r>
  </si>
  <si>
    <r>
      <t>F</t>
    </r>
    <r>
      <rPr>
        <i/>
        <vertAlign val="subscript"/>
        <sz val="12"/>
        <rFont val="Arial"/>
        <family val="2"/>
        <charset val="204"/>
      </rPr>
      <t>fin</t>
    </r>
    <r>
      <rPr>
        <i/>
        <sz val="12"/>
        <rFont val="Arial"/>
        <family val="2"/>
        <charset val="204"/>
      </rPr>
      <t>=</t>
    </r>
  </si>
  <si>
    <t>Топлина от уреди отделена в сградата</t>
  </si>
  <si>
    <r>
      <t>I</t>
    </r>
    <r>
      <rPr>
        <b/>
        <vertAlign val="subscript"/>
        <sz val="12"/>
        <rFont val="Arial"/>
        <family val="2"/>
        <charset val="204"/>
      </rPr>
      <t>sol, си</t>
    </r>
  </si>
  <si>
    <r>
      <t>I</t>
    </r>
    <r>
      <rPr>
        <b/>
        <vertAlign val="subscript"/>
        <sz val="12"/>
        <rFont val="Arial"/>
        <family val="2"/>
        <charset val="204"/>
      </rPr>
      <t>sol, юи</t>
    </r>
  </si>
  <si>
    <r>
      <t>I</t>
    </r>
    <r>
      <rPr>
        <b/>
        <vertAlign val="subscript"/>
        <sz val="12"/>
        <rFont val="Arial"/>
        <family val="2"/>
        <charset val="204"/>
      </rPr>
      <t>sol, юз</t>
    </r>
  </si>
  <si>
    <r>
      <t>I</t>
    </r>
    <r>
      <rPr>
        <b/>
        <vertAlign val="subscript"/>
        <sz val="12"/>
        <rFont val="Arial"/>
        <family val="2"/>
        <charset val="204"/>
      </rPr>
      <t>sol, сз</t>
    </r>
  </si>
  <si>
    <t>Амплитуда на средномесечна температура</t>
  </si>
  <si>
    <t>София</t>
  </si>
  <si>
    <t>Северна</t>
  </si>
  <si>
    <t>с въздух</t>
  </si>
  <si>
    <t>със земя</t>
  </si>
  <si>
    <t>Южна</t>
  </si>
  <si>
    <t>България</t>
  </si>
  <si>
    <t>Черно-</t>
  </si>
  <si>
    <t>морие</t>
  </si>
  <si>
    <r>
      <t>Ф</t>
    </r>
    <r>
      <rPr>
        <b/>
        <vertAlign val="subscript"/>
        <sz val="12"/>
        <rFont val="Arial"/>
        <family val="2"/>
        <charset val="204"/>
      </rPr>
      <t>sol, си</t>
    </r>
  </si>
  <si>
    <r>
      <t>Ф</t>
    </r>
    <r>
      <rPr>
        <b/>
        <vertAlign val="subscript"/>
        <sz val="12"/>
        <rFont val="Arial"/>
        <family val="2"/>
        <charset val="204"/>
      </rPr>
      <t>sol, юи</t>
    </r>
  </si>
  <si>
    <r>
      <t>Ф</t>
    </r>
    <r>
      <rPr>
        <b/>
        <vertAlign val="subscript"/>
        <sz val="12"/>
        <rFont val="Arial"/>
        <family val="2"/>
        <charset val="204"/>
      </rPr>
      <t>sol, юз</t>
    </r>
  </si>
  <si>
    <r>
      <t>Ф</t>
    </r>
    <r>
      <rPr>
        <b/>
        <vertAlign val="subscript"/>
        <sz val="12"/>
        <rFont val="Arial"/>
        <family val="2"/>
        <charset val="204"/>
      </rPr>
      <t>sol, сз</t>
    </r>
  </si>
  <si>
    <r>
      <t>Общо: A</t>
    </r>
    <r>
      <rPr>
        <b/>
        <vertAlign val="subscript"/>
        <sz val="12"/>
        <rFont val="Arial"/>
        <family val="2"/>
        <charset val="204"/>
      </rPr>
      <t>sol,k</t>
    </r>
  </si>
  <si>
    <r>
      <t>Общо: Ф</t>
    </r>
    <r>
      <rPr>
        <b/>
        <vertAlign val="subscript"/>
        <sz val="12"/>
        <rFont val="Arial"/>
        <family val="2"/>
        <charset val="204"/>
      </rPr>
      <t>r</t>
    </r>
  </si>
  <si>
    <r>
      <t>I</t>
    </r>
    <r>
      <rPr>
        <b/>
        <vertAlign val="subscript"/>
        <sz val="12"/>
        <rFont val="Arial"/>
        <family val="2"/>
        <charset val="204"/>
      </rPr>
      <t>sol, хор</t>
    </r>
  </si>
  <si>
    <r>
      <t>Ф</t>
    </r>
    <r>
      <rPr>
        <b/>
        <vertAlign val="subscript"/>
        <sz val="12"/>
        <rFont val="Arial"/>
        <family val="2"/>
        <charset val="204"/>
      </rPr>
      <t>sol, хор</t>
    </r>
  </si>
  <si>
    <t>Клас на масивност на конструкцията</t>
  </si>
  <si>
    <t>Заб: Масивност на конструкцията при: `Много лека`  D=1; `Лека` D=2; `Средна` D=3;</t>
  </si>
  <si>
    <t xml:space="preserve">       `Тежка` D=4; `Много тежка` D=5</t>
  </si>
  <si>
    <t>D=</t>
  </si>
  <si>
    <t>Ефективен топлинен капацитет на зоната</t>
  </si>
  <si>
    <t>Температура на затопляне на водата за БГВ</t>
  </si>
  <si>
    <r>
      <t>Q</t>
    </r>
    <r>
      <rPr>
        <b/>
        <vertAlign val="subscript"/>
        <sz val="12"/>
        <rFont val="Arial"/>
        <family val="2"/>
        <charset val="204"/>
      </rPr>
      <t>H,nd</t>
    </r>
  </si>
  <si>
    <r>
      <t>Q</t>
    </r>
    <r>
      <rPr>
        <b/>
        <vertAlign val="subscript"/>
        <sz val="12"/>
        <rFont val="Arial"/>
        <family val="2"/>
        <charset val="204"/>
      </rPr>
      <t>H,gn</t>
    </r>
  </si>
  <si>
    <r>
      <t>Q</t>
    </r>
    <r>
      <rPr>
        <b/>
        <vertAlign val="subscript"/>
        <sz val="12"/>
        <rFont val="Arial"/>
        <family val="2"/>
        <charset val="204"/>
      </rPr>
      <t>H,ht</t>
    </r>
  </si>
  <si>
    <r>
      <t>γ</t>
    </r>
    <r>
      <rPr>
        <b/>
        <vertAlign val="subscript"/>
        <sz val="12"/>
        <rFont val="Arial"/>
        <family val="2"/>
        <charset val="204"/>
      </rPr>
      <t>H</t>
    </r>
  </si>
  <si>
    <t>Температура на постъпващият въздух, зимен режим</t>
  </si>
  <si>
    <t>Температура на постъпващият въздух, летен режим</t>
  </si>
  <si>
    <r>
      <t>Q</t>
    </r>
    <r>
      <rPr>
        <b/>
        <vertAlign val="subscript"/>
        <sz val="12"/>
        <rFont val="Arial"/>
        <family val="2"/>
        <charset val="204"/>
      </rPr>
      <t>С,ht</t>
    </r>
  </si>
  <si>
    <r>
      <t>Q</t>
    </r>
    <r>
      <rPr>
        <b/>
        <vertAlign val="subscript"/>
        <sz val="12"/>
        <rFont val="Arial"/>
        <family val="2"/>
        <charset val="204"/>
      </rPr>
      <t>ht, общо</t>
    </r>
  </si>
  <si>
    <t>Септ</t>
  </si>
  <si>
    <r>
      <t>Т</t>
    </r>
    <r>
      <rPr>
        <i/>
        <vertAlign val="subscript"/>
        <sz val="12"/>
        <rFont val="Arial"/>
        <family val="2"/>
        <charset val="204"/>
      </rPr>
      <t>хсгр</t>
    </r>
    <r>
      <rPr>
        <i/>
        <sz val="12"/>
        <rFont val="Arial"/>
        <family val="2"/>
        <charset val="204"/>
      </rPr>
      <t>=</t>
    </r>
  </si>
  <si>
    <r>
      <t>Q</t>
    </r>
    <r>
      <rPr>
        <i/>
        <vertAlign val="subscript"/>
        <sz val="12"/>
        <rFont val="Arial"/>
        <family val="2"/>
        <charset val="204"/>
      </rPr>
      <t>х</t>
    </r>
    <r>
      <rPr>
        <i/>
        <sz val="12"/>
        <rFont val="Arial"/>
        <family val="2"/>
        <charset val="204"/>
      </rPr>
      <t>=</t>
    </r>
  </si>
  <si>
    <r>
      <t>Ф</t>
    </r>
    <r>
      <rPr>
        <i/>
        <vertAlign val="subscript"/>
        <sz val="12"/>
        <rFont val="Arial"/>
        <family val="2"/>
        <charset val="204"/>
      </rPr>
      <t>хора</t>
    </r>
    <r>
      <rPr>
        <i/>
        <sz val="12"/>
        <rFont val="Arial"/>
        <family val="2"/>
        <charset val="204"/>
      </rPr>
      <t>=</t>
    </r>
  </si>
  <si>
    <r>
      <t>Ф</t>
    </r>
    <r>
      <rPr>
        <i/>
        <vertAlign val="subscript"/>
        <sz val="12"/>
        <rFont val="Arial"/>
        <family val="2"/>
        <charset val="204"/>
      </rPr>
      <t>уреди</t>
    </r>
    <r>
      <rPr>
        <i/>
        <sz val="12"/>
        <rFont val="Arial"/>
        <family val="2"/>
        <charset val="204"/>
      </rPr>
      <t>=</t>
    </r>
  </si>
  <si>
    <t xml:space="preserve">        Коефициентът на пребиваване на хората е изчислен пропорционално, на база на престоя </t>
  </si>
  <si>
    <t>Площ на пода на отопляемото пространство граничещо със земя</t>
  </si>
  <si>
    <t>Периметър на пода на отопляемото пространство граничещо със земя</t>
  </si>
  <si>
    <t>Коефициент на топлопреминаване на стената на неотопл етаж към земя</t>
  </si>
  <si>
    <t>Площ на подземния отопляем етаж</t>
  </si>
  <si>
    <t>Периметър на подземният отопляем етаж</t>
  </si>
  <si>
    <t>Височина на стените на отопляем подземен  етаж в контакт със земята</t>
  </si>
  <si>
    <t>Пространствена характеристика на пода</t>
  </si>
  <si>
    <t>Действителен коефициент на топлопреминаване на покривната</t>
  </si>
  <si>
    <r>
      <t>Q</t>
    </r>
    <r>
      <rPr>
        <b/>
        <vertAlign val="subscript"/>
        <sz val="12"/>
        <rFont val="Arial"/>
        <family val="2"/>
        <charset val="204"/>
      </rPr>
      <t>ht, прирав</t>
    </r>
  </si>
  <si>
    <t xml:space="preserve">    Граничната стойност на коефициента на топлопреминаване при който няма да се</t>
  </si>
  <si>
    <t xml:space="preserve">      получи конденз от вътрешна страна на елемента, при режим на отопление.</t>
  </si>
  <si>
    <t>Вътрешна средно обемна температура на сградата за отопление</t>
  </si>
  <si>
    <t>Вътрешна средно обемна температура на сградата за охлаждане</t>
  </si>
  <si>
    <t>Дължина на топлинен мост стена към покрив</t>
  </si>
  <si>
    <t>Референтни коефициенти на топлопреминаване на ограждащи конструкци и елементи съгласно</t>
  </si>
  <si>
    <t>Описание на електроуредите в сградата влияещи на топлинния баланс</t>
  </si>
  <si>
    <t>ext</t>
  </si>
  <si>
    <t xml:space="preserve">   Температура на подавания въздух при зимен режим</t>
  </si>
  <si>
    <t xml:space="preserve">   Температура на подаван въздух при летен режим</t>
  </si>
  <si>
    <t xml:space="preserve">   Влажност на подаваният въздух при летен режим</t>
  </si>
  <si>
    <t xml:space="preserve">   Влажност на подаваният въздух при зимен режим</t>
  </si>
  <si>
    <t>брой часове в месеца</t>
  </si>
  <si>
    <r>
      <t>W/m</t>
    </r>
    <r>
      <rPr>
        <i/>
        <vertAlign val="superscript"/>
        <sz val="12"/>
        <rFont val="Arial"/>
        <family val="2"/>
        <charset val="204"/>
      </rPr>
      <t>2</t>
    </r>
  </si>
  <si>
    <t xml:space="preserve">Помощните параметри при определяне на факторите на оползотворяване на </t>
  </si>
  <si>
    <t xml:space="preserve">   данни. Използване е същата методика на изчисление като са определени реалните</t>
  </si>
  <si>
    <t>Описание на осветителните тела, влияещи на топлинния баланс</t>
  </si>
  <si>
    <t>Осветление</t>
  </si>
  <si>
    <t>3. Изчисленията за реалният общ годишен разход на енергия, съгласно проектните</t>
  </si>
  <si>
    <r>
      <t>Осветление Q</t>
    </r>
    <r>
      <rPr>
        <b/>
        <vertAlign val="subscript"/>
        <sz val="10"/>
        <rFont val="Arial"/>
        <family val="2"/>
        <charset val="204"/>
      </rPr>
      <t>int</t>
    </r>
  </si>
  <si>
    <t>Отдавана енергия в отопляемото пространство, приравнена за 1ч</t>
  </si>
  <si>
    <t>Емисии СО2</t>
  </si>
  <si>
    <t>Вентилация</t>
  </si>
  <si>
    <t>БГВ</t>
  </si>
  <si>
    <r>
      <t>kWh/m</t>
    </r>
    <r>
      <rPr>
        <vertAlign val="superscript"/>
        <sz val="12"/>
        <rFont val="Arial"/>
        <family val="2"/>
        <charset val="204"/>
      </rPr>
      <t>2</t>
    </r>
  </si>
  <si>
    <t>Специфичен разход на енергия</t>
  </si>
  <si>
    <t>Нетна енергия</t>
  </si>
  <si>
    <t>Годишен разход на енергия</t>
  </si>
  <si>
    <t>Енергия от възобновяеми източници</t>
  </si>
  <si>
    <t>Потребна енергия</t>
  </si>
  <si>
    <t>По норми</t>
  </si>
  <si>
    <t>По проект</t>
  </si>
  <si>
    <t>Енергийни характеристики</t>
  </si>
  <si>
    <t>Енергийни характеристики на сградата</t>
  </si>
  <si>
    <t>Разпределение на годишният разход на потребна енергия</t>
  </si>
  <si>
    <t>Проектни енергийни характеристики по потребна енергия</t>
  </si>
  <si>
    <t>MWh</t>
  </si>
  <si>
    <t>Стени</t>
  </si>
  <si>
    <t>Отоплителни денградуси</t>
  </si>
  <si>
    <t>Вентилация зимен период</t>
  </si>
  <si>
    <t>Вентилация летен период</t>
  </si>
  <si>
    <t>Гореща вода зимен период</t>
  </si>
  <si>
    <t>Гореща вода летен период</t>
  </si>
  <si>
    <t>Общ,  kWh</t>
  </si>
  <si>
    <t>Год. разход на потребна енергия</t>
  </si>
  <si>
    <r>
      <t>Специфичен, kWh/m</t>
    </r>
    <r>
      <rPr>
        <vertAlign val="superscript"/>
        <sz val="12"/>
        <rFont val="Arial"/>
        <family val="2"/>
        <charset val="204"/>
      </rPr>
      <t>2</t>
    </r>
  </si>
  <si>
    <t xml:space="preserve">   коефициенти на топлопреминаване през ограждащите елементи за конкретната</t>
  </si>
  <si>
    <t xml:space="preserve">   сграда</t>
  </si>
  <si>
    <t>Съпротивление на подовата конструкция</t>
  </si>
  <si>
    <t>Дебелина на надземната част на стената</t>
  </si>
  <si>
    <t>w=</t>
  </si>
  <si>
    <t xml:space="preserve">     λ - коефициент на топлопроводност на земята, W/(mK)          λ =2W/(mK)</t>
  </si>
  <si>
    <t>Височина на стените в контакт с въздух на подземния неотопляем етаж</t>
  </si>
  <si>
    <r>
      <t>w</t>
    </r>
    <r>
      <rPr>
        <i/>
        <sz val="12"/>
        <rFont val="Arial"/>
        <family val="2"/>
        <charset val="204"/>
      </rPr>
      <t>=</t>
    </r>
  </si>
  <si>
    <t>Площ на вентилационните отвори на подземният етаж за единица дължина</t>
  </si>
  <si>
    <t>Кратност на въздухообмен от инфилтрация</t>
  </si>
  <si>
    <r>
      <t>h</t>
    </r>
    <r>
      <rPr>
        <i/>
        <vertAlign val="superscript"/>
        <sz val="12"/>
        <rFont val="Arial"/>
        <family val="2"/>
        <charset val="204"/>
      </rPr>
      <t>-1</t>
    </r>
  </si>
  <si>
    <t>темп</t>
  </si>
  <si>
    <t>О: Просто трябва да въведете номер на климатична зона и всичко се въвежда автоматично.</t>
  </si>
  <si>
    <r>
      <t xml:space="preserve">   от периметъра му, m</t>
    </r>
    <r>
      <rPr>
        <i/>
        <vertAlign val="superscript"/>
        <sz val="12"/>
        <rFont val="Arial"/>
        <family val="2"/>
        <charset val="204"/>
      </rPr>
      <t>2</t>
    </r>
    <r>
      <rPr>
        <i/>
        <sz val="12"/>
        <rFont val="Arial"/>
        <family val="2"/>
        <charset val="204"/>
      </rPr>
      <t>/m</t>
    </r>
  </si>
  <si>
    <t>ε=</t>
  </si>
  <si>
    <t>Средна скорост на вятъра на височина 10м, m/s</t>
  </si>
  <si>
    <t>v=</t>
  </si>
  <si>
    <t>НЕОБХОДИМА МОЩНОСТ НА ТОПЛОИЗТОЧНИК ЗА СГРАДАТА</t>
  </si>
  <si>
    <t>Вид на ограждащият елемент</t>
  </si>
  <si>
    <t>Коефициент</t>
  </si>
  <si>
    <t>Вн. Темп</t>
  </si>
  <si>
    <t>Втр.темп</t>
  </si>
  <si>
    <t>Стена тип 1</t>
  </si>
  <si>
    <t>Прозорец тип 1</t>
  </si>
  <si>
    <t>Прозорец тип 2</t>
  </si>
  <si>
    <t>Стена тип 2</t>
  </si>
  <si>
    <t>Стена тип 3</t>
  </si>
  <si>
    <t>U, W/m2K</t>
  </si>
  <si>
    <t>m2</t>
  </si>
  <si>
    <t>Мощност</t>
  </si>
  <si>
    <t>Под тип 1 - еркер</t>
  </si>
  <si>
    <t>Под тип 2 - земя</t>
  </si>
  <si>
    <t>Под тип 3 - земя, подземен</t>
  </si>
  <si>
    <t>Под тип 4 - неотопляемо</t>
  </si>
  <si>
    <t>Покрив тип 1 - с възд. межд</t>
  </si>
  <si>
    <t>Покрив тип 2 - скатен</t>
  </si>
  <si>
    <t>Покрив тип 3 - плосък</t>
  </si>
  <si>
    <t>Необходима мощност на топлоизточника за сградата</t>
  </si>
  <si>
    <t>Q=</t>
  </si>
  <si>
    <t>Приложение №4</t>
  </si>
  <si>
    <t>Фактор на зъщита от вятъра (определен съгл. Таблица 2 т.5.2.3.5</t>
  </si>
  <si>
    <t xml:space="preserve">   Приложение №3, Наредба №7</t>
  </si>
  <si>
    <r>
      <t>f</t>
    </r>
    <r>
      <rPr>
        <i/>
        <vertAlign val="subscript"/>
        <sz val="12"/>
        <rFont val="Arial"/>
        <family val="2"/>
        <charset val="204"/>
      </rPr>
      <t>w</t>
    </r>
    <r>
      <rPr>
        <i/>
        <sz val="12"/>
        <rFont val="Arial"/>
        <family val="2"/>
        <charset val="204"/>
      </rPr>
      <t>=</t>
    </r>
  </si>
  <si>
    <t>Еквивалентния коефициент на топлообмен между подземния етаж и околния</t>
  </si>
  <si>
    <t>въздух през стените над нивото на терена</t>
  </si>
  <si>
    <r>
      <t>U</t>
    </r>
    <r>
      <rPr>
        <b/>
        <i/>
        <vertAlign val="subscript"/>
        <sz val="14"/>
        <rFont val="Arial"/>
        <family val="2"/>
        <charset val="204"/>
      </rPr>
      <t>х</t>
    </r>
    <r>
      <rPr>
        <b/>
        <i/>
        <sz val="14"/>
        <rFont val="Arial"/>
        <family val="2"/>
        <charset val="204"/>
      </rPr>
      <t>=</t>
    </r>
  </si>
  <si>
    <r>
      <t>U</t>
    </r>
    <r>
      <rPr>
        <b/>
        <i/>
        <vertAlign val="subscript"/>
        <sz val="14"/>
        <rFont val="Arial"/>
        <family val="2"/>
        <charset val="204"/>
      </rPr>
      <t>g</t>
    </r>
    <r>
      <rPr>
        <b/>
        <i/>
        <sz val="14"/>
        <rFont val="Arial"/>
        <family val="2"/>
        <charset val="204"/>
      </rPr>
      <t>=</t>
    </r>
  </si>
  <si>
    <t>Коефициент на топлопреминаване през пода на подземния етаж</t>
  </si>
  <si>
    <t>Ако подът на подземният етаж е на дълбочина z по-голяма от 0,5 под нивото на земята, е</t>
  </si>
  <si>
    <t>необходимо да се отчете и топлопреминаването през стените, които са в контакт със земята</t>
  </si>
  <si>
    <t>Коефициент на топлопреминаване през пода на подземния етаж с отчитане</t>
  </si>
  <si>
    <t>на топлопреминаването през стените в контакт със земята</t>
  </si>
  <si>
    <r>
      <t>U</t>
    </r>
    <r>
      <rPr>
        <b/>
        <i/>
        <sz val="14"/>
        <rFont val="Arial"/>
        <family val="2"/>
        <charset val="204"/>
      </rPr>
      <t>=</t>
    </r>
  </si>
  <si>
    <t>Заб: Коефициент на топлопреминаване през пода на отопляем подземният етаж се определя</t>
  </si>
  <si>
    <t xml:space="preserve">        автоматично в зависимост от дълбочината на пода на отопляемото пространство</t>
  </si>
  <si>
    <r>
      <t>Ψ</t>
    </r>
    <r>
      <rPr>
        <b/>
        <vertAlign val="subscript"/>
        <sz val="12"/>
        <rFont val="Arial"/>
        <family val="2"/>
        <charset val="204"/>
      </rPr>
      <t>е</t>
    </r>
  </si>
  <si>
    <r>
      <t>Еквивалентна дебелина на пода - d</t>
    </r>
    <r>
      <rPr>
        <i/>
        <vertAlign val="subscript"/>
        <sz val="12"/>
        <rFont val="Arial"/>
        <family val="2"/>
        <charset val="204"/>
      </rPr>
      <t xml:space="preserve">t </t>
    </r>
    <r>
      <rPr>
        <i/>
        <sz val="12"/>
        <rFont val="Arial"/>
        <family val="2"/>
        <charset val="204"/>
      </rPr>
      <t>= d</t>
    </r>
    <r>
      <rPr>
        <i/>
        <vertAlign val="subscript"/>
        <sz val="12"/>
        <rFont val="Arial"/>
        <family val="2"/>
        <charset val="204"/>
      </rPr>
      <t>g</t>
    </r>
  </si>
  <si>
    <t xml:space="preserve">Височина на подземна част на стена граничеща със земя при неотопляем </t>
  </si>
  <si>
    <t xml:space="preserve">    подземен етаж</t>
  </si>
  <si>
    <t>Височина на надземна част на стена граничеща със земя при неотопляем</t>
  </si>
  <si>
    <t>Площ на стена граничеща със земя при отопляем подземен етаж</t>
  </si>
  <si>
    <t xml:space="preserve">Височина на подземна част на стена граничеща със земя при отопляем </t>
  </si>
  <si>
    <t>Височина на надземна част на стена граничеща със земя при отопляем</t>
  </si>
  <si>
    <t>Наименование</t>
  </si>
  <si>
    <t xml:space="preserve">δ </t>
  </si>
  <si>
    <t xml:space="preserve">λ </t>
  </si>
  <si>
    <t>W/mK</t>
  </si>
  <si>
    <t>АРХИТЕКТУРНО КОНСТРУКТИВНИ ДЕТАЙЛИ</t>
  </si>
  <si>
    <t>Брой часове на работа на вентилацията на ден</t>
  </si>
  <si>
    <r>
      <t>q</t>
    </r>
    <r>
      <rPr>
        <i/>
        <vertAlign val="subscript"/>
        <sz val="12"/>
        <rFont val="Arial"/>
        <family val="2"/>
        <charset val="204"/>
      </rPr>
      <t>f</t>
    </r>
    <r>
      <rPr>
        <i/>
        <sz val="12"/>
        <rFont val="Arial"/>
        <family val="2"/>
        <charset val="204"/>
      </rPr>
      <t>=</t>
    </r>
  </si>
  <si>
    <r>
      <t>q</t>
    </r>
    <r>
      <rPr>
        <i/>
        <vertAlign val="subscript"/>
        <sz val="12"/>
        <rFont val="Arial"/>
        <family val="2"/>
        <charset val="204"/>
      </rPr>
      <t>е</t>
    </r>
    <r>
      <rPr>
        <i/>
        <sz val="12"/>
        <rFont val="Arial"/>
        <family val="2"/>
        <charset val="204"/>
      </rPr>
      <t>=</t>
    </r>
  </si>
  <si>
    <t>Периметър</t>
  </si>
  <si>
    <t>Заб: Тъй като се работи само по външни размери, линейният коефициент на топлопреминаване</t>
  </si>
  <si>
    <r>
      <t xml:space="preserve">        на топлинните мостове е взет по външни размери (Ψ</t>
    </r>
    <r>
      <rPr>
        <i/>
        <vertAlign val="subscript"/>
        <sz val="12"/>
        <rFont val="Arial"/>
        <family val="2"/>
        <charset val="204"/>
      </rPr>
      <t>е</t>
    </r>
    <r>
      <rPr>
        <i/>
        <sz val="12"/>
        <rFont val="Arial"/>
        <family val="2"/>
        <charset val="204"/>
      </rPr>
      <t>), съгласно БДС EN ISO 14683</t>
    </r>
  </si>
  <si>
    <r>
      <t>Дебит за механична вентилация, подаван въздух [m</t>
    </r>
    <r>
      <rPr>
        <i/>
        <vertAlign val="superscript"/>
        <sz val="14"/>
        <rFont val="Times New Roman"/>
        <family val="1"/>
        <charset val="204"/>
      </rPr>
      <t>3</t>
    </r>
    <r>
      <rPr>
        <i/>
        <sz val="14"/>
        <rFont val="Times New Roman"/>
        <family val="1"/>
        <charset val="204"/>
      </rPr>
      <t>/ч]</t>
    </r>
  </si>
  <si>
    <r>
      <t>Дебит за механична вентилация, изсмукван въздух [m</t>
    </r>
    <r>
      <rPr>
        <i/>
        <vertAlign val="superscript"/>
        <sz val="14"/>
        <rFont val="Times New Roman"/>
        <family val="1"/>
        <charset val="204"/>
      </rPr>
      <t>3</t>
    </r>
    <r>
      <rPr>
        <i/>
        <sz val="14"/>
        <rFont val="Times New Roman"/>
        <family val="1"/>
        <charset val="204"/>
      </rPr>
      <t>/ч]</t>
    </r>
  </si>
  <si>
    <r>
      <t>Средномесечен часов дебит за механична вентилация, подаван в-х [m</t>
    </r>
    <r>
      <rPr>
        <i/>
        <vertAlign val="superscript"/>
        <sz val="14"/>
        <rFont val="Times New Roman"/>
        <family val="1"/>
        <charset val="204"/>
      </rPr>
      <t>3</t>
    </r>
    <r>
      <rPr>
        <i/>
        <sz val="14"/>
        <rFont val="Times New Roman"/>
        <family val="1"/>
        <charset val="204"/>
      </rPr>
      <t>/ч]</t>
    </r>
  </si>
  <si>
    <r>
      <t>θ</t>
    </r>
    <r>
      <rPr>
        <b/>
        <vertAlign val="subscript"/>
        <sz val="10"/>
        <rFont val="Arial"/>
        <family val="2"/>
        <charset val="204"/>
      </rPr>
      <t>е=</t>
    </r>
  </si>
  <si>
    <r>
      <t>Х</t>
    </r>
    <r>
      <rPr>
        <b/>
        <vertAlign val="subscript"/>
        <sz val="10"/>
        <rFont val="Arial"/>
        <family val="2"/>
        <charset val="204"/>
      </rPr>
      <t>е=</t>
    </r>
  </si>
  <si>
    <r>
      <t>Средномесечен часов дебит за механична вентилация, изсмукван в-х [m</t>
    </r>
    <r>
      <rPr>
        <i/>
        <vertAlign val="superscript"/>
        <sz val="14"/>
        <rFont val="Times New Roman"/>
        <family val="1"/>
        <charset val="204"/>
      </rPr>
      <t>3</t>
    </r>
    <r>
      <rPr>
        <i/>
        <sz val="14"/>
        <rFont val="Times New Roman"/>
        <family val="1"/>
        <charset val="204"/>
      </rPr>
      <t>/ч]</t>
    </r>
  </si>
  <si>
    <t xml:space="preserve">   съответно за отоплителният и охладителния период.</t>
  </si>
  <si>
    <t>Отоплителен период</t>
  </si>
  <si>
    <t>Охладителен период</t>
  </si>
  <si>
    <r>
      <t xml:space="preserve">Резултатите за реален </t>
    </r>
    <r>
      <rPr>
        <b/>
        <i/>
        <sz val="14"/>
        <rFont val="Times New Roman"/>
        <family val="1"/>
        <charset val="204"/>
      </rPr>
      <t>общ годишен разход на енергия за отопление, охлаждане</t>
    </r>
  </si>
  <si>
    <r>
      <t xml:space="preserve">   </t>
    </r>
    <r>
      <rPr>
        <b/>
        <i/>
        <sz val="14"/>
        <rFont val="Times New Roman"/>
        <family val="1"/>
        <charset val="204"/>
      </rPr>
      <t>вентилация, гореща вода, осветление и уреди</t>
    </r>
    <r>
      <rPr>
        <sz val="14"/>
        <rFont val="Times New Roman"/>
        <family val="1"/>
        <charset val="204"/>
      </rPr>
      <t xml:space="preserve"> са показани в табличен вид за</t>
    </r>
  </si>
  <si>
    <t>Под</t>
  </si>
  <si>
    <r>
      <t>Q</t>
    </r>
    <r>
      <rPr>
        <b/>
        <vertAlign val="subscript"/>
        <sz val="12"/>
        <rFont val="Arial"/>
        <family val="2"/>
        <charset val="204"/>
      </rPr>
      <t>vent</t>
    </r>
  </si>
  <si>
    <t>Работни часове на сградата</t>
  </si>
  <si>
    <t>Делнични дни</t>
  </si>
  <si>
    <t>Събота</t>
  </si>
  <si>
    <t>Неделя</t>
  </si>
  <si>
    <t>Работни часове на отоплителната инстал.</t>
  </si>
  <si>
    <t>начало</t>
  </si>
  <si>
    <t>край</t>
  </si>
  <si>
    <t>нач.</t>
  </si>
  <si>
    <t>Общо часове</t>
  </si>
  <si>
    <t>Сградата има ли отопление</t>
  </si>
  <si>
    <t>Сградата има ли охлаждане</t>
  </si>
  <si>
    <t>Хориз</t>
  </si>
  <si>
    <t>Хор</t>
  </si>
  <si>
    <t>Други</t>
  </si>
  <si>
    <t>Работни часове на охладителната инстал.</t>
  </si>
  <si>
    <t xml:space="preserve"> 2. Режим на обитаване на сградата и параметри на микроклимата и параметри на</t>
  </si>
  <si>
    <t>КОЛИЧЕСТВЕНА СМЕТКА</t>
  </si>
  <si>
    <t>Да се отчитат ли топлинните мостове</t>
  </si>
  <si>
    <t>Заб: При `ДА` - задава се `1`, в противен случай `0`</t>
  </si>
  <si>
    <r>
      <t>H</t>
    </r>
    <r>
      <rPr>
        <vertAlign val="subscript"/>
        <sz val="14"/>
        <rFont val="Arial"/>
        <family val="2"/>
        <charset val="204"/>
      </rPr>
      <t>D</t>
    </r>
    <r>
      <rPr>
        <sz val="14"/>
        <rFont val="Arial"/>
        <family val="2"/>
        <charset val="204"/>
      </rPr>
      <t xml:space="preserve"> - Коефициенти и Топлинни мостове</t>
    </r>
  </si>
  <si>
    <t>A*U</t>
  </si>
  <si>
    <r>
      <t>l</t>
    </r>
    <r>
      <rPr>
        <vertAlign val="subscript"/>
        <sz val="14"/>
        <rFont val="Arial"/>
        <family val="2"/>
        <charset val="204"/>
      </rPr>
      <t>k</t>
    </r>
    <r>
      <rPr>
        <sz val="14"/>
        <rFont val="Arial"/>
        <family val="2"/>
        <charset val="204"/>
      </rPr>
      <t>*Ψ</t>
    </r>
    <r>
      <rPr>
        <vertAlign val="subscript"/>
        <sz val="14"/>
        <rFont val="Arial"/>
        <family val="2"/>
        <charset val="204"/>
      </rPr>
      <t>е</t>
    </r>
  </si>
  <si>
    <r>
      <t>H</t>
    </r>
    <r>
      <rPr>
        <vertAlign val="subscript"/>
        <sz val="14"/>
        <rFont val="Arial"/>
        <family val="2"/>
        <charset val="204"/>
      </rPr>
      <t>g</t>
    </r>
    <r>
      <rPr>
        <sz val="14"/>
        <rFont val="Arial"/>
        <family val="2"/>
        <charset val="204"/>
      </rPr>
      <t xml:space="preserve"> - Коефициенти и Топлинни мостове</t>
    </r>
  </si>
  <si>
    <t>5. Топлоизолация минерална вата м/у греди</t>
  </si>
  <si>
    <t xml:space="preserve">    сградните инсталации</t>
  </si>
  <si>
    <t>Коефициент на пребиваване на хората през зимен режим в сградата</t>
  </si>
  <si>
    <t xml:space="preserve">        на хората в сградата през делнични, почивни и празнични дни. Коефициентът на</t>
  </si>
  <si>
    <t xml:space="preserve">        mребиваване влияе на топлината излъчвана вътре в сградата от хората за режимите на</t>
  </si>
  <si>
    <t xml:space="preserve">        отопление и охлаждане.</t>
  </si>
  <si>
    <t>Дебит на нагнет. вент</t>
  </si>
  <si>
    <r>
      <t>U</t>
    </r>
    <r>
      <rPr>
        <b/>
        <i/>
        <vertAlign val="subscript"/>
        <sz val="14"/>
        <rFont val="Arial"/>
        <family val="2"/>
        <charset val="204"/>
      </rPr>
      <t>вр</t>
    </r>
    <r>
      <rPr>
        <b/>
        <i/>
        <sz val="14"/>
        <rFont val="Arial"/>
        <family val="2"/>
        <charset val="204"/>
      </rPr>
      <t>=</t>
    </r>
  </si>
  <si>
    <t>Фритюрник</t>
  </si>
  <si>
    <t>ІІ етаж</t>
  </si>
  <si>
    <t>ІІІ етаж</t>
  </si>
  <si>
    <t>ІV етаж</t>
  </si>
  <si>
    <t>V етаж</t>
  </si>
  <si>
    <t>VІ етаж</t>
  </si>
  <si>
    <t>VІІ етаж</t>
  </si>
  <si>
    <t>VІІІ етаж</t>
  </si>
  <si>
    <t>Нагнетателна вентилация 1</t>
  </si>
  <si>
    <t>Нагнетателна вентилация 2</t>
  </si>
  <si>
    <t>Нагнетателна вентилация 3</t>
  </si>
  <si>
    <t>Режим на работа и дебит на нагнетателни вентилации</t>
  </si>
  <si>
    <t>Нагнетателна вентилация 4</t>
  </si>
  <si>
    <t>Нагнетателна вентилация 5</t>
  </si>
  <si>
    <t>делник</t>
  </si>
  <si>
    <t xml:space="preserve">събота </t>
  </si>
  <si>
    <t>неделя</t>
  </si>
  <si>
    <t>часово приравнено към 1 седм</t>
  </si>
  <si>
    <t>Общ дебит на нагнетателни вентилации приравнение към съответният час на седмична база</t>
  </si>
  <si>
    <t>Час</t>
  </si>
  <si>
    <t>Дебит</t>
  </si>
  <si>
    <r>
      <t>F</t>
    </r>
    <r>
      <rPr>
        <i/>
        <vertAlign val="subscript"/>
        <sz val="12"/>
        <rFont val="Arial"/>
        <family val="2"/>
        <charset val="204"/>
      </rPr>
      <t>sh</t>
    </r>
    <r>
      <rPr>
        <i/>
        <sz val="12"/>
        <rFont val="Arial"/>
        <family val="2"/>
        <charset val="204"/>
      </rPr>
      <t>=</t>
    </r>
  </si>
  <si>
    <t>януари</t>
  </si>
  <si>
    <t>февруари</t>
  </si>
  <si>
    <t>март</t>
  </si>
  <si>
    <t>април</t>
  </si>
  <si>
    <t>май</t>
  </si>
  <si>
    <t>юни</t>
  </si>
  <si>
    <t>юли</t>
  </si>
  <si>
    <t>август</t>
  </si>
  <si>
    <t>септември</t>
  </si>
  <si>
    <t>октомври</t>
  </si>
  <si>
    <t>ноември</t>
  </si>
  <si>
    <t>декември</t>
  </si>
  <si>
    <t>Инсталация</t>
  </si>
  <si>
    <t>Хора</t>
  </si>
  <si>
    <t>Климатизация</t>
  </si>
  <si>
    <t>Отопление</t>
  </si>
  <si>
    <t>Работа на вентилация 1</t>
  </si>
  <si>
    <t>Работа на вентилация 2</t>
  </si>
  <si>
    <t>Работа на вентилация 3</t>
  </si>
  <si>
    <t>Работа на вентилация 4</t>
  </si>
  <si>
    <t>Дебити на вентилация 1</t>
  </si>
  <si>
    <t>Дебити на вентилация 2</t>
  </si>
  <si>
    <t>Дебити на вентилация 3</t>
  </si>
  <si>
    <t>Дебити на вентилация 4</t>
  </si>
  <si>
    <t>Дебити на вентилация 5</t>
  </si>
  <si>
    <r>
      <t>м</t>
    </r>
    <r>
      <rPr>
        <i/>
        <vertAlign val="superscript"/>
        <sz val="12"/>
        <rFont val="Arial"/>
        <family val="2"/>
        <charset val="204"/>
      </rPr>
      <t>3</t>
    </r>
  </si>
  <si>
    <t>Сума</t>
  </si>
  <si>
    <r>
      <t>Q</t>
    </r>
    <r>
      <rPr>
        <b/>
        <vertAlign val="subscript"/>
        <sz val="12"/>
        <rFont val="Arial"/>
        <family val="2"/>
        <charset val="204"/>
      </rPr>
      <t>ve</t>
    </r>
    <r>
      <rPr>
        <b/>
        <sz val="12"/>
        <rFont val="Arial"/>
        <family val="2"/>
        <charset val="204"/>
      </rPr>
      <t xml:space="preserve"> + Q</t>
    </r>
    <r>
      <rPr>
        <b/>
        <vertAlign val="subscript"/>
        <sz val="12"/>
        <rFont val="Arial"/>
        <family val="2"/>
        <charset val="204"/>
      </rPr>
      <t>a,W</t>
    </r>
  </si>
  <si>
    <r>
      <t>Q</t>
    </r>
    <r>
      <rPr>
        <b/>
        <vertAlign val="subscript"/>
        <sz val="12"/>
        <rFont val="Arial"/>
        <family val="2"/>
        <charset val="204"/>
      </rPr>
      <t>С,gn</t>
    </r>
  </si>
  <si>
    <t>Подът граничещ с терен има ли изолация по периферията</t>
  </si>
  <si>
    <r>
      <t>Заб: Ако има изолация по периферията се въвежда `</t>
    </r>
    <r>
      <rPr>
        <b/>
        <i/>
        <sz val="12"/>
        <rFont val="Arial"/>
        <family val="2"/>
        <charset val="204"/>
      </rPr>
      <t>1</t>
    </r>
    <r>
      <rPr>
        <i/>
        <sz val="12"/>
        <rFont val="Arial"/>
        <family val="2"/>
        <charset val="204"/>
      </rPr>
      <t>` в противен случай `</t>
    </r>
    <r>
      <rPr>
        <b/>
        <i/>
        <sz val="12"/>
        <rFont val="Arial"/>
        <family val="2"/>
        <charset val="204"/>
      </rPr>
      <t>0</t>
    </r>
    <r>
      <rPr>
        <i/>
        <sz val="12"/>
        <rFont val="Arial"/>
        <family val="2"/>
        <charset val="204"/>
      </rPr>
      <t>`</t>
    </r>
  </si>
  <si>
    <t xml:space="preserve">        Въвежда се `1` единствено когато подовата плоча е без изолация и се поставя изолация един-</t>
  </si>
  <si>
    <t xml:space="preserve">        ствено по периферията.</t>
  </si>
  <si>
    <t>Широчина на изолационния слой от външна стена към центъра на сградата</t>
  </si>
  <si>
    <t>Дебелина на топлоизолационната ивица</t>
  </si>
  <si>
    <t>Съпротивление на топлопроводност на топлоизолационната ивица</t>
  </si>
  <si>
    <r>
      <t>d</t>
    </r>
    <r>
      <rPr>
        <i/>
        <vertAlign val="subscript"/>
        <sz val="12"/>
        <rFont val="Arial"/>
        <family val="2"/>
        <charset val="204"/>
      </rPr>
      <t>n</t>
    </r>
    <r>
      <rPr>
        <i/>
        <sz val="12"/>
        <rFont val="Arial"/>
        <family val="2"/>
        <charset val="204"/>
      </rPr>
      <t>=</t>
    </r>
  </si>
  <si>
    <r>
      <t>R</t>
    </r>
    <r>
      <rPr>
        <i/>
        <vertAlign val="subscript"/>
        <sz val="12"/>
        <rFont val="Arial"/>
        <family val="2"/>
        <charset val="204"/>
      </rPr>
      <t>n</t>
    </r>
    <r>
      <rPr>
        <i/>
        <sz val="12"/>
        <rFont val="Arial"/>
        <family val="2"/>
        <charset val="204"/>
      </rPr>
      <t>=</t>
    </r>
  </si>
  <si>
    <r>
      <t xml:space="preserve">     R</t>
    </r>
    <r>
      <rPr>
        <vertAlign val="subscript"/>
        <sz val="14"/>
        <rFont val="Times New Roman"/>
        <family val="1"/>
        <charset val="204"/>
      </rPr>
      <t>se</t>
    </r>
    <r>
      <rPr>
        <sz val="14"/>
        <rFont val="Times New Roman"/>
        <family val="1"/>
        <charset val="204"/>
      </rPr>
      <t xml:space="preserve"> - съпротивление на топлопреминаван, (m</t>
    </r>
    <r>
      <rPr>
        <vertAlign val="superscript"/>
        <sz val="14"/>
        <rFont val="Times New Roman"/>
        <family val="1"/>
        <charset val="204"/>
      </rPr>
      <t>2</t>
    </r>
    <r>
      <rPr>
        <sz val="14"/>
        <rFont val="Times New Roman"/>
        <family val="1"/>
        <charset val="204"/>
      </rPr>
      <t>K)/W                 R</t>
    </r>
    <r>
      <rPr>
        <vertAlign val="subscript"/>
        <sz val="14"/>
        <rFont val="Times New Roman"/>
        <family val="1"/>
        <charset val="204"/>
      </rPr>
      <t>se</t>
    </r>
    <r>
      <rPr>
        <sz val="14"/>
        <rFont val="Times New Roman"/>
        <family val="1"/>
        <charset val="204"/>
      </rPr>
      <t>=0,04(m</t>
    </r>
    <r>
      <rPr>
        <vertAlign val="superscript"/>
        <sz val="14"/>
        <rFont val="Times New Roman"/>
        <family val="1"/>
        <charset val="204"/>
      </rPr>
      <t>2</t>
    </r>
    <r>
      <rPr>
        <sz val="14"/>
        <rFont val="Times New Roman"/>
        <family val="1"/>
        <charset val="204"/>
      </rPr>
      <t>K)/W</t>
    </r>
  </si>
  <si>
    <r>
      <t xml:space="preserve">     R</t>
    </r>
    <r>
      <rPr>
        <vertAlign val="subscript"/>
        <sz val="14"/>
        <rFont val="Times New Roman"/>
        <family val="1"/>
        <charset val="204"/>
      </rPr>
      <t>si</t>
    </r>
    <r>
      <rPr>
        <sz val="14"/>
        <rFont val="Times New Roman"/>
        <family val="1"/>
        <charset val="204"/>
      </rPr>
      <t xml:space="preserve"> - коефициент на топлопроводност на земята, (m</t>
    </r>
    <r>
      <rPr>
        <vertAlign val="superscript"/>
        <sz val="14"/>
        <rFont val="Times New Roman"/>
        <family val="1"/>
        <charset val="204"/>
      </rPr>
      <t>2</t>
    </r>
    <r>
      <rPr>
        <sz val="14"/>
        <rFont val="Times New Roman"/>
        <family val="1"/>
        <charset val="204"/>
      </rPr>
      <t>K)/W       R</t>
    </r>
    <r>
      <rPr>
        <vertAlign val="subscript"/>
        <sz val="14"/>
        <rFont val="Times New Roman"/>
        <family val="1"/>
        <charset val="204"/>
      </rPr>
      <t>si</t>
    </r>
    <r>
      <rPr>
        <sz val="14"/>
        <rFont val="Times New Roman"/>
        <family val="1"/>
        <charset val="204"/>
      </rPr>
      <t>=0,17(m</t>
    </r>
    <r>
      <rPr>
        <vertAlign val="superscript"/>
        <sz val="14"/>
        <rFont val="Times New Roman"/>
        <family val="1"/>
        <charset val="204"/>
      </rPr>
      <t>2</t>
    </r>
    <r>
      <rPr>
        <sz val="14"/>
        <rFont val="Times New Roman"/>
        <family val="1"/>
        <charset val="204"/>
      </rPr>
      <t>K)/W</t>
    </r>
  </si>
  <si>
    <t>Коефициент на топлопреминаване през пода без изолация по периферията</t>
  </si>
  <si>
    <r>
      <t xml:space="preserve">Коефициент на линейно топлопреминаване - </t>
    </r>
    <r>
      <rPr>
        <i/>
        <sz val="12"/>
        <rFont val="Times New Roman"/>
        <family val="1"/>
        <charset val="204"/>
      </rPr>
      <t>Ψ</t>
    </r>
    <r>
      <rPr>
        <i/>
        <vertAlign val="subscript"/>
        <sz val="12"/>
        <rFont val="Arial"/>
        <family val="2"/>
        <charset val="204"/>
      </rPr>
      <t>g,e</t>
    </r>
  </si>
  <si>
    <t>ел. енергия</t>
  </si>
  <si>
    <r>
      <t>Ψ</t>
    </r>
    <r>
      <rPr>
        <i/>
        <vertAlign val="subscript"/>
        <sz val="12"/>
        <rFont val="Arial"/>
        <family val="2"/>
        <charset val="204"/>
      </rPr>
      <t>g,e</t>
    </r>
    <r>
      <rPr>
        <i/>
        <sz val="12"/>
        <rFont val="Arial"/>
        <family val="2"/>
        <charset val="204"/>
      </rPr>
      <t>=</t>
    </r>
  </si>
  <si>
    <t>Изолацията по периферията вертикална ли е или хоризонтална</t>
  </si>
  <si>
    <r>
      <t>Заб: Ако изолацията е вертикална се въвежда `</t>
    </r>
    <r>
      <rPr>
        <b/>
        <i/>
        <sz val="12"/>
        <rFont val="Arial"/>
        <family val="2"/>
        <charset val="204"/>
      </rPr>
      <t>1</t>
    </r>
    <r>
      <rPr>
        <i/>
        <sz val="12"/>
        <rFont val="Arial"/>
        <family val="2"/>
        <charset val="204"/>
      </rPr>
      <t>` в противен случай `</t>
    </r>
    <r>
      <rPr>
        <b/>
        <i/>
        <sz val="12"/>
        <rFont val="Arial"/>
        <family val="2"/>
        <charset val="204"/>
      </rPr>
      <t>0</t>
    </r>
    <r>
      <rPr>
        <i/>
        <sz val="12"/>
        <rFont val="Arial"/>
        <family val="2"/>
        <charset val="204"/>
      </rPr>
      <t>`</t>
    </r>
  </si>
  <si>
    <t>За вертикална изолация</t>
  </si>
  <si>
    <t xml:space="preserve">За хоризонтална изолация       </t>
  </si>
  <si>
    <t>Еквивалентна дебелина на топлоизолационната ивица</t>
  </si>
  <si>
    <t>d`=</t>
  </si>
  <si>
    <t>Коефициент на топлопреминаване през пода с изолация по периферията</t>
  </si>
  <si>
    <t>Пералня</t>
  </si>
  <si>
    <t>Лампи</t>
  </si>
  <si>
    <r>
      <t>θ</t>
    </r>
    <r>
      <rPr>
        <b/>
        <vertAlign val="subscript"/>
        <sz val="10"/>
        <rFont val="Arial"/>
        <family val="2"/>
        <charset val="204"/>
      </rPr>
      <t>е</t>
    </r>
  </si>
  <si>
    <r>
      <t>Ф</t>
    </r>
    <r>
      <rPr>
        <b/>
        <vertAlign val="subscript"/>
        <sz val="10"/>
        <rFont val="Arial"/>
        <family val="2"/>
        <charset val="204"/>
      </rPr>
      <t>g</t>
    </r>
  </si>
  <si>
    <r>
      <t>Q</t>
    </r>
    <r>
      <rPr>
        <b/>
        <vertAlign val="subscript"/>
        <sz val="10"/>
        <rFont val="Arial"/>
        <family val="2"/>
        <charset val="204"/>
      </rPr>
      <t>tr</t>
    </r>
  </si>
  <si>
    <r>
      <t>b</t>
    </r>
    <r>
      <rPr>
        <b/>
        <vertAlign val="subscript"/>
        <sz val="10"/>
        <rFont val="Arial"/>
        <family val="2"/>
        <charset val="204"/>
      </rPr>
      <t>ve</t>
    </r>
  </si>
  <si>
    <r>
      <t>H</t>
    </r>
    <r>
      <rPr>
        <b/>
        <vertAlign val="subscript"/>
        <sz val="10"/>
        <rFont val="Arial"/>
        <family val="2"/>
        <charset val="204"/>
      </rPr>
      <t>ve</t>
    </r>
  </si>
  <si>
    <r>
      <t>Q</t>
    </r>
    <r>
      <rPr>
        <b/>
        <vertAlign val="subscript"/>
        <sz val="10"/>
        <rFont val="Arial"/>
        <family val="2"/>
        <charset val="204"/>
      </rPr>
      <t>ve</t>
    </r>
  </si>
  <si>
    <r>
      <t>Q</t>
    </r>
    <r>
      <rPr>
        <b/>
        <vertAlign val="subscript"/>
        <sz val="10"/>
        <rFont val="Arial"/>
        <family val="2"/>
        <charset val="204"/>
      </rPr>
      <t>H,ht</t>
    </r>
  </si>
  <si>
    <r>
      <t>Q</t>
    </r>
    <r>
      <rPr>
        <b/>
        <vertAlign val="subscript"/>
        <sz val="10"/>
        <rFont val="Arial"/>
        <family val="2"/>
        <charset val="204"/>
      </rPr>
      <t>vent</t>
    </r>
  </si>
  <si>
    <r>
      <t>Q</t>
    </r>
    <r>
      <rPr>
        <b/>
        <vertAlign val="subscript"/>
        <sz val="10"/>
        <rFont val="Arial"/>
        <family val="2"/>
        <charset val="204"/>
      </rPr>
      <t>int</t>
    </r>
  </si>
  <si>
    <r>
      <t>φ</t>
    </r>
    <r>
      <rPr>
        <b/>
        <vertAlign val="subscript"/>
        <sz val="10"/>
        <rFont val="Arial"/>
        <family val="2"/>
        <charset val="204"/>
      </rPr>
      <t>е</t>
    </r>
  </si>
  <si>
    <r>
      <t>p</t>
    </r>
    <r>
      <rPr>
        <vertAlign val="subscript"/>
        <sz val="10"/>
        <rFont val="Arial"/>
        <family val="2"/>
        <charset val="204"/>
      </rPr>
      <t>ws</t>
    </r>
  </si>
  <si>
    <r>
      <t>x</t>
    </r>
    <r>
      <rPr>
        <vertAlign val="subscript"/>
        <sz val="10"/>
        <rFont val="Arial"/>
        <family val="2"/>
        <charset val="204"/>
      </rPr>
      <t>e</t>
    </r>
  </si>
  <si>
    <r>
      <t>Q</t>
    </r>
    <r>
      <rPr>
        <vertAlign val="subscript"/>
        <sz val="10"/>
        <rFont val="Arial"/>
        <family val="2"/>
        <charset val="204"/>
      </rPr>
      <t>a,W</t>
    </r>
  </si>
  <si>
    <r>
      <t>Q</t>
    </r>
    <r>
      <rPr>
        <vertAlign val="subscript"/>
        <sz val="10"/>
        <rFont val="Arial"/>
        <family val="2"/>
        <charset val="204"/>
      </rPr>
      <t>a,W, vent</t>
    </r>
  </si>
  <si>
    <t>Изчисляване на годишната потребна топлина за загряване на вода за БГВ</t>
  </si>
  <si>
    <r>
      <t>V</t>
    </r>
    <r>
      <rPr>
        <i/>
        <vertAlign val="subscript"/>
        <sz val="12"/>
        <rFont val="Arial"/>
        <family val="2"/>
        <charset val="204"/>
      </rPr>
      <t>w</t>
    </r>
    <r>
      <rPr>
        <i/>
        <sz val="12"/>
        <rFont val="Arial"/>
        <family val="2"/>
        <charset val="204"/>
      </rPr>
      <t>=</t>
    </r>
  </si>
  <si>
    <t>Температура на студената вода от водопровода</t>
  </si>
  <si>
    <r>
      <t>Q</t>
    </r>
    <r>
      <rPr>
        <b/>
        <i/>
        <vertAlign val="subscript"/>
        <sz val="14"/>
        <rFont val="Arial"/>
        <family val="2"/>
        <charset val="204"/>
      </rPr>
      <t>w</t>
    </r>
    <r>
      <rPr>
        <b/>
        <i/>
        <sz val="14"/>
        <rFont val="Arial"/>
        <family val="2"/>
        <charset val="204"/>
      </rPr>
      <t>=</t>
    </r>
  </si>
  <si>
    <r>
      <t>С</t>
    </r>
    <r>
      <rPr>
        <i/>
        <vertAlign val="subscript"/>
        <sz val="14"/>
        <rFont val="Arial"/>
        <family val="2"/>
        <charset val="204"/>
      </rPr>
      <t>m</t>
    </r>
    <r>
      <rPr>
        <i/>
        <sz val="14"/>
        <rFont val="Arial"/>
        <family val="2"/>
        <charset val="204"/>
      </rPr>
      <t>=</t>
    </r>
  </si>
  <si>
    <t>Височина на страничният борд</t>
  </si>
  <si>
    <r>
      <t>h</t>
    </r>
    <r>
      <rPr>
        <i/>
        <sz val="12"/>
        <rFont val="Arial"/>
        <family val="2"/>
        <charset val="204"/>
      </rPr>
      <t>=</t>
    </r>
  </si>
  <si>
    <t>Описание на помпите и вентилаторите, осигуряващи действите на системите за отопление и</t>
  </si>
  <si>
    <t xml:space="preserve">  вентилация в сградата</t>
  </si>
  <si>
    <t>Помпи за отопление</t>
  </si>
  <si>
    <t>Помпи за вентилация</t>
  </si>
  <si>
    <t>Помпи за охлаждане</t>
  </si>
  <si>
    <t>Вентилатори</t>
  </si>
  <si>
    <r>
      <t>E</t>
    </r>
    <r>
      <rPr>
        <b/>
        <i/>
        <vertAlign val="subscript"/>
        <sz val="14"/>
        <rFont val="Arial"/>
        <family val="2"/>
        <charset val="204"/>
      </rPr>
      <t>H,aux</t>
    </r>
    <r>
      <rPr>
        <b/>
        <i/>
        <sz val="14"/>
        <rFont val="Arial"/>
        <family val="2"/>
        <charset val="204"/>
      </rPr>
      <t>=</t>
    </r>
  </si>
  <si>
    <r>
      <t>E</t>
    </r>
    <r>
      <rPr>
        <b/>
        <i/>
        <vertAlign val="subscript"/>
        <sz val="14"/>
        <rFont val="Arial"/>
        <family val="2"/>
        <charset val="204"/>
      </rPr>
      <t>С,aux</t>
    </r>
    <r>
      <rPr>
        <b/>
        <i/>
        <sz val="14"/>
        <rFont val="Arial"/>
        <family val="2"/>
        <charset val="204"/>
      </rPr>
      <t>=</t>
    </r>
  </si>
  <si>
    <t xml:space="preserve">   Определяне на допълнителната енергия за отопление</t>
  </si>
  <si>
    <t xml:space="preserve">   Определяне на допълнителната енергия за охлаждане</t>
  </si>
  <si>
    <t xml:space="preserve">   Определяне на доп. енергия за вентилация, зимен режим</t>
  </si>
  <si>
    <t xml:space="preserve">   Определяне на доп. енергия за вентилация, летен режим</t>
  </si>
  <si>
    <r>
      <t>E</t>
    </r>
    <r>
      <rPr>
        <b/>
        <i/>
        <vertAlign val="subscript"/>
        <sz val="14"/>
        <rFont val="Arial"/>
        <family val="2"/>
        <charset val="204"/>
      </rPr>
      <t>V,aux</t>
    </r>
    <r>
      <rPr>
        <b/>
        <i/>
        <sz val="14"/>
        <rFont val="Arial"/>
        <family val="2"/>
        <charset val="204"/>
      </rPr>
      <t>=</t>
    </r>
  </si>
  <si>
    <r>
      <t>Q</t>
    </r>
    <r>
      <rPr>
        <b/>
        <i/>
        <vertAlign val="subscript"/>
        <sz val="14"/>
        <rFont val="Arial"/>
        <family val="2"/>
        <charset val="204"/>
      </rPr>
      <t>H,m</t>
    </r>
    <r>
      <rPr>
        <b/>
        <i/>
        <sz val="14"/>
        <rFont val="Arial"/>
        <family val="2"/>
        <charset val="204"/>
      </rPr>
      <t>=</t>
    </r>
  </si>
  <si>
    <r>
      <t>Q</t>
    </r>
    <r>
      <rPr>
        <b/>
        <i/>
        <vertAlign val="subscript"/>
        <sz val="14"/>
        <rFont val="Arial"/>
        <family val="2"/>
        <charset val="204"/>
      </rPr>
      <t>С,m</t>
    </r>
    <r>
      <rPr>
        <b/>
        <i/>
        <sz val="14"/>
        <rFont val="Arial"/>
        <family val="2"/>
        <charset val="204"/>
      </rPr>
      <t>=</t>
    </r>
  </si>
  <si>
    <r>
      <t>Q</t>
    </r>
    <r>
      <rPr>
        <b/>
        <vertAlign val="subscript"/>
        <sz val="12"/>
        <rFont val="Arial"/>
        <family val="2"/>
        <charset val="204"/>
      </rPr>
      <t>C,nd</t>
    </r>
  </si>
  <si>
    <r>
      <t>Q</t>
    </r>
    <r>
      <rPr>
        <b/>
        <vertAlign val="subscript"/>
        <sz val="12"/>
        <rFont val="Arial"/>
        <family val="2"/>
        <charset val="204"/>
      </rPr>
      <t>C, общо</t>
    </r>
  </si>
  <si>
    <r>
      <t>Q</t>
    </r>
    <r>
      <rPr>
        <b/>
        <vertAlign val="subscript"/>
        <sz val="12"/>
        <rFont val="Arial"/>
        <family val="2"/>
        <charset val="204"/>
      </rPr>
      <t>C, прирав</t>
    </r>
  </si>
  <si>
    <t xml:space="preserve">   Определяне на брутната енергия за вентилация</t>
  </si>
  <si>
    <t>Обобщаване на вентилация</t>
  </si>
  <si>
    <t>съб</t>
  </si>
  <si>
    <t>нед</t>
  </si>
  <si>
    <t>средно</t>
  </si>
  <si>
    <t xml:space="preserve">   Влажност на външен въздух при зимен режим</t>
  </si>
  <si>
    <r>
      <t>φ</t>
    </r>
    <r>
      <rPr>
        <i/>
        <vertAlign val="subscript"/>
        <sz val="12"/>
        <rFont val="Arial"/>
        <family val="2"/>
        <charset val="204"/>
      </rPr>
      <t>е</t>
    </r>
    <r>
      <rPr>
        <i/>
        <sz val="12"/>
        <rFont val="Arial"/>
        <family val="2"/>
        <charset val="204"/>
      </rPr>
      <t>=</t>
    </r>
  </si>
  <si>
    <r>
      <t>φ</t>
    </r>
    <r>
      <rPr>
        <i/>
        <vertAlign val="subscript"/>
        <sz val="12"/>
        <rFont val="Arial"/>
        <family val="2"/>
        <charset val="204"/>
      </rPr>
      <t>i</t>
    </r>
    <r>
      <rPr>
        <i/>
        <sz val="12"/>
        <rFont val="Arial"/>
        <family val="2"/>
        <charset val="204"/>
      </rPr>
      <t>=</t>
    </r>
  </si>
  <si>
    <t>Ра</t>
  </si>
  <si>
    <r>
      <t>p</t>
    </r>
    <r>
      <rPr>
        <i/>
        <vertAlign val="subscript"/>
        <sz val="12"/>
        <rFont val="Arial"/>
        <family val="2"/>
        <charset val="204"/>
      </rPr>
      <t>wsе</t>
    </r>
    <r>
      <rPr>
        <i/>
        <sz val="12"/>
        <rFont val="Arial"/>
        <family val="2"/>
        <charset val="204"/>
      </rPr>
      <t>=</t>
    </r>
  </si>
  <si>
    <t xml:space="preserve">   Температура на външен въздух при зимен режим</t>
  </si>
  <si>
    <r>
      <t>t</t>
    </r>
    <r>
      <rPr>
        <i/>
        <vertAlign val="subscript"/>
        <sz val="12"/>
        <rFont val="Arial"/>
        <family val="2"/>
        <charset val="204"/>
      </rPr>
      <t>е</t>
    </r>
    <r>
      <rPr>
        <i/>
        <sz val="12"/>
        <rFont val="Arial"/>
        <family val="2"/>
        <charset val="204"/>
      </rPr>
      <t>=</t>
    </r>
  </si>
  <si>
    <r>
      <t>t</t>
    </r>
    <r>
      <rPr>
        <i/>
        <vertAlign val="subscript"/>
        <sz val="12"/>
        <rFont val="Arial"/>
        <family val="2"/>
        <charset val="204"/>
      </rPr>
      <t>i</t>
    </r>
    <r>
      <rPr>
        <i/>
        <sz val="12"/>
        <rFont val="Arial"/>
        <family val="2"/>
        <charset val="204"/>
      </rPr>
      <t>=</t>
    </r>
  </si>
  <si>
    <r>
      <t>p</t>
    </r>
    <r>
      <rPr>
        <i/>
        <vertAlign val="subscript"/>
        <sz val="12"/>
        <rFont val="Arial"/>
        <family val="2"/>
        <charset val="204"/>
      </rPr>
      <t>wsi</t>
    </r>
    <r>
      <rPr>
        <i/>
        <sz val="12"/>
        <rFont val="Arial"/>
        <family val="2"/>
        <charset val="204"/>
      </rPr>
      <t>=</t>
    </r>
  </si>
  <si>
    <r>
      <t>p</t>
    </r>
    <r>
      <rPr>
        <i/>
        <vertAlign val="subscript"/>
        <sz val="12"/>
        <rFont val="Arial"/>
        <family val="2"/>
        <charset val="204"/>
      </rPr>
      <t>wе</t>
    </r>
    <r>
      <rPr>
        <i/>
        <sz val="12"/>
        <rFont val="Arial"/>
        <family val="2"/>
        <charset val="204"/>
      </rPr>
      <t>=</t>
    </r>
  </si>
  <si>
    <r>
      <t>p</t>
    </r>
    <r>
      <rPr>
        <i/>
        <vertAlign val="subscript"/>
        <sz val="12"/>
        <rFont val="Arial"/>
        <family val="2"/>
        <charset val="204"/>
      </rPr>
      <t>wi</t>
    </r>
    <r>
      <rPr>
        <i/>
        <sz val="12"/>
        <rFont val="Arial"/>
        <family val="2"/>
        <charset val="204"/>
      </rPr>
      <t>=</t>
    </r>
  </si>
  <si>
    <t xml:space="preserve">   Налягане на насищане на водните пари вн. въздух</t>
  </si>
  <si>
    <t>Месеци през които се използват вентилационните инсталации</t>
  </si>
  <si>
    <r>
      <t>Заб: През месеците в които се ползват вент инсталации се въвежда `</t>
    </r>
    <r>
      <rPr>
        <b/>
        <i/>
        <sz val="12"/>
        <rFont val="Arial"/>
        <family val="2"/>
        <charset val="204"/>
      </rPr>
      <t>1</t>
    </r>
    <r>
      <rPr>
        <i/>
        <sz val="12"/>
        <rFont val="Arial"/>
        <family val="2"/>
        <charset val="204"/>
      </rPr>
      <t>` в противен случай `</t>
    </r>
    <r>
      <rPr>
        <b/>
        <i/>
        <sz val="12"/>
        <rFont val="Arial"/>
        <family val="2"/>
        <charset val="204"/>
      </rPr>
      <t>0</t>
    </r>
    <r>
      <rPr>
        <i/>
        <sz val="12"/>
        <rFont val="Arial"/>
        <family val="2"/>
        <charset val="204"/>
      </rPr>
      <t>`</t>
    </r>
  </si>
  <si>
    <t>обща площ на стените</t>
  </si>
  <si>
    <t>площ на външна стена тип 1</t>
  </si>
  <si>
    <t>площ на външна стена тип 2</t>
  </si>
  <si>
    <t>площ на външна стена тип 3</t>
  </si>
  <si>
    <t xml:space="preserve">   Налягане на насищане на водните пари вътр. въздух</t>
  </si>
  <si>
    <t xml:space="preserve">   Влагосъдържание на външен въздух</t>
  </si>
  <si>
    <t xml:space="preserve">   Парциалното налягане на водните пари външен въздух</t>
  </si>
  <si>
    <t xml:space="preserve">   Парциалното налягане на водните пари вътрешен въздух</t>
  </si>
  <si>
    <t>kg/kg</t>
  </si>
  <si>
    <r>
      <t>x</t>
    </r>
    <r>
      <rPr>
        <i/>
        <vertAlign val="subscript"/>
        <sz val="12"/>
        <rFont val="Arial"/>
        <family val="2"/>
        <charset val="204"/>
      </rPr>
      <t>e</t>
    </r>
    <r>
      <rPr>
        <i/>
        <sz val="12"/>
        <rFont val="Arial"/>
        <family val="2"/>
        <charset val="204"/>
      </rPr>
      <t>=</t>
    </r>
  </si>
  <si>
    <t xml:space="preserve">   Влагосъдържание на вътрешен въздух</t>
  </si>
  <si>
    <r>
      <t>x</t>
    </r>
    <r>
      <rPr>
        <i/>
        <vertAlign val="subscript"/>
        <sz val="12"/>
        <rFont val="Arial"/>
        <family val="2"/>
        <charset val="204"/>
      </rPr>
      <t>i</t>
    </r>
    <r>
      <rPr>
        <i/>
        <sz val="12"/>
        <rFont val="Arial"/>
        <family val="2"/>
        <charset val="204"/>
      </rPr>
      <t>=</t>
    </r>
  </si>
  <si>
    <t xml:space="preserve">   Енталпия на външен въздух</t>
  </si>
  <si>
    <t xml:space="preserve">   Енталпия на вътрешен въздух</t>
  </si>
  <si>
    <r>
      <t>h</t>
    </r>
    <r>
      <rPr>
        <i/>
        <vertAlign val="subscript"/>
        <sz val="12"/>
        <rFont val="Arial"/>
        <family val="2"/>
        <charset val="204"/>
      </rPr>
      <t>e</t>
    </r>
    <r>
      <rPr>
        <i/>
        <sz val="12"/>
        <rFont val="Arial"/>
        <family val="2"/>
        <charset val="204"/>
      </rPr>
      <t>=</t>
    </r>
  </si>
  <si>
    <t>kJ/kg</t>
  </si>
  <si>
    <r>
      <t>h</t>
    </r>
    <r>
      <rPr>
        <i/>
        <vertAlign val="subscript"/>
        <sz val="12"/>
        <rFont val="Arial"/>
        <family val="2"/>
        <charset val="204"/>
      </rPr>
      <t>i</t>
    </r>
    <r>
      <rPr>
        <i/>
        <sz val="12"/>
        <rFont val="Arial"/>
        <family val="2"/>
        <charset val="204"/>
      </rPr>
      <t>=</t>
    </r>
  </si>
  <si>
    <t xml:space="preserve">   Плътност на външен въздух</t>
  </si>
  <si>
    <t xml:space="preserve">   Плъстонст на вътрешен въздух</t>
  </si>
  <si>
    <r>
      <t>ρ</t>
    </r>
    <r>
      <rPr>
        <i/>
        <vertAlign val="subscript"/>
        <sz val="12"/>
        <rFont val="Arial"/>
        <family val="2"/>
        <charset val="204"/>
      </rPr>
      <t>e</t>
    </r>
    <r>
      <rPr>
        <i/>
        <sz val="12"/>
        <rFont val="Arial"/>
        <family val="2"/>
        <charset val="204"/>
      </rPr>
      <t>=</t>
    </r>
  </si>
  <si>
    <r>
      <t>kg/m</t>
    </r>
    <r>
      <rPr>
        <i/>
        <vertAlign val="superscript"/>
        <sz val="12"/>
        <rFont val="Arial"/>
        <family val="2"/>
        <charset val="204"/>
      </rPr>
      <t>3</t>
    </r>
  </si>
  <si>
    <r>
      <t>ρ</t>
    </r>
    <r>
      <rPr>
        <i/>
        <vertAlign val="subscript"/>
        <sz val="12"/>
        <rFont val="Arial"/>
        <family val="2"/>
        <charset val="204"/>
      </rPr>
      <t>i</t>
    </r>
    <r>
      <rPr>
        <i/>
        <sz val="12"/>
        <rFont val="Arial"/>
        <family val="2"/>
        <charset val="204"/>
      </rPr>
      <t>=</t>
    </r>
  </si>
  <si>
    <t>Брутна енергия за вентилация - зимен режим</t>
  </si>
  <si>
    <r>
      <t>Q</t>
    </r>
    <r>
      <rPr>
        <b/>
        <i/>
        <vertAlign val="subscript"/>
        <sz val="14"/>
        <rFont val="Arial"/>
        <family val="2"/>
        <charset val="204"/>
      </rPr>
      <t>V,m</t>
    </r>
    <r>
      <rPr>
        <b/>
        <i/>
        <sz val="14"/>
        <rFont val="Arial"/>
        <family val="2"/>
        <charset val="204"/>
      </rPr>
      <t>=</t>
    </r>
  </si>
  <si>
    <t>Външна температура за населеното място - зимен режим</t>
  </si>
  <si>
    <t>Външна температура за населеното място - летен режим</t>
  </si>
  <si>
    <t>ОБЩО</t>
  </si>
  <si>
    <t>Брутна енергия за вентилация - летен режим</t>
  </si>
  <si>
    <t>Описание на прозорци на неотпляемо помещение към външен въздух по фасади</t>
  </si>
  <si>
    <t>Коеф. на топлопреминаване на проз. на неотопл. помещение към външен въздух</t>
  </si>
  <si>
    <t>Обобщен коеф. на топлопреминаване на неотопл. помещение към външен въздух</t>
  </si>
  <si>
    <r>
      <t>Площ без прозорци, м</t>
    </r>
    <r>
      <rPr>
        <b/>
        <i/>
        <vertAlign val="superscript"/>
        <sz val="12"/>
        <rFont val="Arial"/>
        <family val="2"/>
        <charset val="204"/>
      </rPr>
      <t>2</t>
    </r>
  </si>
  <si>
    <t>Площ на стени и прозорци на неотопл. помещение към външен въздух</t>
  </si>
  <si>
    <t>Коеф. на топлопреминаване на прозорци на отопл. помещение към неотоплявано</t>
  </si>
  <si>
    <t>Обобщен коеф. на топлопреминаване на отопл. помещение към неотоплявано</t>
  </si>
  <si>
    <t>потребявана енергия за 1ч</t>
  </si>
  <si>
    <r>
      <t>Годишно вътр харч Q</t>
    </r>
    <r>
      <rPr>
        <b/>
        <vertAlign val="subscript"/>
        <sz val="10"/>
        <rFont val="Arial"/>
        <family val="2"/>
        <charset val="204"/>
      </rPr>
      <t>int</t>
    </r>
  </si>
  <si>
    <r>
      <t>Q</t>
    </r>
    <r>
      <rPr>
        <b/>
        <i/>
        <vertAlign val="subscript"/>
        <sz val="14"/>
        <rFont val="Arial"/>
        <family val="2"/>
        <charset val="204"/>
      </rPr>
      <t>W,m</t>
    </r>
    <r>
      <rPr>
        <b/>
        <i/>
        <sz val="14"/>
        <rFont val="Arial"/>
        <family val="2"/>
        <charset val="204"/>
      </rPr>
      <t>=</t>
    </r>
  </si>
  <si>
    <t>стена граничеща със земя под нивото на терена</t>
  </si>
  <si>
    <t>под граничещ със земя под терена</t>
  </si>
  <si>
    <t>Коефициент на топлопро- водност λ</t>
  </si>
  <si>
    <r>
      <t>Заб: Q</t>
    </r>
    <r>
      <rPr>
        <i/>
        <vertAlign val="subscript"/>
        <sz val="14"/>
        <rFont val="Times New Roman"/>
        <family val="1"/>
        <charset val="204"/>
      </rPr>
      <t>С, общо</t>
    </r>
    <r>
      <rPr>
        <i/>
        <sz val="14"/>
        <rFont val="Times New Roman"/>
        <family val="1"/>
        <charset val="204"/>
      </rPr>
      <t xml:space="preserve"> - общ годишен разход на потребна енергия за охлаждане;  Q</t>
    </r>
    <r>
      <rPr>
        <i/>
        <vertAlign val="subscript"/>
        <sz val="14"/>
        <rFont val="Times New Roman"/>
        <family val="1"/>
        <charset val="204"/>
      </rPr>
      <t>С, прирав</t>
    </r>
    <r>
      <rPr>
        <i/>
        <sz val="14"/>
        <rFont val="Times New Roman"/>
        <family val="1"/>
        <charset val="204"/>
      </rPr>
      <t xml:space="preserve"> - общ годишен разход</t>
    </r>
  </si>
  <si>
    <r>
      <t>Заб: Q</t>
    </r>
    <r>
      <rPr>
        <i/>
        <vertAlign val="subscript"/>
        <sz val="14"/>
        <rFont val="Times New Roman"/>
        <family val="1"/>
        <charset val="204"/>
      </rPr>
      <t>H, общо</t>
    </r>
    <r>
      <rPr>
        <i/>
        <sz val="14"/>
        <rFont val="Times New Roman"/>
        <family val="1"/>
        <charset val="204"/>
      </rPr>
      <t xml:space="preserve"> - общ годишен разход на потребна енергия за отопление;  Q</t>
    </r>
    <r>
      <rPr>
        <i/>
        <vertAlign val="subscript"/>
        <sz val="14"/>
        <rFont val="Times New Roman"/>
        <family val="1"/>
        <charset val="204"/>
      </rPr>
      <t>H, прирав</t>
    </r>
    <r>
      <rPr>
        <i/>
        <sz val="14"/>
        <rFont val="Times New Roman"/>
        <family val="1"/>
        <charset val="204"/>
      </rPr>
      <t xml:space="preserve"> - общ годишен разход</t>
    </r>
  </si>
  <si>
    <t xml:space="preserve">        на потребна енергия за отопление, приведен към съответниите денградуси за населеното място</t>
  </si>
  <si>
    <t xml:space="preserve">        на потребна енергия за охлаждане, приведен към съответниите денградуси за населеното място</t>
  </si>
  <si>
    <t xml:space="preserve">   Определяне на брутната реална енергия за отопление</t>
  </si>
  <si>
    <t xml:space="preserve">   Определяне на брутната реална енергия за охлаждане</t>
  </si>
  <si>
    <t>I етаж</t>
  </si>
  <si>
    <t>Описание на прозрачни врати и прозорци по типове и фасади</t>
  </si>
  <si>
    <t>Източници влияещи на топл. баланс</t>
  </si>
  <si>
    <t>Източници невлияещи на топл. баланс</t>
  </si>
  <si>
    <t>от скалата на класовете на енергопотребление</t>
  </si>
  <si>
    <t xml:space="preserve">Сградата отговаря на клас </t>
  </si>
  <si>
    <t>Коеф. на топлопреминаване на стена на неотопл. помещение към външен въздух</t>
  </si>
  <si>
    <t>Коеф. на топлопреминаване на стена на отопл. помещение към неотоплявано</t>
  </si>
  <si>
    <t>Коефициент на пребиваване на хората през летен режим в сградата</t>
  </si>
  <si>
    <t>Площ на стена на отопл. помещение към неотоплявано</t>
  </si>
  <si>
    <r>
      <t>W/m</t>
    </r>
    <r>
      <rPr>
        <i/>
        <vertAlign val="superscript"/>
        <sz val="12"/>
        <rFont val="Arial"/>
        <family val="2"/>
        <charset val="204"/>
      </rPr>
      <t>2</t>
    </r>
    <r>
      <rPr>
        <i/>
        <sz val="12"/>
        <rFont val="Arial"/>
        <family val="2"/>
        <charset val="204"/>
      </rPr>
      <t>K</t>
    </r>
  </si>
  <si>
    <r>
      <t>H</t>
    </r>
    <r>
      <rPr>
        <b/>
        <i/>
        <vertAlign val="subscript"/>
        <sz val="14"/>
        <rFont val="Arial"/>
        <family val="2"/>
        <charset val="204"/>
      </rPr>
      <t>U</t>
    </r>
    <r>
      <rPr>
        <b/>
        <i/>
        <sz val="14"/>
        <rFont val="Arial"/>
        <family val="2"/>
        <charset val="204"/>
      </rPr>
      <t>=</t>
    </r>
  </si>
  <si>
    <r>
      <t>H</t>
    </r>
    <r>
      <rPr>
        <b/>
        <i/>
        <vertAlign val="subscript"/>
        <sz val="14"/>
        <rFont val="Arial"/>
        <family val="2"/>
        <charset val="204"/>
      </rPr>
      <t>A</t>
    </r>
    <r>
      <rPr>
        <b/>
        <i/>
        <sz val="14"/>
        <rFont val="Arial"/>
        <family val="2"/>
        <charset val="204"/>
      </rPr>
      <t>=0</t>
    </r>
  </si>
  <si>
    <r>
      <t xml:space="preserve">  H</t>
    </r>
    <r>
      <rPr>
        <i/>
        <vertAlign val="subscript"/>
        <sz val="14"/>
        <rFont val="Arial"/>
        <family val="2"/>
        <charset val="204"/>
      </rPr>
      <t>tr</t>
    </r>
    <r>
      <rPr>
        <i/>
        <sz val="14"/>
        <rFont val="Arial"/>
        <family val="2"/>
        <charset val="204"/>
      </rPr>
      <t>=H</t>
    </r>
    <r>
      <rPr>
        <i/>
        <vertAlign val="subscript"/>
        <sz val="14"/>
        <rFont val="Arial"/>
        <family val="2"/>
        <charset val="204"/>
      </rPr>
      <t>D</t>
    </r>
    <r>
      <rPr>
        <i/>
        <sz val="14"/>
        <rFont val="Arial"/>
        <family val="2"/>
        <charset val="204"/>
      </rPr>
      <t>+H</t>
    </r>
    <r>
      <rPr>
        <i/>
        <vertAlign val="subscript"/>
        <sz val="14"/>
        <rFont val="Arial"/>
        <family val="2"/>
        <charset val="204"/>
      </rPr>
      <t>g</t>
    </r>
    <r>
      <rPr>
        <i/>
        <sz val="14"/>
        <rFont val="Arial"/>
        <family val="2"/>
        <charset val="204"/>
      </rPr>
      <t>+H</t>
    </r>
    <r>
      <rPr>
        <i/>
        <vertAlign val="subscript"/>
        <sz val="14"/>
        <rFont val="Arial"/>
        <family val="2"/>
        <charset val="204"/>
      </rPr>
      <t>U</t>
    </r>
    <r>
      <rPr>
        <i/>
        <sz val="14"/>
        <rFont val="Arial"/>
        <family val="2"/>
        <charset val="204"/>
      </rPr>
      <t>+H</t>
    </r>
    <r>
      <rPr>
        <i/>
        <vertAlign val="subscript"/>
        <sz val="14"/>
        <rFont val="Arial"/>
        <family val="2"/>
        <charset val="204"/>
      </rPr>
      <t>A</t>
    </r>
  </si>
  <si>
    <t>Обобщен вътрешен коефициент на периодичен пренос на топлина</t>
  </si>
  <si>
    <t>Обобщен външен коефициент на периодичен пренос на топлина</t>
  </si>
  <si>
    <t>Работен режим на осветлението</t>
  </si>
  <si>
    <t>Осветление - работен режим</t>
  </si>
  <si>
    <t>ч/седм</t>
  </si>
  <si>
    <t>Едновременна мощност на осветлението</t>
  </si>
  <si>
    <r>
      <t>W/m</t>
    </r>
    <r>
      <rPr>
        <vertAlign val="superscript"/>
        <sz val="12"/>
        <rFont val="Arial"/>
        <family val="2"/>
        <charset val="204"/>
      </rPr>
      <t>2</t>
    </r>
  </si>
  <si>
    <t>Работен режим на разни влияещи</t>
  </si>
  <si>
    <t>Едновременна мощност на разни влияещи</t>
  </si>
  <si>
    <t>Работен режим на разни невлияещи</t>
  </si>
  <si>
    <t>Едновременна мощност на разни невлияещи</t>
  </si>
  <si>
    <t>Разни влияещи - работен режим</t>
  </si>
  <si>
    <t>Едновременна мощност</t>
  </si>
  <si>
    <t>Заб: Работните часове на сградата влияят на отоплителният/охладителният й режим.</t>
  </si>
  <si>
    <t xml:space="preserve">  топлинните печалби и топлинните загуби - ефективен топлинен капацитет на зоната</t>
  </si>
  <si>
    <t>Заб: Определяне на обобщен вътрешен и външен коефициент на пренос на топлина се прави за улеснение на по-нататъшни изчисления.</t>
  </si>
  <si>
    <t>Вн стена</t>
  </si>
  <si>
    <t>покрив &lt;30</t>
  </si>
  <si>
    <t>обобщ</t>
  </si>
  <si>
    <t>обобщен</t>
  </si>
  <si>
    <t>Номер на климатичната зона в която се намира населеното място</t>
  </si>
  <si>
    <t>Електроенергия</t>
  </si>
  <si>
    <t>т/год</t>
  </si>
  <si>
    <t>Ограждащи конструкции и елементи</t>
  </si>
  <si>
    <t>Под над външен въздух (Еркер)</t>
  </si>
  <si>
    <t>6. Стъкловлакнеста мрежа</t>
  </si>
  <si>
    <t>7. Външна мазилка</t>
  </si>
  <si>
    <r>
      <t>A</t>
    </r>
    <r>
      <rPr>
        <i/>
        <vertAlign val="subscript"/>
        <sz val="12"/>
        <rFont val="Arial"/>
        <family val="2"/>
        <charset val="204"/>
      </rPr>
      <t>f</t>
    </r>
    <r>
      <rPr>
        <i/>
        <sz val="12"/>
        <rFont val="Arial"/>
        <family val="2"/>
        <charset val="204"/>
      </rPr>
      <t>=</t>
    </r>
  </si>
  <si>
    <r>
      <t>A</t>
    </r>
    <r>
      <rPr>
        <sz val="12"/>
        <rFont val="Arial"/>
        <family val="2"/>
        <charset val="204"/>
      </rPr>
      <t>=</t>
    </r>
  </si>
  <si>
    <t>Приложение №1</t>
  </si>
  <si>
    <t>коеф.  на отдаване на топлина</t>
  </si>
  <si>
    <t>Яну</t>
  </si>
  <si>
    <t>Ноем</t>
  </si>
  <si>
    <t>Авг</t>
  </si>
  <si>
    <t>Приложение №2</t>
  </si>
  <si>
    <r>
      <t>Годишно Q</t>
    </r>
    <r>
      <rPr>
        <b/>
        <vertAlign val="subscript"/>
        <sz val="10"/>
        <rFont val="Arial"/>
        <family val="2"/>
        <charset val="204"/>
      </rPr>
      <t>ext</t>
    </r>
  </si>
  <si>
    <r>
      <t>Обобщени вътрешни коефициенти на периодичен пренос на топлина H</t>
    </r>
    <r>
      <rPr>
        <vertAlign val="subscript"/>
        <sz val="14"/>
        <rFont val="Times New Roman"/>
        <family val="1"/>
        <charset val="204"/>
      </rPr>
      <t>pi</t>
    </r>
    <r>
      <rPr>
        <sz val="14"/>
        <rFont val="Times New Roman"/>
        <family val="1"/>
        <charset val="204"/>
      </rPr>
      <t xml:space="preserve"> и H</t>
    </r>
    <r>
      <rPr>
        <vertAlign val="subscript"/>
        <sz val="14"/>
        <rFont val="Times New Roman"/>
        <family val="1"/>
        <charset val="204"/>
      </rPr>
      <t>pе</t>
    </r>
  </si>
  <si>
    <t>Обща площ по фасади</t>
  </si>
  <si>
    <r>
      <t>Обща площ фасади, м</t>
    </r>
    <r>
      <rPr>
        <b/>
        <i/>
        <vertAlign val="superscript"/>
        <sz val="12"/>
        <rFont val="Arial"/>
        <family val="2"/>
        <charset val="204"/>
      </rPr>
      <t>2</t>
    </r>
  </si>
  <si>
    <t>Външна стена - тип 2</t>
  </si>
  <si>
    <t>Външна стена - тип 1</t>
  </si>
  <si>
    <t>Външна стена - тип 3</t>
  </si>
  <si>
    <t>Приложение №3</t>
  </si>
  <si>
    <t xml:space="preserve">№ </t>
  </si>
  <si>
    <t>Вид топлоотдаваща повърхност</t>
  </si>
  <si>
    <t>Дебелина</t>
  </si>
  <si>
    <t>ОБЩА ПЛОЩ</t>
  </si>
  <si>
    <t xml:space="preserve"> /mm/</t>
  </si>
  <si>
    <t xml:space="preserve"> /m²/</t>
  </si>
  <si>
    <t xml:space="preserve">При промяна вида на топлоизолационните материали, същите да се съгласуват с </t>
  </si>
  <si>
    <t xml:space="preserve">Вид топлоизолационен материал </t>
  </si>
  <si>
    <t>Покрив тераса, покрив плосък</t>
  </si>
  <si>
    <t>3. Стоманобетонова плоча</t>
  </si>
  <si>
    <t>6. Подложен пясък</t>
  </si>
  <si>
    <t>7. Почва</t>
  </si>
  <si>
    <t>5. Стъкловлакнеста мрежа</t>
  </si>
  <si>
    <t>6. Вътрешна мазилка</t>
  </si>
  <si>
    <t>4. Стъкловлакнеста мрежа</t>
  </si>
  <si>
    <t>ІІ. Изчисление и топлотехническа оценка на сградата</t>
  </si>
  <si>
    <t>3. Вътрешна мазилка</t>
  </si>
  <si>
    <t>Покрив скатен, обитаем</t>
  </si>
  <si>
    <t>1. Покривно покритие</t>
  </si>
  <si>
    <t>Под над земя, отопляем подземен етаж</t>
  </si>
  <si>
    <r>
      <t>a</t>
    </r>
    <r>
      <rPr>
        <b/>
        <vertAlign val="subscript"/>
        <sz val="12"/>
        <rFont val="Arial"/>
        <family val="2"/>
        <charset val="204"/>
      </rPr>
      <t>C</t>
    </r>
  </si>
  <si>
    <r>
      <t>γ</t>
    </r>
    <r>
      <rPr>
        <b/>
        <vertAlign val="subscript"/>
        <sz val="12"/>
        <rFont val="Arial"/>
        <family val="2"/>
        <charset val="204"/>
      </rPr>
      <t>C</t>
    </r>
  </si>
  <si>
    <r>
      <t>φ</t>
    </r>
    <r>
      <rPr>
        <b/>
        <vertAlign val="subscript"/>
        <sz val="10"/>
        <rFont val="Arial"/>
        <family val="2"/>
        <charset val="204"/>
      </rPr>
      <t>i</t>
    </r>
  </si>
  <si>
    <r>
      <t>θ</t>
    </r>
    <r>
      <rPr>
        <b/>
        <vertAlign val="subscript"/>
        <sz val="10"/>
        <rFont val="Arial"/>
        <family val="2"/>
        <charset val="204"/>
      </rPr>
      <t>i</t>
    </r>
  </si>
  <si>
    <r>
      <t>p</t>
    </r>
    <r>
      <rPr>
        <b/>
        <vertAlign val="subscript"/>
        <sz val="10"/>
        <rFont val="Arial"/>
        <family val="2"/>
        <charset val="204"/>
      </rPr>
      <t>w</t>
    </r>
  </si>
  <si>
    <r>
      <t>x</t>
    </r>
    <r>
      <rPr>
        <b/>
        <vertAlign val="subscript"/>
        <sz val="10"/>
        <rFont val="Arial"/>
        <family val="2"/>
        <charset val="204"/>
      </rPr>
      <t>i</t>
    </r>
  </si>
  <si>
    <t>Енергийна характеристика</t>
  </si>
  <si>
    <t>Подробно описание на площите по детайли</t>
  </si>
  <si>
    <t>Детайл</t>
  </si>
  <si>
    <t>Площ на елемента</t>
  </si>
  <si>
    <t>покрив с въздушно пространство &gt; 30см</t>
  </si>
  <si>
    <t>покрив плосък, покрив тераса</t>
  </si>
  <si>
    <t>проход, еркер</t>
  </si>
  <si>
    <t>под граничещ със земя над терен</t>
  </si>
  <si>
    <t>под над неотопляемо помещение</t>
  </si>
  <si>
    <t>покрив с въздпространство &lt; 30см</t>
  </si>
  <si>
    <r>
      <t>p</t>
    </r>
    <r>
      <rPr>
        <b/>
        <vertAlign val="subscript"/>
        <sz val="10"/>
        <rFont val="Arial"/>
        <family val="2"/>
        <charset val="204"/>
      </rPr>
      <t>ws i</t>
    </r>
  </si>
  <si>
    <t>4. Подложен пясък</t>
  </si>
  <si>
    <t>5. Почва</t>
  </si>
  <si>
    <t>Параметри за ефективност на отоплителна/охладителна инсталации, БГВ и вентилация</t>
  </si>
  <si>
    <t>отопление</t>
  </si>
  <si>
    <t>охлаждане</t>
  </si>
  <si>
    <t>вентилация - зима</t>
  </si>
  <si>
    <t>вентилация-лято</t>
  </si>
  <si>
    <r>
      <t>Q</t>
    </r>
    <r>
      <rPr>
        <b/>
        <vertAlign val="subscript"/>
        <sz val="12"/>
        <rFont val="Arial"/>
        <family val="2"/>
        <charset val="204"/>
      </rPr>
      <t>a,W</t>
    </r>
  </si>
  <si>
    <r>
      <t>Q</t>
    </r>
    <r>
      <rPr>
        <b/>
        <vertAlign val="subscript"/>
        <sz val="12"/>
        <rFont val="Arial"/>
        <family val="2"/>
        <charset val="204"/>
      </rPr>
      <t>p,W</t>
    </r>
  </si>
  <si>
    <t>Ще се отчита ли влажностният товар при охлаждане</t>
  </si>
  <si>
    <t>БГВ - лято</t>
  </si>
  <si>
    <t>БГВ - зима</t>
  </si>
  <si>
    <r>
      <t xml:space="preserve">Ефективност на генератора на топлина/студ </t>
    </r>
    <r>
      <rPr>
        <b/>
        <i/>
        <sz val="12"/>
        <rFont val="Arial"/>
        <family val="2"/>
        <charset val="204"/>
      </rPr>
      <t>η</t>
    </r>
    <r>
      <rPr>
        <b/>
        <i/>
        <vertAlign val="subscript"/>
        <sz val="12"/>
        <rFont val="Arial"/>
        <family val="2"/>
        <charset val="204"/>
      </rPr>
      <t>g</t>
    </r>
    <r>
      <rPr>
        <b/>
        <i/>
        <sz val="12"/>
        <rFont val="Arial"/>
        <family val="2"/>
        <charset val="204"/>
      </rPr>
      <t>, %</t>
    </r>
  </si>
  <si>
    <r>
      <t xml:space="preserve">Ефективност на преноса и разпределение на топлина/студ от генераторана до зоната (ефективност на инсталация) </t>
    </r>
    <r>
      <rPr>
        <b/>
        <i/>
        <sz val="12"/>
        <rFont val="Arial"/>
        <family val="2"/>
        <charset val="204"/>
      </rPr>
      <t>η</t>
    </r>
    <r>
      <rPr>
        <b/>
        <i/>
        <vertAlign val="subscript"/>
        <sz val="12"/>
        <rFont val="Arial"/>
        <family val="2"/>
        <charset val="204"/>
      </rPr>
      <t>d</t>
    </r>
    <r>
      <rPr>
        <b/>
        <i/>
        <sz val="12"/>
        <rFont val="Arial"/>
        <family val="2"/>
        <charset val="204"/>
      </rPr>
      <t>, %</t>
    </r>
  </si>
  <si>
    <r>
      <t xml:space="preserve">Ефективност на потдаване на топлина/студ о към отопляемия обем </t>
    </r>
    <r>
      <rPr>
        <b/>
        <i/>
        <sz val="12"/>
        <rFont val="Arial"/>
        <family val="2"/>
        <charset val="204"/>
      </rPr>
      <t>η</t>
    </r>
    <r>
      <rPr>
        <b/>
        <i/>
        <vertAlign val="subscript"/>
        <sz val="12"/>
        <rFont val="Arial"/>
        <family val="2"/>
        <charset val="204"/>
      </rPr>
      <t>e</t>
    </r>
    <r>
      <rPr>
        <b/>
        <i/>
        <sz val="12"/>
        <rFont val="Arial"/>
        <family val="2"/>
        <charset val="204"/>
      </rPr>
      <t>, %</t>
    </r>
  </si>
  <si>
    <r>
      <t xml:space="preserve">Ефективност на рекуператора на топлина </t>
    </r>
    <r>
      <rPr>
        <b/>
        <i/>
        <sz val="12"/>
        <rFont val="Arial"/>
        <family val="2"/>
        <charset val="204"/>
      </rPr>
      <t>η</t>
    </r>
    <r>
      <rPr>
        <b/>
        <i/>
        <vertAlign val="subscript"/>
        <sz val="12"/>
        <rFont val="Arial"/>
        <family val="2"/>
        <charset val="204"/>
      </rPr>
      <t>r</t>
    </r>
    <r>
      <rPr>
        <b/>
        <i/>
        <sz val="12"/>
        <rFont val="Arial"/>
        <family val="2"/>
        <charset val="204"/>
      </rPr>
      <t>, %</t>
    </r>
  </si>
  <si>
    <r>
      <t xml:space="preserve">Ефективност на системата за автоматично управление </t>
    </r>
    <r>
      <rPr>
        <b/>
        <i/>
        <sz val="12"/>
        <rFont val="Arial"/>
        <family val="2"/>
        <charset val="204"/>
      </rPr>
      <t>η</t>
    </r>
    <r>
      <rPr>
        <b/>
        <i/>
        <vertAlign val="subscript"/>
        <sz val="12"/>
        <rFont val="Arial"/>
        <family val="2"/>
        <charset val="204"/>
      </rPr>
      <t>a</t>
    </r>
    <r>
      <rPr>
        <b/>
        <i/>
        <sz val="12"/>
        <rFont val="Arial"/>
        <family val="2"/>
        <charset val="204"/>
      </rPr>
      <t>, %</t>
    </r>
  </si>
  <si>
    <t>дълж на топлинен мост на стени</t>
  </si>
  <si>
    <t>Клим зона №</t>
  </si>
  <si>
    <t>№ на климатична зона</t>
  </si>
  <si>
    <t>Изчислителни денградуси за Климатичната зона</t>
  </si>
  <si>
    <t>Потребна топлина за загряване на вода за БГВ - зимен период</t>
  </si>
  <si>
    <t>БГВ - зимен период</t>
  </si>
  <si>
    <t>БГВ - летен период</t>
  </si>
  <si>
    <t>Потребна топлина за загряване на вода за БГВ - летен период</t>
  </si>
  <si>
    <t>Брутна енергия за БГВ - зимен период</t>
  </si>
  <si>
    <t>Брутна енергия за БГВ - летен период</t>
  </si>
  <si>
    <t>Обем от сградата в който има принудителна вентилация</t>
  </si>
  <si>
    <t>Под върху терен</t>
  </si>
  <si>
    <t>Под над неотопляем етаж</t>
  </si>
  <si>
    <t>Под на отопляем етаж</t>
  </si>
  <si>
    <t>Обобщени коефициенти</t>
  </si>
  <si>
    <r>
      <t>А*H</t>
    </r>
    <r>
      <rPr>
        <b/>
        <vertAlign val="subscript"/>
        <sz val="12"/>
        <rFont val="Arial"/>
        <family val="2"/>
        <charset val="204"/>
      </rPr>
      <t>pi</t>
    </r>
  </si>
  <si>
    <r>
      <t>А*H</t>
    </r>
    <r>
      <rPr>
        <b/>
        <vertAlign val="subscript"/>
        <sz val="12"/>
        <rFont val="Arial"/>
        <family val="2"/>
        <charset val="204"/>
      </rPr>
      <t>pе</t>
    </r>
  </si>
  <si>
    <t>Описание на електроуредите извън сградата не влияещи на топлинния баланс</t>
  </si>
  <si>
    <t>Вид потребление</t>
  </si>
  <si>
    <t>Охлаждане</t>
  </si>
  <si>
    <t>Тип на горивото</t>
  </si>
  <si>
    <t>Вентилация - зимен период</t>
  </si>
  <si>
    <t>Вентилация - летен период</t>
  </si>
  <si>
    <t>Под граничещ с неотопляемо помещение</t>
  </si>
  <si>
    <t>Под граничещ със земя, над нивото на терена</t>
  </si>
  <si>
    <t>Коефициент на топлопреминаване на стена граничеща с външен въздух</t>
  </si>
  <si>
    <t>Обобщен коефициент на топлопреминаване през под върху</t>
  </si>
  <si>
    <t>Под граничещ със земя в отопляем подземен етаж</t>
  </si>
  <si>
    <t>Инсталирана мощност за отопление, kW</t>
  </si>
  <si>
    <t>Необходима мощност на топлоизточника за сградата при отопление с климатици</t>
  </si>
  <si>
    <t>q=</t>
  </si>
  <si>
    <t>W/м3</t>
  </si>
  <si>
    <t>Описание на плътни врати по типове и фасади</t>
  </si>
  <si>
    <t>Стена на отопляем подземен етаж граничеща със земя</t>
  </si>
  <si>
    <t>Подова плоча на отопляем подземен етаж граничеща със земя</t>
  </si>
  <si>
    <t>1. Хидроизолация</t>
  </si>
  <si>
    <t>2. Стоманобетонов зид</t>
  </si>
  <si>
    <t>Обобщен коефициент на топлопреминаване през под граничещ с терен</t>
  </si>
  <si>
    <t xml:space="preserve">   при отопляем подземен етаж</t>
  </si>
  <si>
    <t>1. Керемиди</t>
  </si>
  <si>
    <t>3. Дъсчена обшивка</t>
  </si>
  <si>
    <t>2. Хидроизолация</t>
  </si>
  <si>
    <t>4. Гредоред</t>
  </si>
  <si>
    <t>6. Обшивка на изолация</t>
  </si>
  <si>
    <r>
      <t>R</t>
    </r>
    <r>
      <rPr>
        <b/>
        <vertAlign val="subscript"/>
        <sz val="12"/>
        <rFont val="Arial"/>
        <family val="2"/>
        <charset val="204"/>
      </rPr>
      <t>2</t>
    </r>
    <r>
      <rPr>
        <b/>
        <sz val="12"/>
        <rFont val="Arial"/>
        <family val="2"/>
        <charset val="204"/>
      </rPr>
      <t>=</t>
    </r>
  </si>
  <si>
    <t>2. Пароизолация</t>
  </si>
  <si>
    <t>3. Изравнителна цим замазка</t>
  </si>
  <si>
    <t>4. Стоманобетонова плоча</t>
  </si>
  <si>
    <t>5. Вътрешна мазилка</t>
  </si>
  <si>
    <r>
      <t>R</t>
    </r>
    <r>
      <rPr>
        <b/>
        <vertAlign val="subscript"/>
        <sz val="12"/>
        <rFont val="Arial"/>
        <family val="2"/>
        <charset val="204"/>
      </rPr>
      <t>1</t>
    </r>
    <r>
      <rPr>
        <b/>
        <sz val="12"/>
        <rFont val="Arial"/>
        <family val="2"/>
        <charset val="204"/>
      </rPr>
      <t>=</t>
    </r>
  </si>
  <si>
    <t xml:space="preserve">   конструкция при скатен необитаем покрив</t>
  </si>
  <si>
    <t>Покрив скатен необитаем (с въздушно пространство &gt;30см)</t>
  </si>
  <si>
    <t>1. Покривно (подово) покритие</t>
  </si>
  <si>
    <t>3. Изравнителна циментова замазка</t>
  </si>
  <si>
    <t>5. Пароизолация</t>
  </si>
  <si>
    <r>
      <t>R</t>
    </r>
    <r>
      <rPr>
        <b/>
        <sz val="12"/>
        <rFont val="Arial"/>
        <family val="2"/>
        <charset val="204"/>
      </rPr>
      <t>=</t>
    </r>
  </si>
  <si>
    <t>Коефициент на топлопреминаване на покривната конструкция</t>
  </si>
  <si>
    <t>1. Външна мазилка</t>
  </si>
  <si>
    <t>2. Стъкловлакнеста мрежа</t>
  </si>
  <si>
    <t>4. Зидария решетъчни тухли</t>
  </si>
  <si>
    <t>1. Подово покритие</t>
  </si>
  <si>
    <t>2. Циментова замазка</t>
  </si>
  <si>
    <t>1. Топлоизолация дюшеци минерална вата</t>
  </si>
  <si>
    <t>Коефициент на топлопреминаване на външна стена</t>
  </si>
  <si>
    <t>Коефициент на топлопреминаване на подовата конструкция</t>
  </si>
  <si>
    <r>
      <t>U</t>
    </r>
    <r>
      <rPr>
        <b/>
        <i/>
        <vertAlign val="subscript"/>
        <sz val="14"/>
        <rFont val="Arial"/>
        <family val="2"/>
        <charset val="204"/>
      </rPr>
      <t>w</t>
    </r>
    <r>
      <rPr>
        <b/>
        <i/>
        <sz val="14"/>
        <rFont val="Arial"/>
        <family val="2"/>
        <charset val="204"/>
      </rPr>
      <t>=</t>
    </r>
  </si>
  <si>
    <r>
      <t>R</t>
    </r>
    <r>
      <rPr>
        <b/>
        <vertAlign val="subscript"/>
        <sz val="12"/>
        <rFont val="Arial"/>
        <family val="2"/>
        <charset val="204"/>
      </rPr>
      <t>w</t>
    </r>
    <r>
      <rPr>
        <b/>
        <sz val="12"/>
        <rFont val="Arial"/>
        <family val="2"/>
        <charset val="204"/>
      </rPr>
      <t>=</t>
    </r>
  </si>
  <si>
    <t>Прозорци на фасадите</t>
  </si>
  <si>
    <t>Прозорци на покрива</t>
  </si>
  <si>
    <t>Площ</t>
  </si>
  <si>
    <t>Коеф. на топлопреминаване</t>
  </si>
  <si>
    <t>проектен</t>
  </si>
  <si>
    <t>референтен</t>
  </si>
  <si>
    <r>
      <t>W/m</t>
    </r>
    <r>
      <rPr>
        <vertAlign val="superscript"/>
        <sz val="12"/>
        <rFont val="Arial"/>
        <family val="2"/>
        <charset val="204"/>
      </rPr>
      <t>2</t>
    </r>
    <r>
      <rPr>
        <sz val="12"/>
        <rFont val="Arial"/>
        <family val="2"/>
        <charset val="204"/>
      </rPr>
      <t>K</t>
    </r>
  </si>
  <si>
    <t>g CO2/ kWh</t>
  </si>
  <si>
    <t>Климатична зона №1</t>
  </si>
  <si>
    <t>Данни които се използват в сметките</t>
  </si>
  <si>
    <t>Климатична зона №2</t>
  </si>
  <si>
    <t>Климатична зона №9</t>
  </si>
  <si>
    <t>Климатична зона №8</t>
  </si>
  <si>
    <t>Климатична зона №7</t>
  </si>
  <si>
    <t>Климатична зона №6</t>
  </si>
  <si>
    <t>Климатична зона №5</t>
  </si>
  <si>
    <r>
      <t>m</t>
    </r>
    <r>
      <rPr>
        <vertAlign val="superscript"/>
        <sz val="12"/>
        <rFont val="Arial"/>
        <family val="2"/>
        <charset val="204"/>
      </rPr>
      <t>2</t>
    </r>
    <r>
      <rPr>
        <sz val="10"/>
        <rFont val="Arial"/>
        <charset val="204"/>
      </rPr>
      <t/>
    </r>
  </si>
  <si>
    <t>Климатична зона №4</t>
  </si>
  <si>
    <t>Климатична зона №3</t>
  </si>
  <si>
    <t>Това е малка помощ за ползване на таблиците за изчисляване на енергийна ефективност на сгради направена като въпроси и отговори</t>
  </si>
  <si>
    <t>В: Как се попълва таблицата?</t>
  </si>
  <si>
    <t>В: Защо ги няма всички формули?</t>
  </si>
  <si>
    <t>О: Разчита се на това че програмата се използва от лице запознато с Наредба №7 и е наясно кое как се получава. Същото важи и за проверяващите органи!</t>
  </si>
  <si>
    <t>В: Защо в разпечатката не се виждат температурите по месеци?</t>
  </si>
  <si>
    <t>В: Как да променя данните за климатичната зона за която ми трябва да направя изчисления?</t>
  </si>
  <si>
    <t>В: Мога ли да изтривам редове от таблицата?</t>
  </si>
  <si>
    <t>О: Можете. Таблицата не е защитена по никъкъв начин, но това най-вероятно ще доведе до грешни резултати.</t>
  </si>
  <si>
    <t>В: Как тогава да скрия неща които не искам да се разпечатват?</t>
  </si>
  <si>
    <t>Април месец</t>
  </si>
  <si>
    <t>Октомври месец</t>
  </si>
  <si>
    <r>
      <t>Стени без проз и вр, м</t>
    </r>
    <r>
      <rPr>
        <b/>
        <i/>
        <vertAlign val="superscript"/>
        <sz val="12"/>
        <rFont val="Arial"/>
        <family val="2"/>
        <charset val="204"/>
      </rPr>
      <t>2</t>
    </r>
  </si>
  <si>
    <t>Описание на стените по фасади (включително прозорци и врати)</t>
  </si>
  <si>
    <t>О: Маркирате редовете които искате да скриете (това става като маркирате номерцата в ляво от колонко `А`), цъкате с десния бутон на мишката върху вече маркиран ред (отново върху маркирано номерче в ляво от колонка `А`) и давате "Hide".</t>
  </si>
  <si>
    <t>В: Скрих неща които ми трябват как да ги покажа?</t>
  </si>
  <si>
    <t>В: Мога ли да разпространявам тази програма?</t>
  </si>
  <si>
    <t>U*A</t>
  </si>
  <si>
    <t>Описание на стена на неотопляемо помещение към отопляемо помещение, по фасади</t>
  </si>
  <si>
    <t>Описание на пр на неотпляемо поме към отопляемо помещение по фасади</t>
  </si>
  <si>
    <t>Зимен период</t>
  </si>
  <si>
    <t>В: Програмата много ми харесва и искам да даря на автора за да продължи разработката. Как може да стане това?</t>
  </si>
  <si>
    <t>О: Свържете се с автора на e-mail: milen_halkov@mail.bg</t>
  </si>
  <si>
    <t>О: Програмата е разработена от инж. Милен Халков и активно тествана от инж. Стефан Маринов. За въпроси e-mail: milen_halkov@mail.bg</t>
  </si>
  <si>
    <t>4. Топлоизолация ЕPS</t>
  </si>
  <si>
    <t>О: Таблицата се попълва само между колонки от A до L като се попълват стойности в оранжевите клетки. Всички останали стойности се получават автоматично. Стойностите и данните след колонка L (от М нататък) са помощни при изчислението на отделните параметри.</t>
  </si>
  <si>
    <t>О: Тъй като изчисленията се правят почасово за цялата година, таблицата става твърде обемиста и в разпечатката се представят само обобщени месечни резултати.</t>
  </si>
  <si>
    <t>О: Намирате участъка които мислите че сте скрили. Номерцата на редовете (в ляво от колонка `А`) трябва да не са поредни, това означава че има скрити редове. Маркирате два реда с непоследователни номерца и с десния бутон на мишката (отново върху маркирано номерче в ляво от колонка `А`) и давате "Unhide".</t>
  </si>
  <si>
    <r>
      <t>θ</t>
    </r>
    <r>
      <rPr>
        <i/>
        <vertAlign val="subscript"/>
        <sz val="10"/>
        <rFont val="Arial"/>
        <family val="2"/>
        <charset val="204"/>
      </rPr>
      <t>е</t>
    </r>
    <r>
      <rPr>
        <i/>
        <sz val="10"/>
        <rFont val="Arial"/>
        <family val="2"/>
        <charset val="204"/>
      </rPr>
      <t>=</t>
    </r>
  </si>
  <si>
    <t>януари средна месечна</t>
  </si>
  <si>
    <t>Летен период</t>
  </si>
  <si>
    <t>DD</t>
  </si>
  <si>
    <r>
      <t>Q</t>
    </r>
    <r>
      <rPr>
        <b/>
        <vertAlign val="subscript"/>
        <sz val="12"/>
        <rFont val="Arial"/>
        <family val="2"/>
        <charset val="204"/>
      </rPr>
      <t>ht, нетна</t>
    </r>
  </si>
  <si>
    <r>
      <t>Q</t>
    </r>
    <r>
      <rPr>
        <b/>
        <vertAlign val="subscript"/>
        <sz val="12"/>
        <rFont val="Arial"/>
        <family val="2"/>
        <charset val="204"/>
      </rPr>
      <t>ht, нетн, пр</t>
    </r>
  </si>
  <si>
    <r>
      <t>Q</t>
    </r>
    <r>
      <rPr>
        <b/>
        <vertAlign val="subscript"/>
        <sz val="12"/>
        <rFont val="Arial"/>
        <family val="2"/>
        <charset val="204"/>
      </rPr>
      <t>H,nd, нетна</t>
    </r>
  </si>
  <si>
    <r>
      <t>Q</t>
    </r>
    <r>
      <rPr>
        <b/>
        <vertAlign val="subscript"/>
        <sz val="12"/>
        <rFont val="Arial"/>
        <family val="2"/>
        <charset val="204"/>
      </rPr>
      <t>H,gn, нетна</t>
    </r>
  </si>
  <si>
    <r>
      <t>Q</t>
    </r>
    <r>
      <rPr>
        <b/>
        <vertAlign val="subscript"/>
        <sz val="12"/>
        <rFont val="Arial"/>
        <family val="2"/>
        <charset val="204"/>
      </rPr>
      <t>С,gn, нетна</t>
    </r>
  </si>
  <si>
    <r>
      <t>Q</t>
    </r>
    <r>
      <rPr>
        <b/>
        <vertAlign val="subscript"/>
        <sz val="12"/>
        <rFont val="Arial"/>
        <family val="2"/>
        <charset val="204"/>
      </rPr>
      <t>C, нетна, пр</t>
    </r>
  </si>
  <si>
    <r>
      <t>Q</t>
    </r>
    <r>
      <rPr>
        <b/>
        <vertAlign val="subscript"/>
        <sz val="12"/>
        <rFont val="Arial"/>
        <family val="2"/>
        <charset val="204"/>
      </rPr>
      <t>C, нетна</t>
    </r>
  </si>
  <si>
    <r>
      <t>Q</t>
    </r>
    <r>
      <rPr>
        <b/>
        <vertAlign val="subscript"/>
        <sz val="12"/>
        <rFont val="Arial"/>
        <family val="2"/>
        <charset val="204"/>
      </rPr>
      <t>C,nd, нетна</t>
    </r>
  </si>
  <si>
    <t>О: ДА! Желателно е да я разпространявате за да могат да се открият евентуални грешки по-бързо (ако повече хора гледат, по-бързо могат да хванат грешките). Програмата се разпространява под свободен лиценз GNU/GPL V2</t>
  </si>
  <si>
    <t>В: Какво означава този лиценз GNU/GPL V2 ?</t>
  </si>
  <si>
    <t>http://bulgaria.sourceforge.net/prava/gplbg.html</t>
  </si>
  <si>
    <r>
      <t>Заб: Степента на чернота на повърхността `</t>
    </r>
    <r>
      <rPr>
        <sz val="14"/>
        <rFont val="Arial"/>
        <family val="2"/>
        <charset val="204"/>
      </rPr>
      <t>ε</t>
    </r>
    <r>
      <rPr>
        <i/>
        <sz val="14"/>
        <rFont val="Times New Roman"/>
        <family val="1"/>
        <charset val="204"/>
      </rPr>
      <t>` е приета 0,55 за прозрачни елементи</t>
    </r>
  </si>
  <si>
    <r>
      <t>h</t>
    </r>
    <r>
      <rPr>
        <i/>
        <vertAlign val="subscript"/>
        <sz val="12"/>
        <rFont val="Arial"/>
        <family val="2"/>
        <charset val="204"/>
      </rPr>
      <t>r</t>
    </r>
    <r>
      <rPr>
        <i/>
        <sz val="12"/>
        <rFont val="Arial"/>
        <family val="2"/>
        <charset val="204"/>
      </rPr>
      <t>=</t>
    </r>
  </si>
  <si>
    <t>Коефициент на топлопредаване чрез излъчване към небосвода</t>
  </si>
  <si>
    <t>Определяне на параметрите на слънчево облъчване</t>
  </si>
  <si>
    <t>О: На практика това означава че можете да разпространявате и променяте както и колкото си искате програмата но трябва да дадете възможност на тези на които я давате да правят същото, т.е. Да не поставят защити (съдържанието на лиценза можете да прочетете тук )</t>
  </si>
  <si>
    <t>3. Стоманобетонов зид</t>
  </si>
  <si>
    <t>4. Вътрешна мазилка</t>
  </si>
  <si>
    <t>В: Кой всъщност е направил програмата и кого мога да питам относно попълването и алгоритъма?</t>
  </si>
  <si>
    <t>&lt;&lt;&lt;&lt;&lt;</t>
  </si>
  <si>
    <r>
      <t>θ</t>
    </r>
    <r>
      <rPr>
        <b/>
        <vertAlign val="subscript"/>
        <sz val="10"/>
        <rFont val="Arial"/>
        <family val="2"/>
        <charset val="204"/>
      </rPr>
      <t>е</t>
    </r>
  </si>
  <si>
    <r>
      <t>φ</t>
    </r>
    <r>
      <rPr>
        <b/>
        <vertAlign val="subscript"/>
        <sz val="10"/>
        <rFont val="Arial"/>
        <family val="2"/>
        <charset val="204"/>
      </rPr>
      <t>е</t>
    </r>
  </si>
  <si>
    <r>
      <t>I</t>
    </r>
    <r>
      <rPr>
        <b/>
        <vertAlign val="subscript"/>
        <sz val="10"/>
        <rFont val="Arial"/>
        <family val="2"/>
        <charset val="204"/>
      </rPr>
      <t>sol, с</t>
    </r>
  </si>
  <si>
    <r>
      <t>I</t>
    </r>
    <r>
      <rPr>
        <b/>
        <vertAlign val="subscript"/>
        <sz val="10"/>
        <rFont val="Arial"/>
        <family val="2"/>
        <charset val="204"/>
      </rPr>
      <t>sol, и</t>
    </r>
  </si>
  <si>
    <r>
      <t>I</t>
    </r>
    <r>
      <rPr>
        <b/>
        <vertAlign val="subscript"/>
        <sz val="10"/>
        <rFont val="Arial"/>
        <family val="2"/>
        <charset val="204"/>
      </rPr>
      <t>sol, ю</t>
    </r>
  </si>
  <si>
    <r>
      <t>I</t>
    </r>
    <r>
      <rPr>
        <b/>
        <vertAlign val="subscript"/>
        <sz val="10"/>
        <rFont val="Arial"/>
        <family val="2"/>
        <charset val="204"/>
      </rPr>
      <t>sol, з</t>
    </r>
  </si>
  <si>
    <r>
      <t>I</t>
    </r>
    <r>
      <rPr>
        <b/>
        <vertAlign val="subscript"/>
        <sz val="10"/>
        <rFont val="Arial"/>
        <family val="2"/>
        <charset val="204"/>
      </rPr>
      <t>sol, хор</t>
    </r>
  </si>
  <si>
    <t>h</t>
  </si>
  <si>
    <t>m</t>
  </si>
  <si>
    <t>V</t>
  </si>
  <si>
    <t>P</t>
  </si>
  <si>
    <t>Общо</t>
  </si>
  <si>
    <t>Обща площ на сградните ограждащи елементи</t>
  </si>
  <si>
    <t>Обща площ на ограждащите елементи на сградата</t>
  </si>
  <si>
    <r>
      <t>A</t>
    </r>
    <r>
      <rPr>
        <vertAlign val="subscript"/>
        <sz val="12"/>
        <rFont val="Arial"/>
        <family val="2"/>
        <charset val="204"/>
      </rPr>
      <t>f</t>
    </r>
  </si>
  <si>
    <r>
      <t>A</t>
    </r>
    <r>
      <rPr>
        <vertAlign val="subscript"/>
        <sz val="12"/>
        <rFont val="Arial"/>
        <family val="2"/>
        <charset val="204"/>
      </rPr>
      <t>ок</t>
    </r>
  </si>
  <si>
    <r>
      <t>А</t>
    </r>
    <r>
      <rPr>
        <vertAlign val="subscript"/>
        <sz val="12"/>
        <rFont val="Arial"/>
        <family val="2"/>
        <charset val="204"/>
      </rPr>
      <t>ерк</t>
    </r>
  </si>
  <si>
    <r>
      <t>m</t>
    </r>
    <r>
      <rPr>
        <vertAlign val="superscript"/>
        <sz val="12"/>
        <rFont val="Arial"/>
        <family val="2"/>
        <charset val="204"/>
      </rPr>
      <t>2</t>
    </r>
  </si>
  <si>
    <r>
      <t>m</t>
    </r>
    <r>
      <rPr>
        <vertAlign val="superscript"/>
        <sz val="12"/>
        <rFont val="Arial"/>
        <family val="2"/>
        <charset val="204"/>
      </rPr>
      <t>3</t>
    </r>
  </si>
  <si>
    <r>
      <t>m</t>
    </r>
    <r>
      <rPr>
        <b/>
        <i/>
        <vertAlign val="superscript"/>
        <sz val="12"/>
        <rFont val="Arial"/>
        <family val="2"/>
        <charset val="204"/>
      </rPr>
      <t>2</t>
    </r>
  </si>
  <si>
    <t>A=</t>
  </si>
  <si>
    <t>P=</t>
  </si>
  <si>
    <t>B`=</t>
  </si>
  <si>
    <t>Външни стени, граничещи с външен въздух</t>
  </si>
  <si>
    <r>
      <t>L</t>
    </r>
    <r>
      <rPr>
        <vertAlign val="subscript"/>
        <sz val="12"/>
        <rFont val="Arial"/>
        <family val="2"/>
        <charset val="204"/>
      </rPr>
      <t>ерк</t>
    </r>
  </si>
  <si>
    <t>Външна стена на отопляем подземен етаж граничеща със земя</t>
  </si>
  <si>
    <t>Под над земя, без подземен етаж</t>
  </si>
  <si>
    <t>Под над външен въздух</t>
  </si>
  <si>
    <t>Елемент</t>
  </si>
  <si>
    <t>U</t>
  </si>
  <si>
    <t>A</t>
  </si>
  <si>
    <t>Ψ</t>
  </si>
  <si>
    <r>
      <t>m</t>
    </r>
    <r>
      <rPr>
        <vertAlign val="superscript"/>
        <sz val="12"/>
        <rFont val="Arial"/>
        <family val="2"/>
        <charset val="204"/>
      </rPr>
      <t>2</t>
    </r>
  </si>
  <si>
    <t>Коефициента на пренос на топлина чрез топлопреминаване през</t>
  </si>
  <si>
    <t>Прозорци PVC двойно остъклени</t>
  </si>
  <si>
    <r>
      <t>l</t>
    </r>
    <r>
      <rPr>
        <b/>
        <vertAlign val="subscript"/>
        <sz val="12"/>
        <rFont val="Arial"/>
        <family val="2"/>
        <charset val="204"/>
      </rPr>
      <t>k</t>
    </r>
  </si>
  <si>
    <r>
      <t>l</t>
    </r>
    <r>
      <rPr>
        <vertAlign val="subscript"/>
        <sz val="12"/>
        <rFont val="Arial"/>
        <family val="2"/>
        <charset val="204"/>
      </rPr>
      <t>kвст</t>
    </r>
    <r>
      <rPr>
        <sz val="12"/>
        <rFont val="Arial"/>
        <family val="2"/>
        <charset val="204"/>
      </rPr>
      <t>=</t>
    </r>
  </si>
  <si>
    <r>
      <t>l</t>
    </r>
    <r>
      <rPr>
        <vertAlign val="subscript"/>
        <sz val="12"/>
        <rFont val="Arial"/>
        <family val="2"/>
        <charset val="204"/>
      </rPr>
      <t>kпр</t>
    </r>
    <r>
      <rPr>
        <sz val="12"/>
        <rFont val="Arial"/>
        <family val="2"/>
        <charset val="204"/>
      </rPr>
      <t>=</t>
    </r>
  </si>
  <si>
    <r>
      <t>l</t>
    </r>
    <r>
      <rPr>
        <vertAlign val="subscript"/>
        <sz val="12"/>
        <rFont val="Arial"/>
        <family val="2"/>
        <charset val="204"/>
      </rPr>
      <t>kе</t>
    </r>
    <r>
      <rPr>
        <sz val="12"/>
        <rFont val="Arial"/>
        <family val="2"/>
        <charset val="204"/>
      </rPr>
      <t>=</t>
    </r>
  </si>
  <si>
    <r>
      <t>Коефициента на пренос на топлина чрез топлопреминаване през земята - H</t>
    </r>
    <r>
      <rPr>
        <vertAlign val="subscript"/>
        <sz val="14"/>
        <rFont val="Times New Roman"/>
        <family val="1"/>
        <charset val="204"/>
      </rPr>
      <t>g</t>
    </r>
  </si>
  <si>
    <r>
      <t>Коефициента на пренос на топлина чрез топлопреминаване - H</t>
    </r>
    <r>
      <rPr>
        <vertAlign val="subscript"/>
        <sz val="14"/>
        <rFont val="Times New Roman"/>
        <family val="1"/>
        <charset val="204"/>
      </rPr>
      <t>tr</t>
    </r>
  </si>
  <si>
    <r>
      <t>H</t>
    </r>
    <r>
      <rPr>
        <b/>
        <i/>
        <vertAlign val="subscript"/>
        <sz val="14"/>
        <rFont val="Arial"/>
        <family val="2"/>
        <charset val="204"/>
      </rPr>
      <t>tr</t>
    </r>
    <r>
      <rPr>
        <b/>
        <i/>
        <sz val="14"/>
        <rFont val="Arial"/>
        <family val="2"/>
        <charset val="204"/>
      </rPr>
      <t>=</t>
    </r>
  </si>
  <si>
    <r>
      <t>H</t>
    </r>
    <r>
      <rPr>
        <b/>
        <i/>
        <vertAlign val="subscript"/>
        <sz val="12"/>
        <rFont val="Arial"/>
        <family val="2"/>
        <charset val="204"/>
      </rPr>
      <t>g</t>
    </r>
    <r>
      <rPr>
        <b/>
        <i/>
        <sz val="12"/>
        <rFont val="Arial"/>
        <family val="2"/>
        <charset val="204"/>
      </rPr>
      <t>=</t>
    </r>
  </si>
  <si>
    <r>
      <t>H</t>
    </r>
    <r>
      <rPr>
        <b/>
        <i/>
        <vertAlign val="subscript"/>
        <sz val="12"/>
        <rFont val="Arial"/>
        <family val="2"/>
        <charset val="204"/>
      </rPr>
      <t>D</t>
    </r>
    <r>
      <rPr>
        <b/>
        <i/>
        <sz val="12"/>
        <rFont val="Arial"/>
        <family val="2"/>
        <charset val="204"/>
      </rPr>
      <t>=</t>
    </r>
  </si>
  <si>
    <r>
      <t>H</t>
    </r>
    <r>
      <rPr>
        <b/>
        <i/>
        <vertAlign val="subscript"/>
        <sz val="14"/>
        <rFont val="Arial"/>
        <family val="2"/>
        <charset val="204"/>
      </rPr>
      <t>pi</t>
    </r>
    <r>
      <rPr>
        <b/>
        <i/>
        <sz val="14"/>
        <rFont val="Arial"/>
        <family val="2"/>
        <charset val="204"/>
      </rPr>
      <t>=</t>
    </r>
  </si>
  <si>
    <r>
      <t>H</t>
    </r>
    <r>
      <rPr>
        <b/>
        <i/>
        <vertAlign val="subscript"/>
        <sz val="14"/>
        <rFont val="Arial"/>
        <family val="2"/>
        <charset val="204"/>
      </rPr>
      <t>pе</t>
    </r>
    <r>
      <rPr>
        <b/>
        <i/>
        <sz val="14"/>
        <rFont val="Arial"/>
        <family val="2"/>
        <charset val="204"/>
      </rPr>
      <t>=</t>
    </r>
  </si>
  <si>
    <t>Месец</t>
  </si>
  <si>
    <t>Февр</t>
  </si>
  <si>
    <t>Март</t>
  </si>
  <si>
    <t>Април</t>
  </si>
  <si>
    <t>Окт</t>
  </si>
  <si>
    <t>Ное</t>
  </si>
  <si>
    <t>Дек</t>
  </si>
  <si>
    <t>№</t>
  </si>
  <si>
    <r>
      <t>Q</t>
    </r>
    <r>
      <rPr>
        <b/>
        <vertAlign val="subscript"/>
        <sz val="12"/>
        <rFont val="Arial"/>
        <family val="2"/>
        <charset val="204"/>
      </rPr>
      <t>tr</t>
    </r>
  </si>
  <si>
    <r>
      <t>l</t>
    </r>
    <r>
      <rPr>
        <vertAlign val="subscript"/>
        <sz val="12"/>
        <rFont val="Arial"/>
        <family val="2"/>
        <charset val="204"/>
      </rPr>
      <t>kпокр</t>
    </r>
    <r>
      <rPr>
        <sz val="12"/>
        <rFont val="Arial"/>
        <family val="2"/>
        <charset val="204"/>
      </rPr>
      <t>=</t>
    </r>
  </si>
  <si>
    <r>
      <t>H</t>
    </r>
    <r>
      <rPr>
        <b/>
        <i/>
        <vertAlign val="subscript"/>
        <sz val="14"/>
        <rFont val="Arial"/>
        <family val="2"/>
        <charset val="204"/>
      </rPr>
      <t>vе</t>
    </r>
    <r>
      <rPr>
        <b/>
        <i/>
        <sz val="14"/>
        <rFont val="Arial"/>
        <family val="2"/>
        <charset val="204"/>
      </rPr>
      <t>=</t>
    </r>
  </si>
  <si>
    <r>
      <t>Q</t>
    </r>
    <r>
      <rPr>
        <b/>
        <vertAlign val="subscript"/>
        <sz val="12"/>
        <rFont val="Arial"/>
        <family val="2"/>
        <charset val="204"/>
      </rPr>
      <t>ve</t>
    </r>
  </si>
  <si>
    <r>
      <t>Q</t>
    </r>
    <r>
      <rPr>
        <b/>
        <vertAlign val="subscript"/>
        <sz val="12"/>
        <rFont val="Arial"/>
        <family val="2"/>
        <charset val="204"/>
      </rPr>
      <t>int</t>
    </r>
  </si>
  <si>
    <r>
      <t>Ф</t>
    </r>
    <r>
      <rPr>
        <b/>
        <vertAlign val="subscript"/>
        <sz val="12"/>
        <rFont val="Arial"/>
        <family val="2"/>
        <charset val="204"/>
      </rPr>
      <t>sol, и</t>
    </r>
  </si>
  <si>
    <r>
      <t>Ф</t>
    </r>
    <r>
      <rPr>
        <b/>
        <vertAlign val="subscript"/>
        <sz val="12"/>
        <rFont val="Arial"/>
        <family val="2"/>
        <charset val="204"/>
      </rPr>
      <t>sol, з</t>
    </r>
  </si>
  <si>
    <r>
      <t>Ф</t>
    </r>
    <r>
      <rPr>
        <b/>
        <vertAlign val="subscript"/>
        <sz val="12"/>
        <rFont val="Arial"/>
        <family val="2"/>
        <charset val="204"/>
      </rPr>
      <t>sol, с</t>
    </r>
  </si>
  <si>
    <r>
      <t>Ф</t>
    </r>
    <r>
      <rPr>
        <b/>
        <vertAlign val="subscript"/>
        <sz val="12"/>
        <rFont val="Arial"/>
        <family val="2"/>
        <charset val="204"/>
      </rPr>
      <t>sol, ю</t>
    </r>
  </si>
  <si>
    <r>
      <t>Q</t>
    </r>
    <r>
      <rPr>
        <b/>
        <vertAlign val="subscript"/>
        <sz val="12"/>
        <rFont val="Arial"/>
        <family val="2"/>
        <charset val="204"/>
      </rPr>
      <t>sol</t>
    </r>
  </si>
  <si>
    <t>η</t>
  </si>
  <si>
    <r>
      <t>I</t>
    </r>
    <r>
      <rPr>
        <b/>
        <vertAlign val="subscript"/>
        <sz val="12"/>
        <rFont val="Arial"/>
        <family val="2"/>
        <charset val="204"/>
      </rPr>
      <t>sol, и</t>
    </r>
  </si>
  <si>
    <r>
      <t>I</t>
    </r>
    <r>
      <rPr>
        <b/>
        <vertAlign val="subscript"/>
        <sz val="12"/>
        <rFont val="Arial"/>
        <family val="2"/>
        <charset val="204"/>
      </rPr>
      <t>sol, з</t>
    </r>
  </si>
  <si>
    <r>
      <t>I</t>
    </r>
    <r>
      <rPr>
        <b/>
        <vertAlign val="subscript"/>
        <sz val="12"/>
        <rFont val="Arial"/>
        <family val="2"/>
        <charset val="204"/>
      </rPr>
      <t>sol, с</t>
    </r>
  </si>
  <si>
    <t>Клас на енергопотребление определен като първична енергия на</t>
  </si>
  <si>
    <r>
      <t>I</t>
    </r>
    <r>
      <rPr>
        <b/>
        <vertAlign val="subscript"/>
        <sz val="12"/>
        <rFont val="Arial"/>
        <family val="2"/>
        <charset val="204"/>
      </rPr>
      <t>sol, ю</t>
    </r>
  </si>
  <si>
    <t>kWh</t>
  </si>
  <si>
    <t>C</t>
  </si>
  <si>
    <r>
      <t>W/m</t>
    </r>
    <r>
      <rPr>
        <i/>
        <vertAlign val="superscript"/>
        <sz val="10"/>
        <rFont val="Arial"/>
        <family val="2"/>
        <charset val="204"/>
      </rPr>
      <t>2</t>
    </r>
  </si>
  <si>
    <t>W/K</t>
  </si>
  <si>
    <t>W</t>
  </si>
  <si>
    <t>-</t>
  </si>
  <si>
    <t>U=</t>
  </si>
  <si>
    <r>
      <t xml:space="preserve">   Q</t>
    </r>
    <r>
      <rPr>
        <vertAlign val="subscript"/>
        <sz val="14"/>
        <rFont val="Times New Roman"/>
        <family val="1"/>
        <charset val="204"/>
      </rPr>
      <t>H</t>
    </r>
    <r>
      <rPr>
        <sz val="14"/>
        <rFont val="Times New Roman"/>
        <family val="1"/>
        <charset val="204"/>
      </rPr>
      <t xml:space="preserve"> - годишна потребна енергия за отопление</t>
    </r>
  </si>
  <si>
    <r>
      <t xml:space="preserve">   Q</t>
    </r>
    <r>
      <rPr>
        <vertAlign val="subscript"/>
        <sz val="14"/>
        <rFont val="Times New Roman"/>
        <family val="1"/>
        <charset val="204"/>
      </rPr>
      <t>w</t>
    </r>
    <r>
      <rPr>
        <sz val="14"/>
        <rFont val="Times New Roman"/>
        <family val="1"/>
        <charset val="204"/>
      </rPr>
      <t xml:space="preserve"> - годишна потребна енергия за гореща вода за битови нужди</t>
    </r>
  </si>
  <si>
    <r>
      <t xml:space="preserve">   Q</t>
    </r>
    <r>
      <rPr>
        <vertAlign val="subscript"/>
        <sz val="14"/>
        <rFont val="Times New Roman"/>
        <family val="1"/>
        <charset val="204"/>
      </rPr>
      <t>c</t>
    </r>
    <r>
      <rPr>
        <sz val="14"/>
        <rFont val="Times New Roman"/>
        <family val="1"/>
        <charset val="204"/>
      </rPr>
      <t xml:space="preserve"> - годишна потребна енергия за охлаждане</t>
    </r>
  </si>
  <si>
    <r>
      <t xml:space="preserve">   Q</t>
    </r>
    <r>
      <rPr>
        <vertAlign val="subscript"/>
        <sz val="14"/>
        <rFont val="Times New Roman"/>
        <family val="1"/>
        <charset val="204"/>
      </rPr>
      <t>r</t>
    </r>
    <r>
      <rPr>
        <sz val="14"/>
        <rFont val="Times New Roman"/>
        <family val="1"/>
        <charset val="204"/>
      </rPr>
      <t xml:space="preserve"> - годишно количество регенерирана енергия</t>
    </r>
  </si>
  <si>
    <t xml:space="preserve">   ,където</t>
  </si>
  <si>
    <r>
      <t xml:space="preserve">   Q</t>
    </r>
    <r>
      <rPr>
        <vertAlign val="subscript"/>
        <sz val="14"/>
        <rFont val="Times New Roman"/>
        <family val="1"/>
        <charset val="204"/>
      </rPr>
      <t>H,ht</t>
    </r>
    <r>
      <rPr>
        <sz val="14"/>
        <rFont val="Times New Roman"/>
        <family val="1"/>
        <charset val="204"/>
      </rPr>
      <t xml:space="preserve"> - пълни топлинни загуби на зоната за месеца</t>
    </r>
  </si>
  <si>
    <r>
      <t xml:space="preserve">   Q</t>
    </r>
    <r>
      <rPr>
        <vertAlign val="subscript"/>
        <sz val="14"/>
        <rFont val="Times New Roman"/>
        <family val="1"/>
        <charset val="204"/>
      </rPr>
      <t>H,gn</t>
    </r>
    <r>
      <rPr>
        <sz val="14"/>
        <rFont val="Times New Roman"/>
        <family val="1"/>
        <charset val="204"/>
      </rPr>
      <t xml:space="preserve"> - топлинни печалби в зоната за месеца</t>
    </r>
  </si>
  <si>
    <t>Първична енергия</t>
  </si>
  <si>
    <t>Коефициенти на топлопреминаване на ограждащи конструкци и елементи съгласно</t>
  </si>
  <si>
    <t xml:space="preserve">   архитектурно конструктивните детайли на сградата:</t>
  </si>
  <si>
    <r>
      <t>при d</t>
    </r>
    <r>
      <rPr>
        <vertAlign val="subscript"/>
        <sz val="14"/>
        <rFont val="Times New Roman"/>
        <family val="1"/>
        <charset val="204"/>
      </rPr>
      <t>t</t>
    </r>
    <r>
      <rPr>
        <sz val="14"/>
        <rFont val="Times New Roman"/>
        <family val="1"/>
        <charset val="204"/>
      </rPr>
      <t>&lt;B`</t>
    </r>
  </si>
  <si>
    <t>U≤</t>
  </si>
  <si>
    <r>
      <t>θ</t>
    </r>
    <r>
      <rPr>
        <b/>
        <i/>
        <vertAlign val="subscript"/>
        <sz val="12"/>
        <rFont val="Arial"/>
        <family val="2"/>
        <charset val="204"/>
      </rPr>
      <t>s</t>
    </r>
    <r>
      <rPr>
        <b/>
        <i/>
        <sz val="12"/>
        <rFont val="Arial"/>
        <family val="2"/>
        <charset val="204"/>
      </rPr>
      <t>=</t>
    </r>
  </si>
  <si>
    <r>
      <t>θ</t>
    </r>
    <r>
      <rPr>
        <b/>
        <i/>
        <vertAlign val="subscript"/>
        <sz val="12"/>
        <rFont val="Arial"/>
        <family val="2"/>
        <charset val="204"/>
      </rPr>
      <t>i</t>
    </r>
    <r>
      <rPr>
        <b/>
        <i/>
        <sz val="12"/>
        <rFont val="Arial"/>
        <family val="2"/>
        <charset val="204"/>
      </rPr>
      <t>=</t>
    </r>
  </si>
  <si>
    <r>
      <t>θ</t>
    </r>
    <r>
      <rPr>
        <b/>
        <i/>
        <vertAlign val="subscript"/>
        <sz val="12"/>
        <rFont val="Arial"/>
        <family val="2"/>
        <charset val="204"/>
      </rPr>
      <t>е</t>
    </r>
    <r>
      <rPr>
        <b/>
        <i/>
        <sz val="12"/>
        <rFont val="Arial"/>
        <family val="2"/>
        <charset val="204"/>
      </rPr>
      <t>=</t>
    </r>
  </si>
  <si>
    <r>
      <t>W/(m</t>
    </r>
    <r>
      <rPr>
        <b/>
        <i/>
        <vertAlign val="superscript"/>
        <sz val="14"/>
        <rFont val="Arial"/>
        <family val="2"/>
        <charset val="204"/>
      </rPr>
      <t>2</t>
    </r>
    <r>
      <rPr>
        <b/>
        <i/>
        <sz val="14"/>
        <rFont val="Arial"/>
        <family val="2"/>
        <charset val="204"/>
      </rPr>
      <t>K)</t>
    </r>
  </si>
  <si>
    <t>Околна повърхнина</t>
  </si>
  <si>
    <r>
      <t>a</t>
    </r>
    <r>
      <rPr>
        <b/>
        <vertAlign val="subscript"/>
        <sz val="12"/>
        <rFont val="Arial"/>
        <family val="2"/>
        <charset val="204"/>
      </rPr>
      <t>H</t>
    </r>
  </si>
  <si>
    <t>τ</t>
  </si>
  <si>
    <t>Покрив плосък или покрив с въздушен слой &lt; 30см</t>
  </si>
  <si>
    <t>Покрив с въздушен слой &gt; 30см</t>
  </si>
  <si>
    <t xml:space="preserve"> 1.Геометрични характеристики на сградата</t>
  </si>
  <si>
    <r>
      <t>ограждащи конструкции и елементи граничещи с въздух - H</t>
    </r>
    <r>
      <rPr>
        <b/>
        <i/>
        <vertAlign val="subscript"/>
        <sz val="14"/>
        <rFont val="Times New Roman"/>
        <family val="1"/>
        <charset val="204"/>
      </rPr>
      <t>D</t>
    </r>
  </si>
  <si>
    <r>
      <t>Коефициент на пренос на явна топлина - H</t>
    </r>
    <r>
      <rPr>
        <i/>
        <vertAlign val="subscript"/>
        <sz val="14"/>
        <rFont val="Times New Roman"/>
        <family val="1"/>
        <charset val="204"/>
      </rPr>
      <t>vе</t>
    </r>
  </si>
  <si>
    <t>Еквивалентна височина на въздушният слой</t>
  </si>
  <si>
    <t>Съпротивление на топлопроводност на таванската плоча</t>
  </si>
  <si>
    <t>Съпротивление на топлопроводност на покривното плоча</t>
  </si>
  <si>
    <t>Съпротивление на топлопроводност на вертикалната част</t>
  </si>
  <si>
    <t>Площ на таванската плоча</t>
  </si>
  <si>
    <t>Площ на покривната плоча</t>
  </si>
  <si>
    <r>
      <t>R</t>
    </r>
    <r>
      <rPr>
        <i/>
        <vertAlign val="subscript"/>
        <sz val="12"/>
        <rFont val="Arial"/>
        <family val="2"/>
        <charset val="204"/>
      </rPr>
      <t>1</t>
    </r>
    <r>
      <rPr>
        <i/>
        <sz val="12"/>
        <rFont val="Arial"/>
        <family val="2"/>
        <charset val="204"/>
      </rPr>
      <t>=</t>
    </r>
  </si>
  <si>
    <r>
      <t>R</t>
    </r>
    <r>
      <rPr>
        <i/>
        <vertAlign val="subscript"/>
        <sz val="12"/>
        <rFont val="Arial"/>
        <family val="2"/>
        <charset val="204"/>
      </rPr>
      <t>2</t>
    </r>
    <r>
      <rPr>
        <i/>
        <sz val="12"/>
        <rFont val="Arial"/>
        <family val="2"/>
        <charset val="204"/>
      </rPr>
      <t>=</t>
    </r>
  </si>
  <si>
    <r>
      <t>R</t>
    </r>
    <r>
      <rPr>
        <i/>
        <vertAlign val="subscript"/>
        <sz val="12"/>
        <rFont val="Arial"/>
        <family val="2"/>
        <charset val="204"/>
      </rPr>
      <t>w</t>
    </r>
    <r>
      <rPr>
        <i/>
        <sz val="12"/>
        <rFont val="Arial"/>
        <family val="2"/>
        <charset val="204"/>
      </rPr>
      <t>=</t>
    </r>
  </si>
  <si>
    <r>
      <t>A</t>
    </r>
    <r>
      <rPr>
        <i/>
        <vertAlign val="subscript"/>
        <sz val="12"/>
        <rFont val="Arial"/>
        <family val="2"/>
        <charset val="204"/>
      </rPr>
      <t>1</t>
    </r>
    <r>
      <rPr>
        <i/>
        <sz val="12"/>
        <rFont val="Arial"/>
        <family val="2"/>
        <charset val="204"/>
      </rPr>
      <t>=</t>
    </r>
  </si>
  <si>
    <r>
      <t>A</t>
    </r>
    <r>
      <rPr>
        <i/>
        <vertAlign val="subscript"/>
        <sz val="12"/>
        <rFont val="Arial"/>
        <family val="2"/>
        <charset val="204"/>
      </rPr>
      <t>2</t>
    </r>
    <r>
      <rPr>
        <i/>
        <sz val="12"/>
        <rFont val="Arial"/>
        <family val="2"/>
        <charset val="204"/>
      </rPr>
      <t>=</t>
    </r>
  </si>
  <si>
    <r>
      <t>δ</t>
    </r>
    <r>
      <rPr>
        <i/>
        <vertAlign val="subscript"/>
        <sz val="12"/>
        <rFont val="Arial"/>
        <family val="2"/>
        <charset val="204"/>
      </rPr>
      <t>ВС</t>
    </r>
    <r>
      <rPr>
        <i/>
        <sz val="12"/>
        <rFont val="Arial"/>
        <family val="2"/>
        <charset val="204"/>
      </rPr>
      <t>=</t>
    </r>
  </si>
  <si>
    <t>Периметър на вертикалните ограждащи елементи</t>
  </si>
  <si>
    <t>Температура на въздуха в подпокривното пространство</t>
  </si>
  <si>
    <t>Средна обемна температура на сградата</t>
  </si>
  <si>
    <r>
      <t>θ</t>
    </r>
    <r>
      <rPr>
        <i/>
        <vertAlign val="subscript"/>
        <sz val="12"/>
        <rFont val="Arial"/>
        <family val="2"/>
        <charset val="204"/>
      </rPr>
      <t>i</t>
    </r>
    <r>
      <rPr>
        <i/>
        <sz val="12"/>
        <rFont val="Arial"/>
        <family val="2"/>
        <charset val="204"/>
      </rPr>
      <t>=</t>
    </r>
  </si>
  <si>
    <t>Външна температура с най-голяма продължителност</t>
  </si>
  <si>
    <r>
      <t>θ</t>
    </r>
    <r>
      <rPr>
        <i/>
        <vertAlign val="subscript"/>
        <sz val="12"/>
        <rFont val="Arial"/>
        <family val="2"/>
        <charset val="204"/>
      </rPr>
      <t>е</t>
    </r>
    <r>
      <rPr>
        <i/>
        <sz val="12"/>
        <rFont val="Arial"/>
        <family val="2"/>
        <charset val="204"/>
      </rPr>
      <t>=</t>
    </r>
  </si>
  <si>
    <t>Повърхностна температура на таванската плоча от страна</t>
  </si>
  <si>
    <t>Потребявана енергия от източници извън отопл пространствоприравнено за 1ч</t>
  </si>
  <si>
    <t>на въздушното пространство</t>
  </si>
  <si>
    <t>Повърхностна температура на покривната плоча от страна</t>
  </si>
  <si>
    <r>
      <t>θ</t>
    </r>
    <r>
      <rPr>
        <i/>
        <vertAlign val="subscript"/>
        <sz val="12"/>
        <rFont val="Arial"/>
        <family val="2"/>
        <charset val="204"/>
      </rPr>
      <t>se1</t>
    </r>
    <r>
      <rPr>
        <i/>
        <sz val="12"/>
        <rFont val="Arial"/>
        <family val="2"/>
        <charset val="204"/>
      </rPr>
      <t>=</t>
    </r>
  </si>
  <si>
    <r>
      <t>θ</t>
    </r>
    <r>
      <rPr>
        <i/>
        <vertAlign val="subscript"/>
        <sz val="12"/>
        <rFont val="Arial"/>
        <family val="2"/>
        <charset val="204"/>
      </rPr>
      <t>si2</t>
    </r>
    <r>
      <rPr>
        <i/>
        <sz val="12"/>
        <rFont val="Arial"/>
        <family val="2"/>
        <charset val="204"/>
      </rPr>
      <t>=</t>
    </r>
  </si>
  <si>
    <t>Обемен коефициент на температурно разширение</t>
  </si>
  <si>
    <r>
      <t>β</t>
    </r>
    <r>
      <rPr>
        <i/>
        <sz val="12"/>
        <rFont val="Arial"/>
        <family val="2"/>
        <charset val="204"/>
      </rPr>
      <t>=</t>
    </r>
  </si>
  <si>
    <t>Критерии на Грасхов</t>
  </si>
  <si>
    <t>Gr=</t>
  </si>
  <si>
    <t>Кинематичен вискозитет</t>
  </si>
  <si>
    <r>
      <t>ν</t>
    </r>
    <r>
      <rPr>
        <i/>
        <sz val="12"/>
        <rFont val="Arial"/>
        <family val="2"/>
        <charset val="204"/>
      </rPr>
      <t>=</t>
    </r>
  </si>
  <si>
    <t>Pr=</t>
  </si>
  <si>
    <r>
      <t>Критерии на Прандтл при θ</t>
    </r>
    <r>
      <rPr>
        <i/>
        <vertAlign val="subscript"/>
        <sz val="12"/>
        <rFont val="Arial"/>
        <family val="2"/>
        <charset val="204"/>
      </rPr>
      <t>u</t>
    </r>
  </si>
  <si>
    <t>Корекционен коефициент</t>
  </si>
  <si>
    <r>
      <t>ε</t>
    </r>
    <r>
      <rPr>
        <i/>
        <vertAlign val="subscript"/>
        <sz val="12"/>
        <rFont val="Arial"/>
        <family val="2"/>
        <charset val="204"/>
      </rPr>
      <t>к</t>
    </r>
    <r>
      <rPr>
        <i/>
        <sz val="12"/>
        <rFont val="Arial"/>
        <family val="2"/>
        <charset val="204"/>
      </rPr>
      <t>=</t>
    </r>
  </si>
  <si>
    <r>
      <t>Коефициент на топлопроводност на въздуха при θ</t>
    </r>
    <r>
      <rPr>
        <i/>
        <vertAlign val="subscript"/>
        <sz val="12"/>
        <rFont val="Arial"/>
        <family val="2"/>
        <charset val="204"/>
      </rPr>
      <t>u</t>
    </r>
  </si>
  <si>
    <r>
      <t>λ</t>
    </r>
    <r>
      <rPr>
        <i/>
        <sz val="12"/>
        <rFont val="Arial"/>
        <family val="2"/>
        <charset val="204"/>
      </rPr>
      <t>=</t>
    </r>
  </si>
  <si>
    <t>Еквивалентен коефициент на топлопроводност на въздуха</t>
  </si>
  <si>
    <r>
      <t>λ</t>
    </r>
    <r>
      <rPr>
        <vertAlign val="subscript"/>
        <sz val="12"/>
        <rFont val="Arial"/>
        <family val="2"/>
        <charset val="204"/>
      </rPr>
      <t>екв</t>
    </r>
    <r>
      <rPr>
        <i/>
        <sz val="12"/>
        <rFont val="Arial"/>
        <family val="2"/>
        <charset val="204"/>
      </rPr>
      <t>=</t>
    </r>
  </si>
  <si>
    <t>Съпротивления на топлопредавание Rse1=Rsi2</t>
  </si>
  <si>
    <r>
      <t>R</t>
    </r>
    <r>
      <rPr>
        <i/>
        <vertAlign val="subscript"/>
        <sz val="12"/>
        <rFont val="Arial"/>
        <family val="2"/>
        <charset val="204"/>
      </rPr>
      <t>se1</t>
    </r>
    <r>
      <rPr>
        <i/>
        <sz val="12"/>
        <rFont val="Arial"/>
        <family val="2"/>
        <charset val="204"/>
      </rPr>
      <t>=</t>
    </r>
  </si>
  <si>
    <t>Коефициент на топлопреминаване на таванаска плоча</t>
  </si>
  <si>
    <r>
      <t>U</t>
    </r>
    <r>
      <rPr>
        <i/>
        <vertAlign val="subscript"/>
        <sz val="12"/>
        <rFont val="Arial"/>
        <family val="2"/>
        <charset val="204"/>
      </rPr>
      <t>1</t>
    </r>
    <r>
      <rPr>
        <i/>
        <sz val="12"/>
        <rFont val="Arial"/>
        <family val="2"/>
        <charset val="204"/>
      </rPr>
      <t>=</t>
    </r>
  </si>
  <si>
    <t>Коефициент на топлопреминаване на покривна плоча</t>
  </si>
  <si>
    <t>Коефициент на топлопреминаване на вертикален огр. елемент</t>
  </si>
  <si>
    <r>
      <t>U</t>
    </r>
    <r>
      <rPr>
        <i/>
        <vertAlign val="subscript"/>
        <sz val="12"/>
        <rFont val="Arial"/>
        <family val="2"/>
        <charset val="204"/>
      </rPr>
      <t>w</t>
    </r>
    <r>
      <rPr>
        <i/>
        <sz val="12"/>
        <rFont val="Arial"/>
        <family val="2"/>
        <charset val="204"/>
      </rPr>
      <t>=</t>
    </r>
  </si>
  <si>
    <r>
      <t>U</t>
    </r>
    <r>
      <rPr>
        <i/>
        <vertAlign val="subscript"/>
        <sz val="12"/>
        <rFont val="Arial"/>
        <family val="2"/>
        <charset val="204"/>
      </rPr>
      <t>2</t>
    </r>
    <r>
      <rPr>
        <i/>
        <sz val="12"/>
        <rFont val="Arial"/>
        <family val="2"/>
        <charset val="204"/>
      </rPr>
      <t>=</t>
    </r>
  </si>
  <si>
    <r>
      <t>θ</t>
    </r>
    <r>
      <rPr>
        <b/>
        <i/>
        <vertAlign val="subscript"/>
        <sz val="12"/>
        <rFont val="Arial"/>
        <family val="2"/>
        <charset val="204"/>
      </rPr>
      <t>u</t>
    </r>
    <r>
      <rPr>
        <b/>
        <i/>
        <sz val="12"/>
        <rFont val="Arial"/>
        <family val="2"/>
        <charset val="204"/>
      </rPr>
      <t>=</t>
    </r>
  </si>
  <si>
    <r>
      <t>A</t>
    </r>
    <r>
      <rPr>
        <i/>
        <vertAlign val="subscript"/>
        <sz val="12"/>
        <rFont val="Arial"/>
        <family val="2"/>
        <charset val="204"/>
      </rPr>
      <t>w</t>
    </r>
    <r>
      <rPr>
        <i/>
        <sz val="12"/>
        <rFont val="Arial"/>
        <family val="2"/>
        <charset val="204"/>
      </rPr>
      <t>=</t>
    </r>
  </si>
  <si>
    <r>
      <t>Площ на вертикалните ограждащи елементи - A</t>
    </r>
    <r>
      <rPr>
        <i/>
        <vertAlign val="subscript"/>
        <sz val="12"/>
        <rFont val="Arial"/>
        <family val="2"/>
        <charset val="204"/>
      </rPr>
      <t>w</t>
    </r>
    <r>
      <rPr>
        <i/>
        <sz val="12"/>
        <rFont val="Arial"/>
        <family val="2"/>
        <charset val="204"/>
      </rPr>
      <t>=P</t>
    </r>
    <r>
      <rPr>
        <sz val="12"/>
        <rFont val="Times New Roman"/>
        <family val="1"/>
        <charset val="204"/>
      </rPr>
      <t>δ</t>
    </r>
    <r>
      <rPr>
        <vertAlign val="subscript"/>
        <sz val="12"/>
        <rFont val="Times New Roman"/>
        <family val="1"/>
        <charset val="204"/>
      </rPr>
      <t>ВС</t>
    </r>
  </si>
  <si>
    <r>
      <t>U</t>
    </r>
    <r>
      <rPr>
        <b/>
        <i/>
        <vertAlign val="subscript"/>
        <sz val="14"/>
        <rFont val="Arial"/>
        <family val="2"/>
        <charset val="204"/>
      </rPr>
      <t>r</t>
    </r>
    <r>
      <rPr>
        <b/>
        <i/>
        <sz val="14"/>
        <rFont val="Arial"/>
        <family val="2"/>
        <charset val="204"/>
      </rPr>
      <t>=</t>
    </r>
  </si>
  <si>
    <t>Покрив плосък или въздушен слой &lt;30см</t>
  </si>
  <si>
    <t>Дължина на еркери и проходи (топлинен мост)</t>
  </si>
  <si>
    <t>z`=</t>
  </si>
  <si>
    <t>h=</t>
  </si>
  <si>
    <r>
      <t>U</t>
    </r>
    <r>
      <rPr>
        <i/>
        <vertAlign val="subscript"/>
        <sz val="12"/>
        <rFont val="Arial"/>
        <family val="2"/>
        <charset val="204"/>
      </rPr>
      <t>f</t>
    </r>
    <r>
      <rPr>
        <i/>
        <sz val="12"/>
        <rFont val="Arial"/>
        <family val="2"/>
        <charset val="204"/>
      </rPr>
      <t>=</t>
    </r>
  </si>
  <si>
    <t>n=</t>
  </si>
  <si>
    <t>V=</t>
  </si>
  <si>
    <r>
      <t>U</t>
    </r>
    <r>
      <rPr>
        <i/>
        <vertAlign val="subscript"/>
        <sz val="12"/>
        <rFont val="Arial"/>
        <family val="2"/>
        <charset val="204"/>
      </rPr>
      <t>bf</t>
    </r>
    <r>
      <rPr>
        <i/>
        <sz val="12"/>
        <rFont val="Arial"/>
        <family val="2"/>
        <charset val="204"/>
      </rPr>
      <t>=</t>
    </r>
  </si>
  <si>
    <t xml:space="preserve">   неотопляем подземен етаж</t>
  </si>
  <si>
    <r>
      <t>U</t>
    </r>
    <r>
      <rPr>
        <i/>
        <vertAlign val="subscript"/>
        <sz val="12"/>
        <rFont val="Arial"/>
        <family val="2"/>
        <charset val="204"/>
      </rPr>
      <t>bw</t>
    </r>
    <r>
      <rPr>
        <i/>
        <sz val="12"/>
        <rFont val="Arial"/>
        <family val="2"/>
        <charset val="204"/>
      </rPr>
      <t>=</t>
    </r>
  </si>
  <si>
    <t>Под над неотопляемо помещение</t>
  </si>
  <si>
    <r>
      <t>P</t>
    </r>
    <r>
      <rPr>
        <i/>
        <vertAlign val="subscript"/>
        <sz val="12"/>
        <rFont val="Arial"/>
        <family val="2"/>
        <charset val="204"/>
      </rPr>
      <t>w</t>
    </r>
    <r>
      <rPr>
        <i/>
        <sz val="12"/>
        <rFont val="Arial"/>
        <family val="2"/>
        <charset val="204"/>
      </rPr>
      <t>=</t>
    </r>
  </si>
  <si>
    <r>
      <t>Еквивалентна дебелина на пода - d</t>
    </r>
    <r>
      <rPr>
        <i/>
        <vertAlign val="subscript"/>
        <sz val="12"/>
        <rFont val="Arial"/>
        <family val="2"/>
        <charset val="204"/>
      </rPr>
      <t>w</t>
    </r>
  </si>
  <si>
    <t>Коефициент на топлопреминаване през стени на подземният етаж</t>
  </si>
  <si>
    <r>
      <t>d</t>
    </r>
    <r>
      <rPr>
        <i/>
        <vertAlign val="subscript"/>
        <sz val="12"/>
        <rFont val="Arial"/>
        <family val="2"/>
        <charset val="204"/>
      </rPr>
      <t>w</t>
    </r>
    <r>
      <rPr>
        <i/>
        <sz val="12"/>
        <rFont val="Arial"/>
        <family val="2"/>
        <charset val="204"/>
      </rPr>
      <t>=</t>
    </r>
  </si>
  <si>
    <r>
      <t>при d</t>
    </r>
    <r>
      <rPr>
        <vertAlign val="subscript"/>
        <sz val="14"/>
        <rFont val="Times New Roman"/>
        <family val="1"/>
        <charset val="204"/>
      </rPr>
      <t>w</t>
    </r>
    <r>
      <rPr>
        <sz val="14"/>
        <rFont val="Times New Roman"/>
        <family val="1"/>
        <charset val="204"/>
      </rPr>
      <t>≥d</t>
    </r>
    <r>
      <rPr>
        <vertAlign val="subscript"/>
        <sz val="14"/>
        <rFont val="Times New Roman"/>
        <family val="1"/>
        <charset val="204"/>
      </rPr>
      <t>t</t>
    </r>
  </si>
  <si>
    <r>
      <t>при d</t>
    </r>
    <r>
      <rPr>
        <vertAlign val="subscript"/>
        <sz val="14"/>
        <rFont val="Times New Roman"/>
        <family val="1"/>
        <charset val="204"/>
      </rPr>
      <t>w</t>
    </r>
    <r>
      <rPr>
        <sz val="14"/>
        <rFont val="Times New Roman"/>
        <family val="1"/>
        <charset val="204"/>
      </rPr>
      <t>&lt;d</t>
    </r>
    <r>
      <rPr>
        <vertAlign val="subscript"/>
        <sz val="14"/>
        <rFont val="Times New Roman"/>
        <family val="1"/>
        <charset val="204"/>
      </rPr>
      <t>t</t>
    </r>
  </si>
  <si>
    <t>Коефициент на топлопреминаване през пода на подземният етаж</t>
  </si>
  <si>
    <r>
      <t>при (d</t>
    </r>
    <r>
      <rPr>
        <vertAlign val="subscript"/>
        <sz val="14"/>
        <rFont val="Times New Roman"/>
        <family val="1"/>
        <charset val="204"/>
      </rPr>
      <t>t</t>
    </r>
    <r>
      <rPr>
        <sz val="14"/>
        <rFont val="Times New Roman"/>
        <family val="1"/>
        <charset val="204"/>
      </rPr>
      <t>+0,5z`)&lt;B`</t>
    </r>
  </si>
  <si>
    <r>
      <t>при (d</t>
    </r>
    <r>
      <rPr>
        <vertAlign val="subscript"/>
        <sz val="14"/>
        <rFont val="Times New Roman"/>
        <family val="1"/>
        <charset val="204"/>
      </rPr>
      <t>t</t>
    </r>
    <r>
      <rPr>
        <sz val="14"/>
        <rFont val="Times New Roman"/>
        <family val="1"/>
        <charset val="204"/>
      </rPr>
      <t>+0,5z`)≥B`</t>
    </r>
  </si>
  <si>
    <r>
      <t>R</t>
    </r>
    <r>
      <rPr>
        <i/>
        <vertAlign val="subscript"/>
        <sz val="12"/>
        <rFont val="Arial"/>
        <family val="2"/>
        <charset val="204"/>
      </rPr>
      <t>f</t>
    </r>
    <r>
      <rPr>
        <i/>
        <sz val="12"/>
        <rFont val="Arial"/>
        <family val="2"/>
        <charset val="204"/>
      </rPr>
      <t>=</t>
    </r>
  </si>
  <si>
    <r>
      <t>Еквивалентна дебелина на пода - d</t>
    </r>
    <r>
      <rPr>
        <i/>
        <vertAlign val="subscript"/>
        <sz val="12"/>
        <rFont val="Arial"/>
        <family val="2"/>
        <charset val="204"/>
      </rPr>
      <t>t</t>
    </r>
  </si>
  <si>
    <r>
      <t>d</t>
    </r>
    <r>
      <rPr>
        <i/>
        <vertAlign val="subscript"/>
        <sz val="12"/>
        <rFont val="Arial"/>
        <family val="2"/>
        <charset val="204"/>
      </rPr>
      <t>t</t>
    </r>
    <r>
      <rPr>
        <i/>
        <sz val="12"/>
        <rFont val="Arial"/>
        <family val="2"/>
        <charset val="204"/>
      </rPr>
      <t>=</t>
    </r>
  </si>
  <si>
    <t>Обем на подпокривното пространство</t>
  </si>
  <si>
    <r>
      <t>V</t>
    </r>
    <r>
      <rPr>
        <i/>
        <sz val="12"/>
        <rFont val="Arial"/>
        <family val="2"/>
        <charset val="204"/>
      </rPr>
      <t>=</t>
    </r>
  </si>
  <si>
    <t>Стена граничеща със земя</t>
  </si>
  <si>
    <r>
      <t>U</t>
    </r>
    <r>
      <rPr>
        <b/>
        <i/>
        <vertAlign val="subscript"/>
        <sz val="14"/>
        <rFont val="Arial"/>
        <family val="2"/>
        <charset val="204"/>
      </rPr>
      <t>bw</t>
    </r>
    <r>
      <rPr>
        <b/>
        <i/>
        <sz val="14"/>
        <rFont val="Arial"/>
        <family val="2"/>
        <charset val="204"/>
      </rPr>
      <t>=</t>
    </r>
  </si>
  <si>
    <r>
      <t>U</t>
    </r>
    <r>
      <rPr>
        <b/>
        <i/>
        <vertAlign val="subscript"/>
        <sz val="14"/>
        <rFont val="Arial"/>
        <family val="2"/>
        <charset val="204"/>
      </rPr>
      <t>bf</t>
    </r>
    <r>
      <rPr>
        <b/>
        <i/>
        <sz val="14"/>
        <rFont val="Arial"/>
        <family val="2"/>
        <charset val="204"/>
      </rPr>
      <t>=</t>
    </r>
  </si>
  <si>
    <t>Съставил:</t>
  </si>
  <si>
    <r>
      <t xml:space="preserve">   Q</t>
    </r>
    <r>
      <rPr>
        <vertAlign val="subscript"/>
        <sz val="14"/>
        <rFont val="Times New Roman"/>
        <family val="1"/>
        <charset val="204"/>
      </rPr>
      <t>vе</t>
    </r>
    <r>
      <rPr>
        <sz val="14"/>
        <rFont val="Times New Roman"/>
        <family val="1"/>
        <charset val="204"/>
      </rPr>
      <t xml:space="preserve"> - годишна потребна енергия за вентилация</t>
    </r>
  </si>
  <si>
    <r>
      <t>H</t>
    </r>
    <r>
      <rPr>
        <i/>
        <vertAlign val="subscript"/>
        <sz val="12"/>
        <rFont val="Arial"/>
        <family val="2"/>
        <charset val="204"/>
      </rPr>
      <t>pe</t>
    </r>
    <r>
      <rPr>
        <i/>
        <sz val="12"/>
        <rFont val="Arial"/>
        <family val="2"/>
        <charset val="204"/>
      </rPr>
      <t>=</t>
    </r>
  </si>
  <si>
    <r>
      <t>H</t>
    </r>
    <r>
      <rPr>
        <i/>
        <vertAlign val="subscript"/>
        <sz val="12"/>
        <rFont val="Arial"/>
        <family val="2"/>
        <charset val="204"/>
      </rPr>
      <t>pi</t>
    </r>
    <r>
      <rPr>
        <i/>
        <sz val="12"/>
        <rFont val="Arial"/>
        <family val="2"/>
        <charset val="204"/>
      </rPr>
      <t>=</t>
    </r>
  </si>
  <si>
    <r>
      <t>Вътрешен коефициент на периодичен пренос на топлина - H</t>
    </r>
    <r>
      <rPr>
        <b/>
        <i/>
        <vertAlign val="subscript"/>
        <sz val="14"/>
        <rFont val="Times New Roman"/>
        <family val="1"/>
        <charset val="204"/>
      </rPr>
      <t>pi</t>
    </r>
  </si>
  <si>
    <t>Вътрешен коефициент на периодичен пренос на топлина</t>
  </si>
  <si>
    <r>
      <t>Външен коефициент на периодичен пренос на топлина - H</t>
    </r>
    <r>
      <rPr>
        <b/>
        <i/>
        <vertAlign val="subscript"/>
        <sz val="14"/>
        <rFont val="Times New Roman"/>
        <family val="1"/>
        <charset val="204"/>
      </rPr>
      <t>pе</t>
    </r>
  </si>
  <si>
    <t>при под при отопляем подземен етаж</t>
  </si>
  <si>
    <t>Външен коефициент на периодичен пренос на топлина</t>
  </si>
  <si>
    <r>
      <t>H</t>
    </r>
    <r>
      <rPr>
        <b/>
        <vertAlign val="subscript"/>
        <sz val="12"/>
        <rFont val="Arial"/>
        <family val="2"/>
        <charset val="204"/>
      </rPr>
      <t>pi</t>
    </r>
  </si>
  <si>
    <r>
      <t>H</t>
    </r>
    <r>
      <rPr>
        <b/>
        <vertAlign val="subscript"/>
        <sz val="12"/>
        <rFont val="Arial"/>
        <family val="2"/>
        <charset val="204"/>
      </rPr>
      <t>pе</t>
    </r>
  </si>
  <si>
    <t>Под (над неотопляемо помещение, земя)</t>
  </si>
  <si>
    <t>Дължина на участък от стена граничещ със земя</t>
  </si>
  <si>
    <t>Р=</t>
  </si>
  <si>
    <t>Брой на обитателите в сградата</t>
  </si>
  <si>
    <r>
      <t xml:space="preserve">    θ</t>
    </r>
    <r>
      <rPr>
        <i/>
        <vertAlign val="subscript"/>
        <sz val="12"/>
        <rFont val="Arial"/>
        <family val="2"/>
        <charset val="204"/>
      </rPr>
      <t>s</t>
    </r>
    <r>
      <rPr>
        <i/>
        <sz val="12"/>
        <rFont val="Arial"/>
        <family val="2"/>
        <charset val="204"/>
      </rPr>
      <t xml:space="preserve"> - температура на оросяване</t>
    </r>
  </si>
  <si>
    <r>
      <t xml:space="preserve">    θ</t>
    </r>
    <r>
      <rPr>
        <i/>
        <vertAlign val="subscript"/>
        <sz val="12"/>
        <rFont val="Arial"/>
        <family val="2"/>
        <charset val="204"/>
      </rPr>
      <t>i</t>
    </r>
    <r>
      <rPr>
        <i/>
        <sz val="12"/>
        <rFont val="Arial"/>
        <family val="2"/>
        <charset val="204"/>
      </rPr>
      <t xml:space="preserve"> - вътрешна температура на сградата</t>
    </r>
  </si>
  <si>
    <r>
      <t xml:space="preserve">    θ</t>
    </r>
    <r>
      <rPr>
        <i/>
        <vertAlign val="subscript"/>
        <sz val="12"/>
        <rFont val="Arial"/>
        <family val="2"/>
        <charset val="204"/>
      </rPr>
      <t>е</t>
    </r>
    <r>
      <rPr>
        <i/>
        <sz val="12"/>
        <rFont val="Arial"/>
        <family val="2"/>
        <charset val="204"/>
      </rPr>
      <t xml:space="preserve"> - външна изчислителна температура</t>
    </r>
  </si>
  <si>
    <t>DD=</t>
  </si>
  <si>
    <r>
      <t>при d</t>
    </r>
    <r>
      <rPr>
        <vertAlign val="subscript"/>
        <sz val="14"/>
        <rFont val="Times New Roman"/>
        <family val="1"/>
        <charset val="204"/>
      </rPr>
      <t>t</t>
    </r>
    <r>
      <rPr>
        <sz val="14"/>
        <rFont val="Arial"/>
        <family val="2"/>
        <charset val="204"/>
      </rPr>
      <t>≥</t>
    </r>
    <r>
      <rPr>
        <sz val="14"/>
        <rFont val="Times New Roman"/>
        <family val="1"/>
        <charset val="204"/>
      </rPr>
      <t>B`</t>
    </r>
  </si>
  <si>
    <t>Под земя, отопляем подземен етаж</t>
  </si>
  <si>
    <t>Покрив</t>
  </si>
  <si>
    <r>
      <t>θ</t>
    </r>
    <r>
      <rPr>
        <i/>
        <vertAlign val="subscript"/>
        <sz val="12"/>
        <rFont val="Arial"/>
        <family val="2"/>
        <charset val="204"/>
      </rPr>
      <t>e</t>
    </r>
    <r>
      <rPr>
        <i/>
        <sz val="12"/>
        <rFont val="Arial"/>
        <family val="2"/>
        <charset val="204"/>
      </rPr>
      <t>=</t>
    </r>
  </si>
  <si>
    <t>Машини и съоръжения</t>
  </si>
  <si>
    <t>к-во</t>
  </si>
  <si>
    <t>бр</t>
  </si>
  <si>
    <t>kW</t>
  </si>
  <si>
    <t>час</t>
  </si>
  <si>
    <t>4. Топлоизолация XPS</t>
  </si>
  <si>
    <t>3. Топлоизолация EPS</t>
  </si>
  <si>
    <t>kW/ден</t>
  </si>
  <si>
    <t>Готварска печка</t>
  </si>
  <si>
    <t>Микровълнова фурна</t>
  </si>
  <si>
    <t>Хладилник</t>
  </si>
  <si>
    <t>Телевизори</t>
  </si>
  <si>
    <t>Компютри</t>
  </si>
  <si>
    <t>Влажност на въздуха %</t>
  </si>
  <si>
    <t>Температура на оросяване</t>
  </si>
  <si>
    <t>Темп на вътр. въздух</t>
  </si>
  <si>
    <r>
      <t>p</t>
    </r>
    <r>
      <rPr>
        <vertAlign val="subscript"/>
        <sz val="12"/>
        <rFont val="Arial"/>
        <family val="2"/>
        <charset val="204"/>
      </rPr>
      <t>max</t>
    </r>
    <r>
      <rPr>
        <sz val="12"/>
        <rFont val="Arial"/>
        <family val="2"/>
        <charset val="204"/>
      </rPr>
      <t>, Pa</t>
    </r>
  </si>
  <si>
    <t>T</t>
  </si>
  <si>
    <t>Стойностите за отопление да се отчитат месечно (1) или почасово (0)</t>
  </si>
  <si>
    <t>Среднмес. Темп</t>
  </si>
  <si>
    <t>Pd=</t>
  </si>
  <si>
    <t>Pa</t>
  </si>
  <si>
    <t>Rd=</t>
  </si>
  <si>
    <t>J/(kgK)</t>
  </si>
  <si>
    <t>T=</t>
  </si>
  <si>
    <t>Pwe=</t>
  </si>
  <si>
    <t>Rv=</t>
  </si>
  <si>
    <t>ρe=</t>
  </si>
  <si>
    <t xml:space="preserve">   Налягане на външен/вътрешен въздух при стандартни условия</t>
  </si>
  <si>
    <r>
      <t>p</t>
    </r>
    <r>
      <rPr>
        <i/>
        <vertAlign val="subscript"/>
        <sz val="12"/>
        <rFont val="Arial"/>
        <family val="2"/>
        <charset val="204"/>
      </rPr>
      <t>d</t>
    </r>
    <r>
      <rPr>
        <i/>
        <sz val="12"/>
        <rFont val="Arial"/>
        <family val="2"/>
        <charset val="204"/>
      </rPr>
      <t>=</t>
    </r>
  </si>
  <si>
    <t>Влажност на външният въздух - зимен режим</t>
  </si>
  <si>
    <t>Влажност на външният въздух - летен режим</t>
  </si>
  <si>
    <t>Влажност на вътрешният въздух - зимен режим (отопление)</t>
  </si>
  <si>
    <t>Влажност на вътрешният въздух - летен режим (охлаждане)</t>
  </si>
  <si>
    <t xml:space="preserve">   Влажност на външен въздух при летен режим</t>
  </si>
  <si>
    <t xml:space="preserve">    относителна влажност на вътрешният въздух - зима</t>
  </si>
  <si>
    <t>Прозорци и врати</t>
  </si>
  <si>
    <t>Външни стени</t>
  </si>
  <si>
    <t>Покрив плоча</t>
  </si>
  <si>
    <t>Покрив с въздушна междина &lt; 30см</t>
  </si>
  <si>
    <t>Покрив с въздушна междина &gt; 30см</t>
  </si>
  <si>
    <t>Ограждащ елемент</t>
  </si>
  <si>
    <t>Под на отопляемо помещение, граничещ с неотпляемо помещение</t>
  </si>
  <si>
    <t>Подземна част на стената на неотопляем етаж</t>
  </si>
  <si>
    <t>Подова плоча на неотопляем етаж граничеща със земя</t>
  </si>
  <si>
    <t>Площ на неотопляемият етаж</t>
  </si>
  <si>
    <t>Периметър на неотопляемият етаж</t>
  </si>
  <si>
    <t>Височина на стените в контакт със земята на неотопляемият етаж</t>
  </si>
  <si>
    <t>Височина на стените в контакт с въздух на неотопляем етаж</t>
  </si>
  <si>
    <t>Коефициент на топлопреминаване на отопляемия под към неотпляем етаж</t>
  </si>
  <si>
    <t>Коефициент на топлопреминаване на пода на неотопляем етаж към земята</t>
  </si>
  <si>
    <t>Кратност на въздухообмена в неотопляемият етаж</t>
  </si>
  <si>
    <t>Нетен обем на въздуха в неотопляемият етаж</t>
  </si>
  <si>
    <t>РЗП</t>
  </si>
  <si>
    <t>Еднофамилна жилищна сграда</t>
  </si>
  <si>
    <t>Административна сграда</t>
  </si>
  <si>
    <t>Детска градина и детска ясла</t>
  </si>
  <si>
    <t>Многофамилна жилищна сграда в това число и общежитие</t>
  </si>
  <si>
    <t>Сграда за здравеопазване</t>
  </si>
  <si>
    <t>Хотели и ресторанти</t>
  </si>
  <si>
    <t>Сграда за търговия</t>
  </si>
  <si>
    <t>Сграда за спорт</t>
  </si>
  <si>
    <t>Сграда за култура и изкуство</t>
  </si>
  <si>
    <t>Жилищни сгради - многофамилни</t>
  </si>
  <si>
    <t>Жилищни сгради - еднофамилни</t>
  </si>
  <si>
    <t>не се дефинира</t>
  </si>
  <si>
    <t>Сгради за здравеопазване</t>
  </si>
  <si>
    <t>Изкопаемо гориво - твърдо</t>
  </si>
  <si>
    <t>Изкопаемо гориво - течно</t>
  </si>
  <si>
    <t>Изкопаемо гориво - газообразно</t>
  </si>
  <si>
    <t>Биогориво - твърдо</t>
  </si>
  <si>
    <t>Биогориво - течно</t>
  </si>
  <si>
    <t>Биогориво - газообразно</t>
  </si>
  <si>
    <t>Слънчева - PV енергия</t>
  </si>
  <si>
    <t>Слънчева - термална</t>
  </si>
  <si>
    <t>Вятърна</t>
  </si>
  <si>
    <t>От околната среда: Гео-, аеро-, хидротермалн</t>
  </si>
  <si>
    <t>PV енергия</t>
  </si>
  <si>
    <t>вятърна</t>
  </si>
  <si>
    <t>геотермална</t>
  </si>
  <si>
    <t>твърдо изкоп.</t>
  </si>
  <si>
    <t>течно изкоп.</t>
  </si>
  <si>
    <t>газообр. изкоп.</t>
  </si>
  <si>
    <t>твърдо биогор.</t>
  </si>
  <si>
    <t>течно биогор.</t>
  </si>
  <si>
    <t>газообр. биогор.</t>
  </si>
  <si>
    <t xml:space="preserve">   Наредба №РД-02-20-3:</t>
  </si>
  <si>
    <t xml:space="preserve">    Съгласно чл.21 от Наредба №РД-02-20-3 и чл.18 от Наредба №Е-РД-04-2</t>
  </si>
  <si>
    <t xml:space="preserve">       Данните за конструкцията и капацитета и са взети от Табл.10, т.3.10.3, Приложение №3</t>
  </si>
  <si>
    <t>Заб: Показаният коефициент на топлопреминаване е валиден при използването на тухли:</t>
  </si>
  <si>
    <t xml:space="preserve">        Младост, Винербергер или Кебе. При използване на друг вид тухли дебелината на </t>
  </si>
  <si>
    <t xml:space="preserve">        топлоизолацията трябва да бъде увеличена.</t>
  </si>
  <si>
    <t>5. Топлоизолация ХPS</t>
  </si>
  <si>
    <t>Нормативни коефициенти на топлопреминаване на ограждащи конструкци и елементи съгласно</t>
  </si>
  <si>
    <t xml:space="preserve">   Общо количество годишна енергия от Фотоволтаична с-ма</t>
  </si>
  <si>
    <t xml:space="preserve">   Енергия от възобновяеми източници</t>
  </si>
  <si>
    <t>Околна среда: термопомпени кл. с-ми</t>
  </si>
  <si>
    <t>Слънчева: PV електричество</t>
  </si>
  <si>
    <t>Слънчева: термална - зимен режим</t>
  </si>
  <si>
    <t>Слънчева: термална - летен режим</t>
  </si>
  <si>
    <t xml:space="preserve">   Енергия от невъзобновяеми източници</t>
  </si>
  <si>
    <t>Енергиен ресурс</t>
  </si>
  <si>
    <t>Първична невъзобновяема енергия</t>
  </si>
  <si>
    <t>Първична възобновяема енергия</t>
  </si>
  <si>
    <t>Обща възобновяема енергия</t>
  </si>
  <si>
    <t>Обща невъзобновяема енергия</t>
  </si>
  <si>
    <t>сл. - термална</t>
  </si>
  <si>
    <r>
      <t>f</t>
    </r>
    <r>
      <rPr>
        <b/>
        <i/>
        <vertAlign val="subscript"/>
        <sz val="12"/>
        <rFont val="Arial"/>
        <family val="2"/>
        <charset val="204"/>
      </rPr>
      <t>Pnren</t>
    </r>
  </si>
  <si>
    <r>
      <t>f</t>
    </r>
    <r>
      <rPr>
        <b/>
        <i/>
        <vertAlign val="subscript"/>
        <sz val="12"/>
        <rFont val="Arial"/>
        <family val="2"/>
        <charset val="204"/>
      </rPr>
      <t>Pren</t>
    </r>
  </si>
  <si>
    <r>
      <t>kWh/m</t>
    </r>
    <r>
      <rPr>
        <b/>
        <i/>
        <vertAlign val="superscript"/>
        <sz val="10"/>
        <rFont val="Arial"/>
        <family val="2"/>
        <charset val="204"/>
      </rPr>
      <t>2</t>
    </r>
  </si>
  <si>
    <r>
      <t>CO</t>
    </r>
    <r>
      <rPr>
        <b/>
        <i/>
        <vertAlign val="subscript"/>
        <sz val="12"/>
        <rFont val="Arial"/>
        <family val="2"/>
        <charset val="204"/>
      </rPr>
      <t>2</t>
    </r>
  </si>
  <si>
    <t xml:space="preserve">    Дял ня възобновяема енергия RER: от място, в близост, отдалечено</t>
  </si>
  <si>
    <t>RER=</t>
  </si>
  <si>
    <r>
      <t>Екв. CO</t>
    </r>
    <r>
      <rPr>
        <b/>
        <i/>
        <vertAlign val="subscript"/>
        <sz val="12"/>
        <rFont val="Arial"/>
        <family val="2"/>
        <charset val="204"/>
      </rPr>
      <t>2</t>
    </r>
  </si>
  <si>
    <t>Данни за попълване на Сертификат за енергийни характеристики на нова сграда</t>
  </si>
  <si>
    <t>Климатизирана площ</t>
  </si>
  <si>
    <r>
      <t>m</t>
    </r>
    <r>
      <rPr>
        <vertAlign val="superscript"/>
        <sz val="12"/>
        <rFont val="Arial"/>
        <family val="2"/>
        <charset val="204"/>
      </rPr>
      <t>3</t>
    </r>
    <r>
      <rPr>
        <sz val="10"/>
        <rFont val="Arial"/>
        <charset val="204"/>
      </rPr>
      <t/>
    </r>
  </si>
  <si>
    <t>Климатизиран обем</t>
  </si>
  <si>
    <t>Първична енергия обща</t>
  </si>
  <si>
    <t>Изнесена възобновяема енергия</t>
  </si>
  <si>
    <t>Дял на потребна енергия от възобновяеми източници</t>
  </si>
  <si>
    <t>Уреди</t>
  </si>
  <si>
    <t>Климатична зона</t>
  </si>
  <si>
    <t>Дял на възобн. Потребна енергия за отопление, вентилация, БГВ и осветление</t>
  </si>
  <si>
    <t>Дял на първична енергия от възобновяеми източници</t>
  </si>
  <si>
    <t>потребна</t>
  </si>
  <si>
    <t>процент</t>
  </si>
  <si>
    <t>% PV</t>
  </si>
  <si>
    <t>Обща възобн+невъзобн енергия</t>
  </si>
  <si>
    <t>Климатик</t>
  </si>
  <si>
    <t>4. Стоманобетонов зид</t>
  </si>
  <si>
    <t>kWh/m2</t>
  </si>
  <si>
    <t>общо</t>
  </si>
  <si>
    <t>потребявана енергия</t>
  </si>
  <si>
    <t>отдавана енергия</t>
  </si>
  <si>
    <t>Брой почивни дни в месеца</t>
  </si>
  <si>
    <t>Заб: Броят на почивните дни влияе на енергията за осветление, влияещи и невлияещи източници</t>
  </si>
  <si>
    <t>Почивни дни</t>
  </si>
  <si>
    <t>л/човек</t>
  </si>
  <si>
    <t>°С</t>
  </si>
  <si>
    <t>Норма за гореща вода, съгласно Наредба №4</t>
  </si>
  <si>
    <t>л/ден</t>
  </si>
  <si>
    <r>
      <t>q</t>
    </r>
    <r>
      <rPr>
        <i/>
        <vertAlign val="subscript"/>
        <sz val="12"/>
        <rFont val="Arial"/>
        <family val="2"/>
        <charset val="204"/>
      </rPr>
      <t>г</t>
    </r>
    <r>
      <rPr>
        <i/>
        <sz val="12"/>
        <rFont val="Arial"/>
        <family val="2"/>
        <charset val="204"/>
      </rPr>
      <t>=</t>
    </r>
  </si>
  <si>
    <t>Брой обитатели в сградата</t>
  </si>
  <si>
    <t>Коефициент на едновременност</t>
  </si>
  <si>
    <t>k=</t>
  </si>
  <si>
    <r>
      <t>n</t>
    </r>
    <r>
      <rPr>
        <i/>
        <vertAlign val="subscript"/>
        <sz val="12"/>
        <rFont val="Arial"/>
        <family val="2"/>
        <charset val="204"/>
      </rPr>
      <t>раб</t>
    </r>
    <r>
      <rPr>
        <i/>
        <sz val="12"/>
        <rFont val="Arial"/>
        <family val="2"/>
        <charset val="204"/>
      </rPr>
      <t>=</t>
    </r>
  </si>
  <si>
    <t>дни</t>
  </si>
  <si>
    <r>
      <t>Т</t>
    </r>
    <r>
      <rPr>
        <i/>
        <vertAlign val="subscript"/>
        <sz val="12"/>
        <rFont val="Arial"/>
        <family val="2"/>
        <charset val="204"/>
      </rPr>
      <t>гор</t>
    </r>
    <r>
      <rPr>
        <i/>
        <sz val="12"/>
        <rFont val="Arial"/>
        <family val="2"/>
        <charset val="204"/>
      </rPr>
      <t>=</t>
    </r>
  </si>
  <si>
    <t>Температура на смедената вода за БГВ</t>
  </si>
  <si>
    <r>
      <t>Т</t>
    </r>
    <r>
      <rPr>
        <i/>
        <vertAlign val="subscript"/>
        <sz val="12"/>
        <rFont val="Arial"/>
        <family val="2"/>
        <charset val="204"/>
      </rPr>
      <t>см</t>
    </r>
    <r>
      <rPr>
        <i/>
        <sz val="12"/>
        <rFont val="Arial"/>
        <family val="2"/>
        <charset val="204"/>
      </rPr>
      <t>=</t>
    </r>
  </si>
  <si>
    <r>
      <t>Т</t>
    </r>
    <r>
      <rPr>
        <i/>
        <vertAlign val="subscript"/>
        <sz val="12"/>
        <rFont val="Arial"/>
        <family val="2"/>
        <charset val="204"/>
      </rPr>
      <t>студ</t>
    </r>
    <r>
      <rPr>
        <i/>
        <sz val="12"/>
        <rFont val="Arial"/>
        <family val="2"/>
        <charset val="204"/>
      </rPr>
      <t>=</t>
    </r>
  </si>
  <si>
    <t>Специфично количество смесена вода</t>
  </si>
  <si>
    <r>
      <t>v</t>
    </r>
    <r>
      <rPr>
        <i/>
        <vertAlign val="subscript"/>
        <sz val="12"/>
        <rFont val="Arial"/>
        <family val="2"/>
        <charset val="204"/>
      </rPr>
      <t>w</t>
    </r>
    <r>
      <rPr>
        <i/>
        <sz val="12"/>
        <rFont val="Arial"/>
        <family val="2"/>
        <charset val="204"/>
      </rPr>
      <t>=</t>
    </r>
  </si>
  <si>
    <r>
      <t>л/м</t>
    </r>
    <r>
      <rPr>
        <i/>
        <vertAlign val="superscript"/>
        <sz val="12"/>
        <rFont val="Arial"/>
        <family val="2"/>
        <charset val="204"/>
      </rPr>
      <t>2</t>
    </r>
  </si>
  <si>
    <t>Общо годишно количество на смесена вода за сградата</t>
  </si>
  <si>
    <t>Необходима потребна топлина за подгряване на БГВ за 1 човек на ден</t>
  </si>
  <si>
    <t>Броя на дните в които се използва Гореща вода</t>
  </si>
  <si>
    <t>БГВ=</t>
  </si>
  <si>
    <t>КПД</t>
  </si>
  <si>
    <t>Помпи и вентилатори</t>
  </si>
  <si>
    <t>Изчисл. денградуси за населеното място съгл. Прил №3, Табл. 1, т.2 от Забел.</t>
  </si>
  <si>
    <t>Термопомпени/термодинамични бойлери в сградата</t>
  </si>
  <si>
    <t>Брой дни в които се ползва топла вода</t>
  </si>
  <si>
    <t xml:space="preserve"> Дял на потребната възобновяема енергия за</t>
  </si>
  <si>
    <t>отопление, вентилация, БГВ и осветление</t>
  </si>
  <si>
    <t xml:space="preserve"> 5.Изчисляване на ограждащите конструкции на влажностен режим</t>
  </si>
  <si>
    <t xml:space="preserve"> 7.Обобщаване на резултатите</t>
  </si>
  <si>
    <t xml:space="preserve"> 8.Определяне на класа на енергопотребление на сградата</t>
  </si>
  <si>
    <t xml:space="preserve"> 4.Определяне на допълнително потребената енергия и брутната енергия</t>
  </si>
  <si>
    <t>допълнителните разпоредби на Наредба №РД-02-20-3</t>
  </si>
  <si>
    <t>≥</t>
  </si>
  <si>
    <t>&lt;</t>
  </si>
  <si>
    <t xml:space="preserve"> 6.Изчисляване на слънчева енергия за БГВ</t>
  </si>
  <si>
    <t>възобновяема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</si>
</sst>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8" formatCode="0.0"/>
    <numFmt numFmtId="179" formatCode="0.0E+00"/>
    <numFmt numFmtId="180" formatCode="0.000"/>
    <numFmt numFmtId="181" formatCode="0.0000"/>
    <numFmt numFmtId="183" formatCode="#,##0.0"/>
    <numFmt numFmtId="184" formatCode="0;\-0;;@"/>
  </numFmts>
  <fonts count="88" x14ac:knownFonts="1">
    <font>
      <sz val="10"/>
      <name val="Arial"/>
      <charset val="204"/>
    </font>
    <font>
      <sz val="10"/>
      <name val="Arial"/>
      <charset val="204"/>
    </font>
    <font>
      <sz val="12"/>
      <name val="Arial"/>
      <family val="2"/>
      <charset val="204"/>
    </font>
    <font>
      <sz val="14"/>
      <name val="Arial"/>
      <family val="2"/>
      <charset val="204"/>
    </font>
    <font>
      <sz val="8"/>
      <name val="Arial"/>
      <family val="2"/>
      <charset val="204"/>
    </font>
    <font>
      <sz val="14"/>
      <name val="Times New Roman"/>
      <family val="1"/>
      <charset val="204"/>
    </font>
    <font>
      <vertAlign val="subscript"/>
      <sz val="12"/>
      <name val="Arial"/>
      <family val="2"/>
      <charset val="204"/>
    </font>
    <font>
      <vertAlign val="superscript"/>
      <sz val="12"/>
      <name val="Arial"/>
      <family val="2"/>
      <charset val="204"/>
    </font>
    <font>
      <b/>
      <i/>
      <sz val="12"/>
      <name val="Arial"/>
      <family val="2"/>
      <charset val="204"/>
    </font>
    <font>
      <b/>
      <i/>
      <vertAlign val="superscript"/>
      <sz val="12"/>
      <name val="Arial"/>
      <family val="2"/>
      <charset val="204"/>
    </font>
    <font>
      <i/>
      <sz val="14"/>
      <name val="Arial"/>
      <family val="2"/>
      <charset val="204"/>
    </font>
    <font>
      <sz val="14"/>
      <name val="Arial"/>
      <family val="2"/>
      <charset val="204"/>
    </font>
    <font>
      <sz val="12"/>
      <name val="Arial"/>
      <family val="2"/>
      <charset val="204"/>
    </font>
    <font>
      <b/>
      <sz val="12"/>
      <name val="Arial"/>
      <family val="2"/>
      <charset val="204"/>
    </font>
    <font>
      <vertAlign val="superscript"/>
      <sz val="12"/>
      <name val="Arial"/>
      <family val="2"/>
      <charset val="204"/>
    </font>
    <font>
      <vertAlign val="subscript"/>
      <sz val="14"/>
      <name val="Times New Roman"/>
      <family val="1"/>
      <charset val="204"/>
    </font>
    <font>
      <b/>
      <vertAlign val="subscript"/>
      <sz val="12"/>
      <name val="Arial"/>
      <family val="2"/>
      <charset val="204"/>
    </font>
    <font>
      <vertAlign val="subscript"/>
      <sz val="12"/>
      <name val="Arial"/>
      <family val="2"/>
      <charset val="204"/>
    </font>
    <font>
      <i/>
      <vertAlign val="subscript"/>
      <sz val="14"/>
      <name val="Arial"/>
      <family val="2"/>
      <charset val="204"/>
    </font>
    <font>
      <b/>
      <i/>
      <sz val="14"/>
      <name val="Arial"/>
      <family val="2"/>
      <charset val="204"/>
    </font>
    <font>
      <b/>
      <i/>
      <vertAlign val="subscript"/>
      <sz val="14"/>
      <name val="Arial"/>
      <family val="2"/>
      <charset val="204"/>
    </font>
    <font>
      <b/>
      <i/>
      <sz val="12"/>
      <name val="Arial"/>
      <family val="2"/>
      <charset val="204"/>
    </font>
    <font>
      <b/>
      <i/>
      <vertAlign val="subscript"/>
      <sz val="12"/>
      <name val="Arial"/>
      <family val="2"/>
      <charset val="204"/>
    </font>
    <font>
      <i/>
      <sz val="12"/>
      <name val="Arial"/>
      <family val="2"/>
      <charset val="204"/>
    </font>
    <font>
      <i/>
      <sz val="10"/>
      <name val="Arial"/>
      <family val="2"/>
      <charset val="204"/>
    </font>
    <font>
      <i/>
      <vertAlign val="superscript"/>
      <sz val="10"/>
      <name val="Arial"/>
      <family val="2"/>
      <charset val="204"/>
    </font>
    <font>
      <i/>
      <sz val="14"/>
      <name val="Times New Roman"/>
      <family val="1"/>
      <charset val="204"/>
    </font>
    <font>
      <i/>
      <sz val="10"/>
      <name val="Arial"/>
      <family val="2"/>
      <charset val="204"/>
    </font>
    <font>
      <u/>
      <sz val="10"/>
      <color indexed="12"/>
      <name val="Arial"/>
      <family val="2"/>
      <charset val="204"/>
    </font>
    <font>
      <vertAlign val="superscript"/>
      <sz val="14"/>
      <name val="Times New Roman"/>
      <family val="1"/>
      <charset val="204"/>
    </font>
    <font>
      <b/>
      <i/>
      <vertAlign val="superscript"/>
      <sz val="14"/>
      <name val="Arial"/>
      <family val="2"/>
      <charset val="204"/>
    </font>
    <font>
      <b/>
      <i/>
      <sz val="14"/>
      <name val="Times New Roman"/>
      <family val="1"/>
      <charset val="204"/>
    </font>
    <font>
      <b/>
      <i/>
      <sz val="10"/>
      <name val="Arial"/>
      <family val="2"/>
      <charset val="204"/>
    </font>
    <font>
      <i/>
      <vertAlign val="subscript"/>
      <sz val="14"/>
      <name val="Times New Roman"/>
      <family val="1"/>
      <charset val="204"/>
    </font>
    <font>
      <b/>
      <i/>
      <vertAlign val="subscript"/>
      <sz val="14"/>
      <name val="Times New Roman"/>
      <family val="1"/>
      <charset val="204"/>
    </font>
    <font>
      <i/>
      <vertAlign val="subscript"/>
      <sz val="12"/>
      <name val="Arial"/>
      <family val="2"/>
      <charset val="204"/>
    </font>
    <font>
      <sz val="12"/>
      <name val="Times New Roman"/>
      <family val="1"/>
      <charset val="204"/>
    </font>
    <font>
      <i/>
      <sz val="12"/>
      <name val="Arial"/>
      <family val="2"/>
      <charset val="204"/>
    </font>
    <font>
      <vertAlign val="subscript"/>
      <sz val="12"/>
      <name val="Times New Roman"/>
      <family val="1"/>
      <charset val="204"/>
    </font>
    <font>
      <i/>
      <sz val="11"/>
      <name val="Arial"/>
      <family val="2"/>
      <charset val="204"/>
    </font>
    <font>
      <b/>
      <sz val="10"/>
      <name val="Arial"/>
      <family val="2"/>
      <charset val="204"/>
    </font>
    <font>
      <b/>
      <sz val="14"/>
      <name val="Arial"/>
      <family val="2"/>
      <charset val="204"/>
    </font>
    <font>
      <sz val="10"/>
      <name val="Arial"/>
      <family val="2"/>
      <charset val="204"/>
    </font>
    <font>
      <i/>
      <vertAlign val="superscript"/>
      <sz val="12"/>
      <name val="Arial"/>
      <family val="2"/>
      <charset val="204"/>
    </font>
    <font>
      <b/>
      <i/>
      <sz val="10"/>
      <name val="Arial"/>
      <family val="2"/>
      <charset val="204"/>
    </font>
    <font>
      <sz val="10"/>
      <name val="Arial"/>
      <family val="2"/>
      <charset val="204"/>
    </font>
    <font>
      <i/>
      <vertAlign val="superscript"/>
      <sz val="14"/>
      <name val="Times New Roman"/>
      <family val="1"/>
      <charset val="204"/>
    </font>
    <font>
      <b/>
      <sz val="12"/>
      <name val="Arial"/>
      <family val="2"/>
      <charset val="204"/>
    </font>
    <font>
      <sz val="14"/>
      <color indexed="10"/>
      <name val="Arial"/>
      <family val="2"/>
      <charset val="204"/>
    </font>
    <font>
      <sz val="14"/>
      <color indexed="13"/>
      <name val="Arial"/>
      <family val="2"/>
      <charset val="204"/>
    </font>
    <font>
      <i/>
      <sz val="12"/>
      <name val="Times New Roman"/>
      <family val="1"/>
      <charset val="204"/>
    </font>
    <font>
      <b/>
      <sz val="10"/>
      <name val="Arial"/>
      <family val="2"/>
      <charset val="204"/>
    </font>
    <font>
      <b/>
      <i/>
      <sz val="18"/>
      <name val="Arial"/>
      <family val="2"/>
      <charset val="204"/>
    </font>
    <font>
      <sz val="10"/>
      <name val="Arial"/>
      <family val="2"/>
      <charset val="204"/>
    </font>
    <font>
      <b/>
      <vertAlign val="subscript"/>
      <sz val="10"/>
      <name val="Arial"/>
      <family val="2"/>
      <charset val="204"/>
    </font>
    <font>
      <vertAlign val="subscript"/>
      <sz val="10"/>
      <name val="Arial"/>
      <family val="2"/>
      <charset val="204"/>
    </font>
    <font>
      <b/>
      <sz val="10"/>
      <color indexed="9"/>
      <name val="Arial"/>
      <family val="2"/>
      <charset val="204"/>
    </font>
    <font>
      <b/>
      <vertAlign val="subscript"/>
      <sz val="10"/>
      <name val="Arial"/>
      <family val="2"/>
      <charset val="204"/>
    </font>
    <font>
      <b/>
      <i/>
      <sz val="10"/>
      <color indexed="9"/>
      <name val="Arial"/>
      <family val="2"/>
      <charset val="204"/>
    </font>
    <font>
      <i/>
      <vertAlign val="subscript"/>
      <sz val="10"/>
      <name val="Arial"/>
      <family val="2"/>
      <charset val="204"/>
    </font>
    <font>
      <b/>
      <sz val="16"/>
      <name val="Arial"/>
      <family val="2"/>
      <charset val="204"/>
    </font>
    <font>
      <sz val="10"/>
      <color indexed="81"/>
      <name val="Tahoma"/>
      <family val="2"/>
      <charset val="204"/>
    </font>
    <font>
      <b/>
      <sz val="10"/>
      <color indexed="81"/>
      <name val="Tahoma"/>
      <family val="2"/>
      <charset val="204"/>
    </font>
    <font>
      <sz val="10"/>
      <color indexed="81"/>
      <name val="Tahoma"/>
      <family val="2"/>
      <charset val="204"/>
    </font>
    <font>
      <b/>
      <sz val="10"/>
      <color indexed="81"/>
      <name val="Tahoma"/>
      <family val="2"/>
      <charset val="204"/>
    </font>
    <font>
      <b/>
      <i/>
      <vertAlign val="superscript"/>
      <sz val="12"/>
      <name val="Arial"/>
      <family val="2"/>
      <charset val="204"/>
    </font>
    <font>
      <b/>
      <i/>
      <sz val="10"/>
      <color indexed="81"/>
      <name val="Tahoma"/>
      <family val="2"/>
      <charset val="204"/>
    </font>
    <font>
      <b/>
      <sz val="11"/>
      <name val="Arial"/>
      <family val="2"/>
      <charset val="204"/>
    </font>
    <font>
      <sz val="11"/>
      <name val="Arial"/>
      <family val="2"/>
      <charset val="204"/>
    </font>
    <font>
      <sz val="14"/>
      <color indexed="17"/>
      <name val="Arial"/>
      <family val="2"/>
      <charset val="204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vertAlign val="subscript"/>
      <sz val="14"/>
      <name val="Arial"/>
      <family val="2"/>
      <charset val="204"/>
    </font>
    <font>
      <sz val="9"/>
      <color indexed="81"/>
      <name val="Tahoma"/>
      <family val="2"/>
      <charset val="204"/>
    </font>
    <font>
      <vertAlign val="subscript"/>
      <sz val="10"/>
      <name val="Arial"/>
      <family val="2"/>
      <charset val="204"/>
    </font>
    <font>
      <sz val="11"/>
      <name val="Arial"/>
      <family val="2"/>
      <charset val="204"/>
    </font>
    <font>
      <b/>
      <sz val="14"/>
      <name val="Arial"/>
      <family val="2"/>
      <charset val="204"/>
    </font>
    <font>
      <b/>
      <u/>
      <sz val="11"/>
      <name val="Arial"/>
      <family val="2"/>
      <charset val="204"/>
    </font>
    <font>
      <b/>
      <i/>
      <vertAlign val="superscript"/>
      <sz val="10"/>
      <name val="Arial"/>
      <family val="2"/>
      <charset val="204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i/>
      <sz val="18"/>
      <name val="Arial"/>
      <family val="2"/>
      <charset val="204"/>
    </font>
    <font>
      <sz val="16"/>
      <name val="Arial"/>
      <family val="2"/>
      <charset val="204"/>
    </font>
    <font>
      <b/>
      <i/>
      <sz val="16"/>
      <name val="Arial"/>
      <family val="2"/>
      <charset val="204"/>
    </font>
    <font>
      <i/>
      <sz val="16"/>
      <name val="Arial"/>
      <family val="2"/>
      <charset val="204"/>
    </font>
    <font>
      <sz val="14"/>
      <name val="Calibri"/>
      <family val="2"/>
      <charset val="204"/>
    </font>
    <font>
      <sz val="9"/>
      <name val="Arial"/>
      <family val="2"/>
      <charset val="204"/>
    </font>
  </fonts>
  <fills count="16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8" fillId="0" borderId="0" applyNumberFormat="0" applyFill="0" applyBorder="0" applyAlignment="0" applyProtection="0">
      <alignment vertical="top"/>
      <protection locked="0"/>
    </xf>
  </cellStyleXfs>
  <cellXfs count="991">
    <xf numFmtId="0" fontId="0" fillId="0" borderId="0" xfId="0"/>
    <xf numFmtId="0" fontId="3" fillId="0" borderId="0" xfId="0" applyFont="1"/>
    <xf numFmtId="0" fontId="5" fillId="0" borderId="0" xfId="0" applyFont="1"/>
    <xf numFmtId="2" fontId="2" fillId="0" borderId="1" xfId="0" applyNumberFormat="1" applyFont="1" applyBorder="1" applyAlignment="1">
      <alignment horizontal="center"/>
    </xf>
    <xf numFmtId="0" fontId="10" fillId="0" borderId="0" xfId="0" applyFont="1" applyAlignment="1">
      <alignment horizontal="right"/>
    </xf>
    <xf numFmtId="0" fontId="11" fillId="0" borderId="0" xfId="0" applyFont="1"/>
    <xf numFmtId="2" fontId="12" fillId="0" borderId="1" xfId="0" applyNumberFormat="1" applyFont="1" applyBorder="1" applyAlignment="1">
      <alignment horizontal="center"/>
    </xf>
    <xf numFmtId="0" fontId="12" fillId="0" borderId="0" xfId="0" applyFont="1"/>
    <xf numFmtId="0" fontId="13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178" fontId="12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right"/>
    </xf>
    <xf numFmtId="0" fontId="8" fillId="0" borderId="0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0" xfId="0" applyAlignment="1"/>
    <xf numFmtId="0" fontId="5" fillId="0" borderId="0" xfId="0" applyFont="1" applyAlignment="1"/>
    <xf numFmtId="178" fontId="8" fillId="0" borderId="0" xfId="0" applyNumberFormat="1" applyFont="1" applyBorder="1" applyAlignment="1">
      <alignment horizontal="center"/>
    </xf>
    <xf numFmtId="178" fontId="12" fillId="0" borderId="0" xfId="0" applyNumberFormat="1" applyFont="1"/>
    <xf numFmtId="0" fontId="3" fillId="0" borderId="0" xfId="0" applyFont="1" applyAlignment="1">
      <alignment horizontal="right"/>
    </xf>
    <xf numFmtId="0" fontId="19" fillId="0" borderId="0" xfId="0" applyFont="1" applyAlignment="1">
      <alignment horizontal="right"/>
    </xf>
    <xf numFmtId="0" fontId="19" fillId="0" borderId="0" xfId="0" applyFont="1"/>
    <xf numFmtId="0" fontId="23" fillId="0" borderId="1" xfId="0" applyFont="1" applyBorder="1" applyAlignment="1">
      <alignment horizontal="center"/>
    </xf>
    <xf numFmtId="0" fontId="24" fillId="0" borderId="1" xfId="0" applyFont="1" applyBorder="1" applyAlignment="1">
      <alignment horizontal="center"/>
    </xf>
    <xf numFmtId="0" fontId="0" fillId="0" borderId="0" xfId="0" applyBorder="1" applyAlignment="1"/>
    <xf numFmtId="0" fontId="3" fillId="0" borderId="0" xfId="0" applyFont="1" applyBorder="1"/>
    <xf numFmtId="0" fontId="19" fillId="0" borderId="0" xfId="0" applyFont="1" applyBorder="1"/>
    <xf numFmtId="0" fontId="2" fillId="0" borderId="0" xfId="0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 applyAlignment="1">
      <alignment horizontal="left"/>
    </xf>
    <xf numFmtId="0" fontId="8" fillId="0" borderId="2" xfId="0" applyFont="1" applyBorder="1"/>
    <xf numFmtId="0" fontId="8" fillId="0" borderId="3" xfId="0" applyFont="1" applyBorder="1" applyAlignment="1">
      <alignment horizontal="left"/>
    </xf>
    <xf numFmtId="0" fontId="21" fillId="0" borderId="0" xfId="0" applyFont="1"/>
    <xf numFmtId="0" fontId="21" fillId="0" borderId="0" xfId="0" applyFont="1" applyAlignment="1">
      <alignment horizontal="right"/>
    </xf>
    <xf numFmtId="2" fontId="19" fillId="0" borderId="0" xfId="0" applyNumberFormat="1" applyFont="1"/>
    <xf numFmtId="2" fontId="2" fillId="0" borderId="2" xfId="0" applyNumberFormat="1" applyFont="1" applyBorder="1"/>
    <xf numFmtId="2" fontId="8" fillId="0" borderId="0" xfId="0" applyNumberFormat="1" applyFont="1" applyBorder="1" applyAlignment="1">
      <alignment horizontal="center"/>
    </xf>
    <xf numFmtId="0" fontId="23" fillId="0" borderId="0" xfId="0" applyFont="1" applyAlignment="1"/>
    <xf numFmtId="0" fontId="3" fillId="0" borderId="0" xfId="0" applyFont="1" applyFill="1" applyBorder="1"/>
    <xf numFmtId="0" fontId="13" fillId="0" borderId="1" xfId="0" applyFont="1" applyFill="1" applyBorder="1" applyAlignment="1">
      <alignment horizontal="center"/>
    </xf>
    <xf numFmtId="0" fontId="3" fillId="0" borderId="0" xfId="0" applyFont="1" applyFill="1"/>
    <xf numFmtId="2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2" fontId="12" fillId="2" borderId="1" xfId="0" applyNumberFormat="1" applyFont="1" applyFill="1" applyBorder="1" applyAlignment="1">
      <alignment horizontal="center"/>
    </xf>
    <xf numFmtId="0" fontId="23" fillId="0" borderId="0" xfId="0" applyFont="1"/>
    <xf numFmtId="178" fontId="23" fillId="2" borderId="0" xfId="0" applyNumberFormat="1" applyFont="1" applyFill="1"/>
    <xf numFmtId="0" fontId="23" fillId="0" borderId="0" xfId="0" applyFont="1" applyAlignment="1">
      <alignment horizontal="right"/>
    </xf>
    <xf numFmtId="0" fontId="23" fillId="2" borderId="0" xfId="0" applyFont="1" applyFill="1" applyAlignment="1">
      <alignment horizontal="left"/>
    </xf>
    <xf numFmtId="2" fontId="23" fillId="0" borderId="0" xfId="0" applyNumberFormat="1" applyFont="1"/>
    <xf numFmtId="179" fontId="39" fillId="0" borderId="0" xfId="0" applyNumberFormat="1" applyFont="1"/>
    <xf numFmtId="179" fontId="24" fillId="0" borderId="0" xfId="0" applyNumberFormat="1" applyFont="1"/>
    <xf numFmtId="179" fontId="39" fillId="2" borderId="0" xfId="0" applyNumberFormat="1" applyFont="1" applyFill="1"/>
    <xf numFmtId="181" fontId="23" fillId="0" borderId="0" xfId="0" applyNumberFormat="1" applyFont="1"/>
    <xf numFmtId="181" fontId="23" fillId="2" borderId="0" xfId="0" applyNumberFormat="1" applyFont="1" applyFill="1"/>
    <xf numFmtId="0" fontId="2" fillId="0" borderId="0" xfId="0" applyFont="1"/>
    <xf numFmtId="0" fontId="13" fillId="0" borderId="0" xfId="0" applyFont="1"/>
    <xf numFmtId="0" fontId="23" fillId="0" borderId="0" xfId="0" applyFont="1" applyAlignment="1">
      <alignment horizontal="left"/>
    </xf>
    <xf numFmtId="2" fontId="23" fillId="0" borderId="0" xfId="0" applyNumberFormat="1" applyFont="1" applyAlignment="1">
      <alignment horizontal="left"/>
    </xf>
    <xf numFmtId="2" fontId="23" fillId="2" borderId="0" xfId="0" applyNumberFormat="1" applyFont="1" applyFill="1" applyAlignment="1">
      <alignment horizontal="left"/>
    </xf>
    <xf numFmtId="2" fontId="12" fillId="2" borderId="0" xfId="0" applyNumberFormat="1" applyFont="1" applyFill="1"/>
    <xf numFmtId="2" fontId="23" fillId="0" borderId="0" xfId="0" applyNumberFormat="1" applyFont="1" applyFill="1" applyAlignment="1">
      <alignment horizontal="left"/>
    </xf>
    <xf numFmtId="0" fontId="23" fillId="0" borderId="0" xfId="0" applyFont="1" applyFill="1" applyAlignment="1">
      <alignment horizontal="left"/>
    </xf>
    <xf numFmtId="2" fontId="37" fillId="2" borderId="0" xfId="0" applyNumberFormat="1" applyFont="1" applyFill="1" applyAlignment="1">
      <alignment horizontal="left"/>
    </xf>
    <xf numFmtId="180" fontId="21" fillId="0" borderId="0" xfId="0" applyNumberFormat="1" applyFont="1"/>
    <xf numFmtId="2" fontId="19" fillId="0" borderId="0" xfId="0" applyNumberFormat="1" applyFont="1" applyFill="1" applyAlignment="1">
      <alignment horizontal="left"/>
    </xf>
    <xf numFmtId="2" fontId="19" fillId="0" borderId="0" xfId="0" applyNumberFormat="1" applyFont="1" applyAlignment="1">
      <alignment horizontal="left"/>
    </xf>
    <xf numFmtId="2" fontId="21" fillId="0" borderId="0" xfId="0" applyNumberFormat="1" applyFont="1" applyAlignment="1">
      <alignment horizontal="left"/>
    </xf>
    <xf numFmtId="0" fontId="0" fillId="0" borderId="0" xfId="0" applyAlignment="1">
      <alignment vertical="center"/>
    </xf>
    <xf numFmtId="0" fontId="26" fillId="0" borderId="0" xfId="0" applyFont="1" applyAlignment="1"/>
    <xf numFmtId="0" fontId="23" fillId="2" borderId="0" xfId="0" applyNumberFormat="1" applyFont="1" applyFill="1"/>
    <xf numFmtId="178" fontId="21" fillId="0" borderId="0" xfId="0" applyNumberFormat="1" applyFont="1"/>
    <xf numFmtId="0" fontId="12" fillId="0" borderId="0" xfId="0" applyFont="1" applyAlignme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42" fillId="0" borderId="0" xfId="0" applyFont="1" applyAlignment="1"/>
    <xf numFmtId="0" fontId="2" fillId="0" borderId="0" xfId="0" applyFont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178" fontId="23" fillId="0" borderId="0" xfId="0" applyNumberFormat="1" applyFont="1" applyFill="1"/>
    <xf numFmtId="178" fontId="2" fillId="0" borderId="0" xfId="0" applyNumberFormat="1" applyFont="1"/>
    <xf numFmtId="0" fontId="21" fillId="0" borderId="0" xfId="0" applyFont="1" applyFill="1"/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178" fontId="2" fillId="0" borderId="0" xfId="0" applyNumberFormat="1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178" fontId="2" fillId="0" borderId="1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2" fontId="2" fillId="2" borderId="1" xfId="0" applyNumberFormat="1" applyFont="1" applyFill="1" applyBorder="1" applyAlignment="1">
      <alignment horizontal="center" vertical="center"/>
    </xf>
    <xf numFmtId="2" fontId="12" fillId="0" borderId="0" xfId="0" applyNumberFormat="1" applyFont="1" applyFill="1"/>
    <xf numFmtId="0" fontId="27" fillId="0" borderId="0" xfId="0" applyFont="1" applyAlignment="1"/>
    <xf numFmtId="0" fontId="12" fillId="0" borderId="1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left"/>
    </xf>
    <xf numFmtId="0" fontId="12" fillId="0" borderId="0" xfId="0" applyFont="1" applyFill="1"/>
    <xf numFmtId="0" fontId="12" fillId="0" borderId="0" xfId="0" applyFont="1" applyFill="1" applyBorder="1"/>
    <xf numFmtId="0" fontId="23" fillId="0" borderId="1" xfId="0" applyFont="1" applyFill="1" applyBorder="1" applyAlignment="1">
      <alignment horizontal="center"/>
    </xf>
    <xf numFmtId="2" fontId="2" fillId="0" borderId="2" xfId="0" applyNumberFormat="1" applyFont="1" applyFill="1" applyBorder="1"/>
    <xf numFmtId="0" fontId="12" fillId="2" borderId="1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23" fillId="0" borderId="0" xfId="0" applyFont="1" applyBorder="1"/>
    <xf numFmtId="0" fontId="2" fillId="0" borderId="0" xfId="0" applyFont="1" applyBorder="1"/>
    <xf numFmtId="0" fontId="23" fillId="2" borderId="0" xfId="0" applyFont="1" applyFill="1" applyBorder="1"/>
    <xf numFmtId="0" fontId="23" fillId="0" borderId="0" xfId="0" applyFont="1" applyFill="1" applyBorder="1"/>
    <xf numFmtId="2" fontId="2" fillId="0" borderId="1" xfId="0" applyNumberFormat="1" applyFont="1" applyFill="1" applyBorder="1" applyAlignment="1">
      <alignment horizontal="center"/>
    </xf>
    <xf numFmtId="0" fontId="23" fillId="0" borderId="0" xfId="0" applyFont="1" applyBorder="1" applyAlignment="1">
      <alignment horizontal="left"/>
    </xf>
    <xf numFmtId="0" fontId="23" fillId="2" borderId="0" xfId="0" applyFont="1" applyFill="1" applyBorder="1" applyAlignment="1">
      <alignment horizontal="left"/>
    </xf>
    <xf numFmtId="0" fontId="2" fillId="0" borderId="0" xfId="0" applyFont="1" applyAlignment="1">
      <alignment horizontal="left"/>
    </xf>
    <xf numFmtId="0" fontId="1" fillId="0" borderId="1" xfId="0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0" fontId="23" fillId="0" borderId="0" xfId="0" applyFont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0" fontId="24" fillId="3" borderId="1" xfId="0" applyFont="1" applyFill="1" applyBorder="1" applyAlignment="1">
      <alignment horizontal="center"/>
    </xf>
    <xf numFmtId="0" fontId="23" fillId="0" borderId="0" xfId="0" applyNumberFormat="1" applyFont="1" applyFill="1"/>
    <xf numFmtId="0" fontId="5" fillId="0" borderId="0" xfId="0" applyFont="1" applyAlignment="1">
      <alignment horizontal="left"/>
    </xf>
    <xf numFmtId="0" fontId="13" fillId="4" borderId="1" xfId="0" applyFont="1" applyFill="1" applyBorder="1" applyAlignment="1">
      <alignment horizontal="center"/>
    </xf>
    <xf numFmtId="0" fontId="24" fillId="4" borderId="1" xfId="0" applyFont="1" applyFill="1" applyBorder="1" applyAlignment="1">
      <alignment horizontal="center"/>
    </xf>
    <xf numFmtId="0" fontId="23" fillId="0" borderId="0" xfId="0" applyFont="1" applyAlignment="1">
      <alignment horizontal="right" vertical="center"/>
    </xf>
    <xf numFmtId="0" fontId="19" fillId="0" borderId="0" xfId="0" applyFont="1" applyAlignment="1">
      <alignment horizontal="right" vertical="center"/>
    </xf>
    <xf numFmtId="0" fontId="19" fillId="0" borderId="0" xfId="0" applyFont="1" applyAlignment="1">
      <alignment horizontal="left" vertical="center"/>
    </xf>
    <xf numFmtId="0" fontId="3" fillId="0" borderId="0" xfId="0" applyFont="1" applyBorder="1" applyAlignment="1">
      <alignment horizontal="left"/>
    </xf>
    <xf numFmtId="0" fontId="12" fillId="0" borderId="0" xfId="0" applyFont="1" applyBorder="1"/>
    <xf numFmtId="0" fontId="12" fillId="0" borderId="0" xfId="0" applyFont="1" applyBorder="1" applyAlignment="1">
      <alignment vertical="top" wrapText="1"/>
    </xf>
    <xf numFmtId="178" fontId="2" fillId="0" borderId="1" xfId="0" applyNumberFormat="1" applyFont="1" applyFill="1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178" fontId="12" fillId="0" borderId="0" xfId="0" applyNumberFormat="1" applyFont="1" applyBorder="1" applyAlignment="1">
      <alignment vertical="top" wrapText="1"/>
    </xf>
    <xf numFmtId="0" fontId="12" fillId="0" borderId="0" xfId="0" applyFont="1" applyFill="1" applyBorder="1" applyAlignment="1">
      <alignment horizontal="center" vertical="top"/>
    </xf>
    <xf numFmtId="2" fontId="3" fillId="0" borderId="0" xfId="0" applyNumberFormat="1" applyFont="1"/>
    <xf numFmtId="0" fontId="23" fillId="2" borderId="1" xfId="0" applyFont="1" applyFill="1" applyBorder="1" applyAlignment="1">
      <alignment horizontal="center"/>
    </xf>
    <xf numFmtId="4" fontId="21" fillId="0" borderId="0" xfId="0" applyNumberFormat="1" applyFont="1" applyBorder="1" applyAlignment="1">
      <alignment horizontal="center"/>
    </xf>
    <xf numFmtId="0" fontId="44" fillId="0" borderId="1" xfId="0" applyFont="1" applyBorder="1" applyAlignment="1">
      <alignment horizontal="center" vertical="center"/>
    </xf>
    <xf numFmtId="0" fontId="5" fillId="2" borderId="0" xfId="0" applyFont="1" applyFill="1" applyAlignment="1">
      <alignment horizontal="center"/>
    </xf>
    <xf numFmtId="0" fontId="1" fillId="0" borderId="0" xfId="0" applyFont="1" applyAlignment="1">
      <alignment horizontal="center" vertical="center"/>
    </xf>
    <xf numFmtId="0" fontId="23" fillId="0" borderId="18" xfId="0" applyFont="1" applyFill="1" applyBorder="1" applyAlignment="1">
      <alignment horizontal="center"/>
    </xf>
    <xf numFmtId="0" fontId="23" fillId="0" borderId="18" xfId="0" applyFont="1" applyFill="1" applyBorder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48" fillId="0" borderId="0" xfId="0" applyFont="1" applyAlignment="1">
      <alignment horizontal="center"/>
    </xf>
    <xf numFmtId="0" fontId="23" fillId="0" borderId="1" xfId="0" applyFont="1" applyBorder="1" applyAlignment="1"/>
    <xf numFmtId="0" fontId="23" fillId="0" borderId="19" xfId="0" applyFont="1" applyBorder="1" applyAlignment="1"/>
    <xf numFmtId="0" fontId="12" fillId="0" borderId="20" xfId="0" applyFont="1" applyBorder="1" applyAlignment="1">
      <alignment horizontal="center"/>
    </xf>
    <xf numFmtId="0" fontId="12" fillId="0" borderId="21" xfId="0" applyFont="1" applyBorder="1" applyAlignment="1">
      <alignment horizontal="center"/>
    </xf>
    <xf numFmtId="0" fontId="23" fillId="0" borderId="20" xfId="0" applyFont="1" applyBorder="1" applyAlignment="1">
      <alignment horizontal="center"/>
    </xf>
    <xf numFmtId="0" fontId="23" fillId="0" borderId="22" xfId="0" applyFont="1" applyBorder="1" applyAlignment="1"/>
    <xf numFmtId="0" fontId="23" fillId="0" borderId="23" xfId="0" applyFont="1" applyBorder="1" applyAlignment="1"/>
    <xf numFmtId="0" fontId="23" fillId="0" borderId="20" xfId="0" applyFont="1" applyBorder="1" applyAlignment="1"/>
    <xf numFmtId="0" fontId="23" fillId="0" borderId="21" xfId="0" applyFont="1" applyBorder="1" applyAlignment="1"/>
    <xf numFmtId="0" fontId="23" fillId="0" borderId="24" xfId="0" applyFont="1" applyBorder="1" applyAlignment="1"/>
    <xf numFmtId="0" fontId="23" fillId="0" borderId="25" xfId="0" applyFont="1" applyBorder="1" applyAlignment="1"/>
    <xf numFmtId="0" fontId="23" fillId="0" borderId="26" xfId="0" applyFont="1" applyBorder="1" applyAlignment="1"/>
    <xf numFmtId="0" fontId="23" fillId="0" borderId="22" xfId="0" applyFont="1" applyBorder="1" applyAlignment="1">
      <alignment horizontal="center"/>
    </xf>
    <xf numFmtId="0" fontId="23" fillId="0" borderId="21" xfId="0" applyFont="1" applyBorder="1" applyAlignment="1">
      <alignment horizontal="center"/>
    </xf>
    <xf numFmtId="0" fontId="23" fillId="0" borderId="24" xfId="0" applyFont="1" applyBorder="1" applyAlignment="1">
      <alignment horizontal="center"/>
    </xf>
    <xf numFmtId="0" fontId="3" fillId="5" borderId="0" xfId="0" applyFont="1" applyFill="1"/>
    <xf numFmtId="0" fontId="3" fillId="6" borderId="0" xfId="0" applyFont="1" applyFill="1"/>
    <xf numFmtId="0" fontId="13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12" fillId="0" borderId="0" xfId="0" applyFont="1" applyFill="1" applyBorder="1" applyAlignment="1">
      <alignment horizontal="center"/>
    </xf>
    <xf numFmtId="178" fontId="12" fillId="3" borderId="1" xfId="0" applyNumberFormat="1" applyFont="1" applyFill="1" applyBorder="1" applyAlignment="1">
      <alignment horizontal="center"/>
    </xf>
    <xf numFmtId="0" fontId="3" fillId="7" borderId="0" xfId="0" applyFont="1" applyFill="1"/>
    <xf numFmtId="0" fontId="0" fillId="0" borderId="0" xfId="0" applyBorder="1" applyAlignment="1">
      <alignment horizontal="center"/>
    </xf>
    <xf numFmtId="0" fontId="12" fillId="0" borderId="0" xfId="0" applyFont="1" applyFill="1" applyBorder="1" applyAlignment="1">
      <alignment horizontal="center" vertical="center" textRotation="90"/>
    </xf>
    <xf numFmtId="0" fontId="50" fillId="0" borderId="0" xfId="0" applyFont="1" applyAlignment="1">
      <alignment horizontal="right"/>
    </xf>
    <xf numFmtId="178" fontId="13" fillId="0" borderId="27" xfId="0" applyNumberFormat="1" applyFont="1" applyBorder="1" applyAlignment="1">
      <alignment horizontal="center"/>
    </xf>
    <xf numFmtId="178" fontId="13" fillId="0" borderId="1" xfId="0" applyNumberFormat="1" applyFont="1" applyBorder="1" applyAlignment="1">
      <alignment horizontal="center"/>
    </xf>
    <xf numFmtId="0" fontId="51" fillId="0" borderId="1" xfId="0" applyFont="1" applyBorder="1" applyAlignment="1">
      <alignment horizontal="center"/>
    </xf>
    <xf numFmtId="0" fontId="53" fillId="0" borderId="1" xfId="0" applyFont="1" applyBorder="1" applyAlignment="1">
      <alignment horizontal="center"/>
    </xf>
    <xf numFmtId="0" fontId="27" fillId="0" borderId="1" xfId="0" applyFont="1" applyBorder="1" applyAlignment="1">
      <alignment horizontal="center"/>
    </xf>
    <xf numFmtId="0" fontId="45" fillId="0" borderId="1" xfId="0" applyFont="1" applyBorder="1" applyAlignment="1">
      <alignment horizontal="center"/>
    </xf>
    <xf numFmtId="0" fontId="51" fillId="4" borderId="1" xfId="0" applyFont="1" applyFill="1" applyBorder="1" applyAlignment="1">
      <alignment horizontal="center"/>
    </xf>
    <xf numFmtId="0" fontId="27" fillId="4" borderId="1" xfId="0" applyFont="1" applyFill="1" applyBorder="1" applyAlignment="1">
      <alignment horizontal="center"/>
    </xf>
    <xf numFmtId="0" fontId="45" fillId="4" borderId="1" xfId="0" applyFont="1" applyFill="1" applyBorder="1" applyAlignment="1">
      <alignment horizontal="center"/>
    </xf>
    <xf numFmtId="0" fontId="5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center"/>
    </xf>
    <xf numFmtId="0" fontId="45" fillId="3" borderId="1" xfId="0" applyFont="1" applyFill="1" applyBorder="1" applyAlignment="1">
      <alignment horizontal="center"/>
    </xf>
    <xf numFmtId="0" fontId="51" fillId="0" borderId="27" xfId="0" applyFont="1" applyBorder="1" applyAlignment="1">
      <alignment horizontal="center"/>
    </xf>
    <xf numFmtId="0" fontId="27" fillId="0" borderId="27" xfId="0" applyFont="1" applyBorder="1" applyAlignment="1">
      <alignment horizontal="center"/>
    </xf>
    <xf numFmtId="0" fontId="45" fillId="0" borderId="27" xfId="0" applyFont="1" applyBorder="1" applyAlignment="1">
      <alignment horizontal="center"/>
    </xf>
    <xf numFmtId="0" fontId="51" fillId="0" borderId="1" xfId="0" applyFont="1" applyFill="1" applyBorder="1" applyAlignment="1">
      <alignment horizontal="center"/>
    </xf>
    <xf numFmtId="0" fontId="27" fillId="0" borderId="1" xfId="0" applyFont="1" applyFill="1" applyBorder="1" applyAlignment="1">
      <alignment horizontal="center"/>
    </xf>
    <xf numFmtId="0" fontId="45" fillId="4" borderId="28" xfId="0" applyFont="1" applyFill="1" applyBorder="1" applyAlignment="1">
      <alignment horizontal="center"/>
    </xf>
    <xf numFmtId="0" fontId="42" fillId="4" borderId="1" xfId="0" applyFont="1" applyFill="1" applyBorder="1" applyAlignment="1">
      <alignment horizontal="center"/>
    </xf>
    <xf numFmtId="0" fontId="42" fillId="3" borderId="1" xfId="0" applyFont="1" applyFill="1" applyBorder="1" applyAlignment="1">
      <alignment horizontal="center"/>
    </xf>
    <xf numFmtId="0" fontId="40" fillId="4" borderId="1" xfId="0" applyFont="1" applyFill="1" applyBorder="1" applyAlignment="1">
      <alignment horizontal="center"/>
    </xf>
    <xf numFmtId="0" fontId="40" fillId="0" borderId="0" xfId="0" applyFont="1" applyAlignment="1">
      <alignment horizontal="center"/>
    </xf>
    <xf numFmtId="0" fontId="40" fillId="3" borderId="1" xfId="0" applyFont="1" applyFill="1" applyBorder="1" applyAlignment="1">
      <alignment horizontal="center"/>
    </xf>
    <xf numFmtId="0" fontId="40" fillId="4" borderId="3" xfId="0" applyFont="1" applyFill="1" applyBorder="1" applyAlignment="1">
      <alignment horizontal="center"/>
    </xf>
    <xf numFmtId="0" fontId="40" fillId="3" borderId="3" xfId="0" applyFont="1" applyFill="1" applyBorder="1" applyAlignment="1">
      <alignment horizontal="center"/>
    </xf>
    <xf numFmtId="0" fontId="56" fillId="8" borderId="0" xfId="0" applyFont="1" applyFill="1" applyAlignment="1">
      <alignment horizontal="center"/>
    </xf>
    <xf numFmtId="0" fontId="42" fillId="0" borderId="27" xfId="0" applyFont="1" applyBorder="1" applyAlignment="1">
      <alignment horizontal="center"/>
    </xf>
    <xf numFmtId="0" fontId="42" fillId="0" borderId="1" xfId="0" applyFont="1" applyFill="1" applyBorder="1" applyAlignment="1">
      <alignment horizontal="center"/>
    </xf>
    <xf numFmtId="0" fontId="42" fillId="0" borderId="1" xfId="0" applyFont="1" applyBorder="1" applyAlignment="1">
      <alignment horizontal="center"/>
    </xf>
    <xf numFmtId="0" fontId="42" fillId="4" borderId="28" xfId="0" applyFont="1" applyFill="1" applyBorder="1" applyAlignment="1">
      <alignment horizontal="center"/>
    </xf>
    <xf numFmtId="0" fontId="23" fillId="0" borderId="0" xfId="0" applyFont="1" applyAlignment="1">
      <alignment horizontal="left" vertical="justify"/>
    </xf>
    <xf numFmtId="0" fontId="0" fillId="0" borderId="0" xfId="0" applyFill="1" applyBorder="1" applyAlignment="1"/>
    <xf numFmtId="178" fontId="23" fillId="0" borderId="0" xfId="0" applyNumberFormat="1" applyFont="1" applyFill="1" applyAlignment="1">
      <alignment horizontal="left"/>
    </xf>
    <xf numFmtId="0" fontId="23" fillId="0" borderId="0" xfId="0" applyFont="1" applyAlignment="1">
      <alignment horizontal="center"/>
    </xf>
    <xf numFmtId="0" fontId="23" fillId="0" borderId="0" xfId="0" applyFont="1" applyBorder="1" applyAlignment="1">
      <alignment vertical="center"/>
    </xf>
    <xf numFmtId="178" fontId="23" fillId="0" borderId="0" xfId="0" applyNumberFormat="1" applyFont="1"/>
    <xf numFmtId="0" fontId="23" fillId="0" borderId="0" xfId="0" applyFont="1" applyFill="1"/>
    <xf numFmtId="0" fontId="3" fillId="9" borderId="0" xfId="0" applyFont="1" applyFill="1"/>
    <xf numFmtId="0" fontId="23" fillId="9" borderId="0" xfId="0" applyFont="1" applyFill="1" applyAlignment="1">
      <alignment horizontal="right"/>
    </xf>
    <xf numFmtId="0" fontId="45" fillId="0" borderId="0" xfId="0" applyFont="1" applyBorder="1" applyAlignment="1">
      <alignment horizontal="center"/>
    </xf>
    <xf numFmtId="0" fontId="45" fillId="4" borderId="0" xfId="0" applyFont="1" applyFill="1" applyBorder="1" applyAlignment="1">
      <alignment horizontal="center"/>
    </xf>
    <xf numFmtId="0" fontId="42" fillId="4" borderId="0" xfId="0" applyFont="1" applyFill="1" applyBorder="1" applyAlignment="1">
      <alignment horizontal="center"/>
    </xf>
    <xf numFmtId="0" fontId="2" fillId="0" borderId="0" xfId="0" applyFont="1" applyBorder="1" applyAlignment="1"/>
    <xf numFmtId="0" fontId="21" fillId="0" borderId="1" xfId="0" applyFont="1" applyBorder="1" applyAlignment="1">
      <alignment horizontal="center"/>
    </xf>
    <xf numFmtId="0" fontId="1" fillId="8" borderId="19" xfId="0" applyFont="1" applyFill="1" applyBorder="1" applyAlignment="1">
      <alignment horizontal="center"/>
    </xf>
    <xf numFmtId="0" fontId="51" fillId="8" borderId="19" xfId="0" applyFont="1" applyFill="1" applyBorder="1" applyAlignment="1">
      <alignment horizontal="center"/>
    </xf>
    <xf numFmtId="0" fontId="53" fillId="8" borderId="19" xfId="0" applyFont="1" applyFill="1" applyBorder="1" applyAlignment="1">
      <alignment horizontal="center"/>
    </xf>
    <xf numFmtId="0" fontId="42" fillId="0" borderId="0" xfId="0" applyFont="1"/>
    <xf numFmtId="0" fontId="42" fillId="0" borderId="1" xfId="0" applyFont="1" applyFill="1" applyBorder="1"/>
    <xf numFmtId="0" fontId="40" fillId="0" borderId="1" xfId="0" applyFont="1" applyFill="1" applyBorder="1" applyAlignment="1">
      <alignment horizontal="center"/>
    </xf>
    <xf numFmtId="0" fontId="42" fillId="0" borderId="1" xfId="0" applyFont="1" applyFill="1" applyBorder="1" applyAlignment="1">
      <alignment vertical="center"/>
    </xf>
    <xf numFmtId="0" fontId="24" fillId="0" borderId="1" xfId="0" applyFont="1" applyFill="1" applyBorder="1" applyAlignment="1">
      <alignment horizontal="center"/>
    </xf>
    <xf numFmtId="0" fontId="42" fillId="2" borderId="1" xfId="0" applyFont="1" applyFill="1" applyBorder="1" applyAlignment="1">
      <alignment horizontal="center"/>
    </xf>
    <xf numFmtId="0" fontId="42" fillId="10" borderId="1" xfId="0" applyFont="1" applyFill="1" applyBorder="1" applyAlignment="1">
      <alignment horizontal="center"/>
    </xf>
    <xf numFmtId="0" fontId="40" fillId="2" borderId="1" xfId="0" applyFont="1" applyFill="1" applyBorder="1" applyAlignment="1">
      <alignment horizontal="center"/>
    </xf>
    <xf numFmtId="0" fontId="24" fillId="2" borderId="1" xfId="0" applyFont="1" applyFill="1" applyBorder="1" applyAlignment="1">
      <alignment horizontal="center"/>
    </xf>
    <xf numFmtId="0" fontId="42" fillId="2" borderId="0" xfId="0" applyFont="1" applyFill="1"/>
    <xf numFmtId="0" fontId="40" fillId="10" borderId="1" xfId="0" applyFont="1" applyFill="1" applyBorder="1" applyAlignment="1">
      <alignment horizontal="center"/>
    </xf>
    <xf numFmtId="0" fontId="24" fillId="10" borderId="1" xfId="0" applyFont="1" applyFill="1" applyBorder="1" applyAlignment="1">
      <alignment horizontal="center"/>
    </xf>
    <xf numFmtId="0" fontId="42" fillId="10" borderId="0" xfId="0" applyFont="1" applyFill="1"/>
    <xf numFmtId="0" fontId="1" fillId="10" borderId="1" xfId="0" applyFont="1" applyFill="1" applyBorder="1" applyAlignment="1">
      <alignment horizontal="center"/>
    </xf>
    <xf numFmtId="0" fontId="42" fillId="2" borderId="29" xfId="0" applyFont="1" applyFill="1" applyBorder="1" applyAlignment="1"/>
    <xf numFmtId="0" fontId="42" fillId="2" borderId="0" xfId="0" applyFont="1" applyFill="1" applyAlignment="1"/>
    <xf numFmtId="0" fontId="42" fillId="10" borderId="29" xfId="0" applyFont="1" applyFill="1" applyBorder="1" applyAlignment="1"/>
    <xf numFmtId="0" fontId="42" fillId="10" borderId="0" xfId="0" applyFont="1" applyFill="1" applyAlignment="1"/>
    <xf numFmtId="178" fontId="23" fillId="2" borderId="0" xfId="0" applyNumberFormat="1" applyFont="1" applyFill="1" applyAlignment="1">
      <alignment horizontal="left"/>
    </xf>
    <xf numFmtId="0" fontId="40" fillId="10" borderId="3" xfId="0" applyFont="1" applyFill="1" applyBorder="1" applyAlignment="1">
      <alignment horizontal="center"/>
    </xf>
    <xf numFmtId="0" fontId="42" fillId="10" borderId="0" xfId="0" applyFont="1" applyFill="1" applyBorder="1" applyAlignment="1"/>
    <xf numFmtId="0" fontId="0" fillId="10" borderId="1" xfId="0" applyFill="1" applyBorder="1" applyAlignment="1">
      <alignment horizontal="center" vertical="center"/>
    </xf>
    <xf numFmtId="0" fontId="42" fillId="10" borderId="0" xfId="0" applyFont="1" applyFill="1" applyAlignment="1">
      <alignment horizontal="right"/>
    </xf>
    <xf numFmtId="0" fontId="42" fillId="2" borderId="0" xfId="0" applyFont="1" applyFill="1" applyAlignment="1">
      <alignment horizontal="right"/>
    </xf>
    <xf numFmtId="0" fontId="21" fillId="0" borderId="0" xfId="0" applyFont="1" applyAlignment="1"/>
    <xf numFmtId="0" fontId="3" fillId="0" borderId="0" xfId="0" applyFont="1" applyAlignment="1"/>
    <xf numFmtId="0" fontId="3" fillId="0" borderId="0" xfId="0" applyFont="1" applyBorder="1" applyAlignment="1"/>
    <xf numFmtId="0" fontId="13" fillId="0" borderId="0" xfId="0" applyFont="1" applyAlignment="1"/>
    <xf numFmtId="0" fontId="12" fillId="2" borderId="1" xfId="0" applyFont="1" applyFill="1" applyBorder="1" applyAlignment="1">
      <alignment horizontal="center" vertical="center"/>
    </xf>
    <xf numFmtId="2" fontId="19" fillId="0" borderId="0" xfId="0" applyNumberFormat="1" applyFont="1" applyAlignment="1">
      <alignment vertical="center"/>
    </xf>
    <xf numFmtId="2" fontId="19" fillId="0" borderId="0" xfId="0" applyNumberFormat="1" applyFont="1" applyAlignment="1">
      <alignment horizontal="left" vertical="center"/>
    </xf>
    <xf numFmtId="0" fontId="47" fillId="0" borderId="1" xfId="0" applyFont="1" applyBorder="1" applyAlignment="1">
      <alignment horizontal="center" vertical="center" wrapText="1"/>
    </xf>
    <xf numFmtId="0" fontId="47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right" vertical="center" wrapText="1"/>
    </xf>
    <xf numFmtId="0" fontId="13" fillId="0" borderId="30" xfId="0" applyFont="1" applyBorder="1" applyAlignment="1">
      <alignment horizontal="right" vertical="center" wrapText="1"/>
    </xf>
    <xf numFmtId="2" fontId="12" fillId="2" borderId="1" xfId="0" applyNumberFormat="1" applyFont="1" applyFill="1" applyBorder="1" applyAlignment="1">
      <alignment horizontal="center" vertical="center"/>
    </xf>
    <xf numFmtId="0" fontId="1" fillId="8" borderId="31" xfId="0" applyFont="1" applyFill="1" applyBorder="1" applyAlignment="1">
      <alignment horizontal="center"/>
    </xf>
    <xf numFmtId="0" fontId="2" fillId="0" borderId="0" xfId="0" applyFont="1" applyBorder="1" applyAlignment="1">
      <alignment horizontal="center" vertical="center" wrapText="1"/>
    </xf>
    <xf numFmtId="0" fontId="12" fillId="0" borderId="1" xfId="0" applyFont="1" applyBorder="1" applyAlignment="1"/>
    <xf numFmtId="0" fontId="45" fillId="0" borderId="3" xfId="0" applyFont="1" applyBorder="1" applyAlignment="1">
      <alignment horizontal="center"/>
    </xf>
    <xf numFmtId="0" fontId="51" fillId="0" borderId="30" xfId="0" applyFont="1" applyBorder="1" applyAlignment="1">
      <alignment horizontal="center"/>
    </xf>
    <xf numFmtId="0" fontId="27" fillId="0" borderId="30" xfId="0" applyFont="1" applyBorder="1" applyAlignment="1">
      <alignment horizontal="center"/>
    </xf>
    <xf numFmtId="0" fontId="45" fillId="0" borderId="30" xfId="0" applyFont="1" applyBorder="1" applyAlignment="1">
      <alignment horizontal="center"/>
    </xf>
    <xf numFmtId="0" fontId="53" fillId="0" borderId="2" xfId="0" applyFont="1" applyBorder="1" applyAlignment="1">
      <alignment horizontal="center"/>
    </xf>
    <xf numFmtId="0" fontId="45" fillId="0" borderId="2" xfId="0" applyFont="1" applyBorder="1" applyAlignment="1">
      <alignment horizontal="center"/>
    </xf>
    <xf numFmtId="0" fontId="45" fillId="4" borderId="2" xfId="0" applyFont="1" applyFill="1" applyBorder="1" applyAlignment="1">
      <alignment horizontal="center"/>
    </xf>
    <xf numFmtId="0" fontId="45" fillId="3" borderId="2" xfId="0" applyFont="1" applyFill="1" applyBorder="1" applyAlignment="1">
      <alignment horizontal="center"/>
    </xf>
    <xf numFmtId="0" fontId="45" fillId="0" borderId="32" xfId="0" applyFont="1" applyBorder="1" applyAlignment="1">
      <alignment horizontal="center"/>
    </xf>
    <xf numFmtId="0" fontId="45" fillId="4" borderId="33" xfId="0" applyFont="1" applyFill="1" applyBorder="1" applyAlignment="1">
      <alignment horizontal="center"/>
    </xf>
    <xf numFmtId="0" fontId="53" fillId="8" borderId="34" xfId="0" applyFont="1" applyFill="1" applyBorder="1" applyAlignment="1">
      <alignment horizontal="center"/>
    </xf>
    <xf numFmtId="0" fontId="42" fillId="0" borderId="32" xfId="0" applyFont="1" applyBorder="1" applyAlignment="1">
      <alignment horizontal="center"/>
    </xf>
    <xf numFmtId="0" fontId="42" fillId="0" borderId="2" xfId="0" applyFont="1" applyFill="1" applyBorder="1" applyAlignment="1">
      <alignment horizontal="center"/>
    </xf>
    <xf numFmtId="0" fontId="42" fillId="0" borderId="2" xfId="0" applyFont="1" applyBorder="1" applyAlignment="1">
      <alignment horizontal="center"/>
    </xf>
    <xf numFmtId="0" fontId="42" fillId="4" borderId="2" xfId="0" applyFont="1" applyFill="1" applyBorder="1" applyAlignment="1">
      <alignment horizontal="center"/>
    </xf>
    <xf numFmtId="0" fontId="42" fillId="3" borderId="2" xfId="0" applyFont="1" applyFill="1" applyBorder="1" applyAlignment="1">
      <alignment horizontal="center"/>
    </xf>
    <xf numFmtId="0" fontId="42" fillId="4" borderId="33" xfId="0" applyFont="1" applyFill="1" applyBorder="1" applyAlignment="1">
      <alignment horizontal="center"/>
    </xf>
    <xf numFmtId="0" fontId="45" fillId="0" borderId="35" xfId="0" applyFont="1" applyBorder="1" applyAlignment="1">
      <alignment horizontal="center"/>
    </xf>
    <xf numFmtId="0" fontId="53" fillId="0" borderId="3" xfId="0" applyFont="1" applyBorder="1" applyAlignment="1">
      <alignment horizontal="center"/>
    </xf>
    <xf numFmtId="0" fontId="45" fillId="4" borderId="3" xfId="0" applyFont="1" applyFill="1" applyBorder="1" applyAlignment="1">
      <alignment horizontal="center"/>
    </xf>
    <xf numFmtId="0" fontId="45" fillId="3" borderId="3" xfId="0" applyFont="1" applyFill="1" applyBorder="1" applyAlignment="1">
      <alignment horizontal="center"/>
    </xf>
    <xf numFmtId="0" fontId="45" fillId="0" borderId="36" xfId="0" applyFont="1" applyBorder="1" applyAlignment="1">
      <alignment horizontal="center"/>
    </xf>
    <xf numFmtId="0" fontId="45" fillId="0" borderId="37" xfId="0" applyFont="1" applyBorder="1" applyAlignment="1">
      <alignment horizontal="center"/>
    </xf>
    <xf numFmtId="0" fontId="45" fillId="4" borderId="37" xfId="0" applyFont="1" applyFill="1" applyBorder="1" applyAlignment="1">
      <alignment horizontal="center"/>
    </xf>
    <xf numFmtId="0" fontId="45" fillId="3" borderId="37" xfId="0" applyFont="1" applyFill="1" applyBorder="1" applyAlignment="1">
      <alignment horizontal="center"/>
    </xf>
    <xf numFmtId="0" fontId="45" fillId="4" borderId="38" xfId="0" applyFont="1" applyFill="1" applyBorder="1" applyAlignment="1">
      <alignment horizontal="center"/>
    </xf>
    <xf numFmtId="0" fontId="53" fillId="8" borderId="31" xfId="0" applyFont="1" applyFill="1" applyBorder="1" applyAlignment="1">
      <alignment horizontal="center"/>
    </xf>
    <xf numFmtId="0" fontId="42" fillId="0" borderId="36" xfId="0" applyFont="1" applyBorder="1" applyAlignment="1">
      <alignment horizontal="center"/>
    </xf>
    <xf numFmtId="0" fontId="42" fillId="0" borderId="3" xfId="0" applyFont="1" applyFill="1" applyBorder="1" applyAlignment="1">
      <alignment horizontal="center"/>
    </xf>
    <xf numFmtId="0" fontId="42" fillId="0" borderId="37" xfId="0" applyFont="1" applyBorder="1" applyAlignment="1">
      <alignment horizontal="center"/>
    </xf>
    <xf numFmtId="0" fontId="42" fillId="0" borderId="3" xfId="0" applyFont="1" applyBorder="1" applyAlignment="1">
      <alignment horizontal="center"/>
    </xf>
    <xf numFmtId="0" fontId="42" fillId="4" borderId="3" xfId="0" applyFont="1" applyFill="1" applyBorder="1" applyAlignment="1">
      <alignment horizontal="center"/>
    </xf>
    <xf numFmtId="0" fontId="42" fillId="3" borderId="3" xfId="0" applyFont="1" applyFill="1" applyBorder="1" applyAlignment="1">
      <alignment horizontal="center"/>
    </xf>
    <xf numFmtId="0" fontId="42" fillId="4" borderId="38" xfId="0" applyFont="1" applyFill="1" applyBorder="1" applyAlignment="1">
      <alignment horizontal="center"/>
    </xf>
    <xf numFmtId="0" fontId="45" fillId="0" borderId="39" xfId="0" applyFont="1" applyBorder="1" applyAlignment="1">
      <alignment horizontal="center"/>
    </xf>
    <xf numFmtId="0" fontId="1" fillId="0" borderId="0" xfId="0" applyFont="1" applyBorder="1" applyAlignment="1">
      <alignment horizontal="center" vertical="center"/>
    </xf>
    <xf numFmtId="0" fontId="3" fillId="6" borderId="0" xfId="0" applyFont="1" applyFill="1" applyBorder="1"/>
    <xf numFmtId="0" fontId="3" fillId="7" borderId="0" xfId="0" applyFont="1" applyFill="1" applyBorder="1"/>
    <xf numFmtId="0" fontId="53" fillId="0" borderId="0" xfId="0" applyFont="1" applyBorder="1" applyAlignment="1">
      <alignment horizontal="center"/>
    </xf>
    <xf numFmtId="0" fontId="45" fillId="3" borderId="0" xfId="0" applyFont="1" applyFill="1" applyBorder="1" applyAlignment="1">
      <alignment horizontal="center"/>
    </xf>
    <xf numFmtId="0" fontId="53" fillId="8" borderId="0" xfId="0" applyFont="1" applyFill="1" applyBorder="1" applyAlignment="1">
      <alignment horizontal="center"/>
    </xf>
    <xf numFmtId="0" fontId="42" fillId="0" borderId="0" xfId="0" applyFont="1" applyBorder="1" applyAlignment="1">
      <alignment horizontal="center"/>
    </xf>
    <xf numFmtId="0" fontId="42" fillId="0" borderId="0" xfId="0" applyFont="1" applyFill="1" applyBorder="1" applyAlignment="1">
      <alignment horizontal="center"/>
    </xf>
    <xf numFmtId="0" fontId="42" fillId="3" borderId="0" xfId="0" applyFont="1" applyFill="1" applyBorder="1" applyAlignment="1">
      <alignment horizontal="center"/>
    </xf>
    <xf numFmtId="0" fontId="13" fillId="0" borderId="0" xfId="0" applyFont="1" applyBorder="1" applyAlignment="1"/>
    <xf numFmtId="0" fontId="1" fillId="0" borderId="0" xfId="0" applyFont="1"/>
    <xf numFmtId="0" fontId="40" fillId="0" borderId="0" xfId="0" applyFont="1"/>
    <xf numFmtId="2" fontId="13" fillId="0" borderId="1" xfId="0" applyNumberFormat="1" applyFont="1" applyBorder="1" applyAlignment="1">
      <alignment horizontal="center"/>
    </xf>
    <xf numFmtId="2" fontId="13" fillId="0" borderId="1" xfId="0" applyNumberFormat="1" applyFont="1" applyBorder="1" applyAlignment="1">
      <alignment horizontal="left"/>
    </xf>
    <xf numFmtId="2" fontId="21" fillId="0" borderId="1" xfId="0" applyNumberFormat="1" applyFont="1" applyFill="1" applyBorder="1" applyAlignment="1">
      <alignment horizontal="center"/>
    </xf>
    <xf numFmtId="2" fontId="12" fillId="0" borderId="1" xfId="0" applyNumberFormat="1" applyFont="1" applyFill="1" applyBorder="1" applyAlignment="1">
      <alignment horizontal="center"/>
    </xf>
    <xf numFmtId="2" fontId="21" fillId="0" borderId="0" xfId="0" applyNumberFormat="1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3" fillId="0" borderId="3" xfId="0" applyFont="1" applyFill="1" applyBorder="1" applyAlignment="1">
      <alignment horizontal="center"/>
    </xf>
    <xf numFmtId="0" fontId="23" fillId="0" borderId="3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6" fillId="0" borderId="0" xfId="0" applyFont="1" applyFill="1" applyBorder="1" applyAlignment="1">
      <alignment horizontal="center" vertical="center" wrapText="1"/>
    </xf>
    <xf numFmtId="0" fontId="0" fillId="0" borderId="29" xfId="0" applyFill="1" applyBorder="1" applyAlignment="1">
      <alignment horizontal="center" vertical="center" wrapText="1"/>
    </xf>
    <xf numFmtId="0" fontId="2" fillId="0" borderId="29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13" fillId="0" borderId="29" xfId="0" applyFont="1" applyFill="1" applyBorder="1" applyAlignment="1">
      <alignment horizontal="center"/>
    </xf>
    <xf numFmtId="0" fontId="23" fillId="0" borderId="29" xfId="0" applyFont="1" applyFill="1" applyBorder="1" applyAlignment="1">
      <alignment horizontal="center"/>
    </xf>
    <xf numFmtId="0" fontId="12" fillId="0" borderId="29" xfId="0" applyFont="1" applyFill="1" applyBorder="1" applyAlignment="1">
      <alignment horizontal="center"/>
    </xf>
    <xf numFmtId="0" fontId="12" fillId="0" borderId="0" xfId="0" applyFont="1" applyFill="1" applyBorder="1" applyAlignment="1">
      <alignment vertical="center"/>
    </xf>
    <xf numFmtId="0" fontId="44" fillId="0" borderId="0" xfId="0" applyFont="1" applyFill="1" applyBorder="1" applyAlignment="1"/>
    <xf numFmtId="0" fontId="23" fillId="0" borderId="0" xfId="0" applyFont="1" applyFill="1" applyBorder="1" applyAlignment="1">
      <alignment vertical="center"/>
    </xf>
    <xf numFmtId="0" fontId="23" fillId="0" borderId="0" xfId="0" applyFont="1" applyFill="1" applyBorder="1" applyAlignment="1">
      <alignment horizontal="center"/>
    </xf>
    <xf numFmtId="0" fontId="23" fillId="0" borderId="0" xfId="0" applyNumberFormat="1" applyFont="1" applyFill="1" applyBorder="1"/>
    <xf numFmtId="0" fontId="41" fillId="0" borderId="0" xfId="0" applyFont="1" applyFill="1" applyBorder="1" applyAlignment="1">
      <alignment horizontal="center"/>
    </xf>
    <xf numFmtId="0" fontId="42" fillId="0" borderId="0" xfId="0" applyFont="1" applyFill="1" applyBorder="1" applyAlignment="1">
      <alignment horizontal="left"/>
    </xf>
    <xf numFmtId="0" fontId="23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2" fontId="21" fillId="0" borderId="0" xfId="0" applyNumberFormat="1" applyFont="1" applyFill="1" applyBorder="1" applyAlignment="1">
      <alignment horizontal="left"/>
    </xf>
    <xf numFmtId="0" fontId="19" fillId="0" borderId="0" xfId="0" applyFont="1" applyFill="1" applyBorder="1"/>
    <xf numFmtId="0" fontId="2" fillId="0" borderId="0" xfId="0" applyFont="1" applyFill="1" applyBorder="1" applyAlignment="1">
      <alignment horizontal="center" vertical="center"/>
    </xf>
    <xf numFmtId="2" fontId="2" fillId="0" borderId="0" xfId="0" applyNumberFormat="1" applyFont="1" applyFill="1" applyBorder="1" applyAlignment="1">
      <alignment horizontal="center"/>
    </xf>
    <xf numFmtId="2" fontId="2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/>
    <xf numFmtId="0" fontId="45" fillId="0" borderId="0" xfId="0" applyFont="1" applyFill="1" applyBorder="1" applyAlignment="1"/>
    <xf numFmtId="178" fontId="12" fillId="0" borderId="0" xfId="0" applyNumberFormat="1" applyFont="1" applyFill="1" applyBorder="1"/>
    <xf numFmtId="2" fontId="2" fillId="0" borderId="29" xfId="0" applyNumberFormat="1" applyFont="1" applyFill="1" applyBorder="1" applyAlignment="1">
      <alignment horizontal="center" vertical="center"/>
    </xf>
    <xf numFmtId="2" fontId="12" fillId="0" borderId="29" xfId="0" applyNumberFormat="1" applyFont="1" applyFill="1" applyBorder="1" applyAlignment="1">
      <alignment horizontal="center"/>
    </xf>
    <xf numFmtId="178" fontId="13" fillId="0" borderId="29" xfId="0" applyNumberFormat="1" applyFont="1" applyFill="1" applyBorder="1" applyAlignment="1">
      <alignment horizontal="center"/>
    </xf>
    <xf numFmtId="0" fontId="23" fillId="0" borderId="0" xfId="0" applyFont="1" applyFill="1" applyBorder="1" applyAlignment="1"/>
    <xf numFmtId="0" fontId="23" fillId="0" borderId="0" xfId="0" applyFont="1" applyFill="1" applyBorder="1" applyAlignment="1">
      <alignment horizontal="left" vertical="justify"/>
    </xf>
    <xf numFmtId="4" fontId="0" fillId="0" borderId="0" xfId="0" applyNumberFormat="1" applyFill="1" applyBorder="1" applyAlignment="1"/>
    <xf numFmtId="0" fontId="21" fillId="0" borderId="0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4" fontId="2" fillId="0" borderId="0" xfId="0" applyNumberFormat="1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4" fontId="21" fillId="0" borderId="0" xfId="0" applyNumberFormat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right"/>
    </xf>
    <xf numFmtId="0" fontId="10" fillId="0" borderId="0" xfId="0" applyFont="1" applyFill="1" applyBorder="1" applyAlignment="1">
      <alignment horizontal="center"/>
    </xf>
    <xf numFmtId="0" fontId="60" fillId="0" borderId="0" xfId="0" applyFont="1" applyFill="1" applyBorder="1" applyAlignment="1">
      <alignment horizontal="left"/>
    </xf>
    <xf numFmtId="0" fontId="3" fillId="0" borderId="0" xfId="0" applyFont="1" applyFill="1" applyBorder="1" applyAlignment="1"/>
    <xf numFmtId="2" fontId="37" fillId="0" borderId="0" xfId="0" applyNumberFormat="1" applyFont="1" applyFill="1" applyBorder="1" applyAlignment="1">
      <alignment horizontal="left"/>
    </xf>
    <xf numFmtId="2" fontId="23" fillId="0" borderId="0" xfId="0" applyNumberFormat="1" applyFont="1" applyFill="1" applyBorder="1" applyAlignment="1">
      <alignment horizontal="left"/>
    </xf>
    <xf numFmtId="178" fontId="23" fillId="0" borderId="0" xfId="0" applyNumberFormat="1" applyFont="1" applyFill="1" applyBorder="1" applyAlignment="1">
      <alignment horizontal="left"/>
    </xf>
    <xf numFmtId="180" fontId="21" fillId="0" borderId="0" xfId="0" applyNumberFormat="1" applyFont="1" applyFill="1" applyBorder="1"/>
    <xf numFmtId="0" fontId="0" fillId="0" borderId="0" xfId="0" applyFill="1" applyBorder="1" applyAlignment="1">
      <alignment vertical="center"/>
    </xf>
    <xf numFmtId="2" fontId="23" fillId="0" borderId="0" xfId="0" applyNumberFormat="1" applyFont="1" applyFill="1" applyBorder="1" applyAlignment="1">
      <alignment vertical="center"/>
    </xf>
    <xf numFmtId="179" fontId="39" fillId="0" borderId="0" xfId="0" applyNumberFormat="1" applyFont="1" applyFill="1" applyBorder="1"/>
    <xf numFmtId="179" fontId="24" fillId="0" borderId="0" xfId="0" applyNumberFormat="1" applyFont="1" applyFill="1" applyBorder="1"/>
    <xf numFmtId="181" fontId="23" fillId="0" borderId="0" xfId="0" applyNumberFormat="1" applyFont="1" applyFill="1" applyBorder="1"/>
    <xf numFmtId="2" fontId="23" fillId="0" borderId="0" xfId="0" applyNumberFormat="1" applyFont="1" applyFill="1" applyBorder="1"/>
    <xf numFmtId="2" fontId="19" fillId="0" borderId="0" xfId="0" applyNumberFormat="1" applyFont="1" applyFill="1" applyBorder="1" applyAlignment="1">
      <alignment vertical="center"/>
    </xf>
    <xf numFmtId="2" fontId="0" fillId="0" borderId="0" xfId="0" applyNumberFormat="1" applyFill="1" applyBorder="1" applyAlignment="1">
      <alignment vertical="center"/>
    </xf>
    <xf numFmtId="2" fontId="19" fillId="0" borderId="0" xfId="0" applyNumberFormat="1" applyFont="1" applyFill="1" applyBorder="1" applyAlignment="1">
      <alignment horizontal="left"/>
    </xf>
    <xf numFmtId="2" fontId="19" fillId="0" borderId="0" xfId="0" applyNumberFormat="1" applyFont="1" applyFill="1" applyBorder="1" applyAlignment="1">
      <alignment horizontal="left" vertical="center"/>
    </xf>
    <xf numFmtId="0" fontId="23" fillId="0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/>
    </xf>
    <xf numFmtId="0" fontId="19" fillId="0" borderId="0" xfId="0" applyFont="1" applyFill="1" applyBorder="1" applyAlignment="1">
      <alignment horizontal="left" vertical="center"/>
    </xf>
    <xf numFmtId="0" fontId="19" fillId="0" borderId="0" xfId="0" applyFont="1" applyFill="1" applyBorder="1" applyAlignment="1">
      <alignment horizontal="center"/>
    </xf>
    <xf numFmtId="4" fontId="0" fillId="0" borderId="0" xfId="0" applyNumberFormat="1" applyFill="1" applyBorder="1" applyAlignment="1">
      <alignment horizontal="center"/>
    </xf>
    <xf numFmtId="0" fontId="2" fillId="0" borderId="0" xfId="0" applyFont="1" applyFill="1" applyBorder="1" applyAlignment="1"/>
    <xf numFmtId="178" fontId="19" fillId="0" borderId="0" xfId="0" applyNumberFormat="1" applyFont="1"/>
    <xf numFmtId="0" fontId="51" fillId="11" borderId="27" xfId="0" applyFont="1" applyFill="1" applyBorder="1" applyAlignment="1">
      <alignment horizontal="center"/>
    </xf>
    <xf numFmtId="178" fontId="3" fillId="11" borderId="0" xfId="0" applyNumberFormat="1" applyFont="1" applyFill="1"/>
    <xf numFmtId="0" fontId="51" fillId="11" borderId="1" xfId="0" applyFont="1" applyFill="1" applyBorder="1" applyAlignment="1">
      <alignment horizontal="center"/>
    </xf>
    <xf numFmtId="0" fontId="3" fillId="11" borderId="0" xfId="0" applyFont="1" applyFill="1"/>
    <xf numFmtId="0" fontId="2" fillId="11" borderId="0" xfId="0" applyFont="1" applyFill="1" applyAlignment="1">
      <alignment horizontal="center"/>
    </xf>
    <xf numFmtId="0" fontId="2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textRotation="90" wrapText="1"/>
    </xf>
    <xf numFmtId="0" fontId="48" fillId="0" borderId="0" xfId="0" applyFont="1"/>
    <xf numFmtId="0" fontId="42" fillId="0" borderId="0" xfId="0" applyFont="1" applyFill="1"/>
    <xf numFmtId="2" fontId="42" fillId="0" borderId="0" xfId="0" applyNumberFormat="1" applyFont="1" applyBorder="1" applyAlignment="1">
      <alignment horizontal="center"/>
    </xf>
    <xf numFmtId="0" fontId="68" fillId="0" borderId="0" xfId="0" applyFont="1"/>
    <xf numFmtId="0" fontId="68" fillId="0" borderId="0" xfId="0" applyFont="1" applyFill="1"/>
    <xf numFmtId="2" fontId="68" fillId="0" borderId="0" xfId="0" applyNumberFormat="1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1" fontId="8" fillId="0" borderId="0" xfId="0" applyNumberFormat="1" applyFont="1" applyBorder="1" applyAlignment="1">
      <alignment horizontal="center"/>
    </xf>
    <xf numFmtId="0" fontId="23" fillId="2" borderId="0" xfId="0" applyFont="1" applyFill="1" applyBorder="1" applyAlignment="1">
      <alignment horizontal="left" vertical="center"/>
    </xf>
    <xf numFmtId="2" fontId="45" fillId="0" borderId="1" xfId="0" applyNumberFormat="1" applyFont="1" applyBorder="1" applyAlignment="1">
      <alignment horizontal="center"/>
    </xf>
    <xf numFmtId="178" fontId="45" fillId="0" borderId="1" xfId="0" applyNumberFormat="1" applyFont="1" applyBorder="1" applyAlignment="1">
      <alignment horizontal="center"/>
    </xf>
    <xf numFmtId="2" fontId="45" fillId="4" borderId="1" xfId="0" applyNumberFormat="1" applyFont="1" applyFill="1" applyBorder="1" applyAlignment="1">
      <alignment horizontal="center"/>
    </xf>
    <xf numFmtId="178" fontId="45" fillId="4" borderId="1" xfId="0" applyNumberFormat="1" applyFont="1" applyFill="1" applyBorder="1" applyAlignment="1">
      <alignment horizontal="center"/>
    </xf>
    <xf numFmtId="0" fontId="1" fillId="0" borderId="0" xfId="0" applyFont="1" applyFill="1" applyBorder="1"/>
    <xf numFmtId="0" fontId="51" fillId="0" borderId="0" xfId="0" applyFont="1"/>
    <xf numFmtId="0" fontId="69" fillId="0" borderId="0" xfId="0" applyFont="1"/>
    <xf numFmtId="0" fontId="3" fillId="0" borderId="1" xfId="0" applyFont="1" applyBorder="1" applyAlignment="1">
      <alignment horizontal="center"/>
    </xf>
    <xf numFmtId="0" fontId="23" fillId="0" borderId="2" xfId="0" applyFont="1" applyFill="1" applyBorder="1" applyAlignment="1">
      <alignment horizontal="center" vertical="center"/>
    </xf>
    <xf numFmtId="0" fontId="23" fillId="0" borderId="3" xfId="0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0" fontId="42" fillId="0" borderId="18" xfId="0" applyFont="1" applyBorder="1" applyAlignment="1">
      <alignment horizontal="center"/>
    </xf>
    <xf numFmtId="1" fontId="23" fillId="2" borderId="1" xfId="0" applyNumberFormat="1" applyFont="1" applyFill="1" applyBorder="1" applyAlignment="1">
      <alignment horizontal="center" vertical="center"/>
    </xf>
    <xf numFmtId="0" fontId="19" fillId="0" borderId="0" xfId="0" applyFont="1" applyAlignment="1"/>
    <xf numFmtId="0" fontId="10" fillId="0" borderId="0" xfId="0" applyFont="1" applyAlignment="1">
      <alignment horizontal="left"/>
    </xf>
    <xf numFmtId="178" fontId="19" fillId="0" borderId="0" xfId="0" applyNumberFormat="1" applyFont="1" applyAlignment="1"/>
    <xf numFmtId="0" fontId="10" fillId="2" borderId="0" xfId="0" applyFont="1" applyFill="1" applyAlignment="1">
      <alignment horizontal="left"/>
    </xf>
    <xf numFmtId="0" fontId="2" fillId="0" borderId="40" xfId="0" applyFont="1" applyBorder="1" applyAlignment="1">
      <alignment horizontal="center"/>
    </xf>
    <xf numFmtId="0" fontId="2" fillId="0" borderId="3" xfId="0" applyFont="1" applyBorder="1"/>
    <xf numFmtId="4" fontId="2" fillId="0" borderId="34" xfId="0" applyNumberFormat="1" applyFont="1" applyBorder="1" applyAlignment="1">
      <alignment horizontal="center"/>
    </xf>
    <xf numFmtId="4" fontId="2" fillId="0" borderId="40" xfId="0" applyNumberFormat="1" applyFont="1" applyBorder="1" applyAlignment="1">
      <alignment horizontal="center"/>
    </xf>
    <xf numFmtId="0" fontId="10" fillId="0" borderId="0" xfId="0" applyFont="1" applyBorder="1" applyAlignment="1">
      <alignment horizontal="right"/>
    </xf>
    <xf numFmtId="0" fontId="51" fillId="4" borderId="0" xfId="0" applyFont="1" applyFill="1" applyBorder="1" applyAlignment="1">
      <alignment horizontal="center"/>
    </xf>
    <xf numFmtId="4" fontId="10" fillId="0" borderId="0" xfId="0" applyNumberFormat="1" applyFont="1" applyAlignment="1">
      <alignment horizontal="left"/>
    </xf>
    <xf numFmtId="0" fontId="21" fillId="0" borderId="0" xfId="0" applyFont="1" applyBorder="1" applyAlignment="1">
      <alignment horizontal="right"/>
    </xf>
    <xf numFmtId="0" fontId="21" fillId="0" borderId="0" xfId="0" applyFont="1" applyBorder="1" applyAlignment="1"/>
    <xf numFmtId="2" fontId="21" fillId="0" borderId="0" xfId="0" applyNumberFormat="1" applyFont="1" applyBorder="1" applyAlignment="1">
      <alignment horizontal="left"/>
    </xf>
    <xf numFmtId="0" fontId="45" fillId="0" borderId="41" xfId="0" applyFont="1" applyBorder="1" applyAlignment="1">
      <alignment horizontal="center"/>
    </xf>
    <xf numFmtId="0" fontId="45" fillId="0" borderId="42" xfId="0" applyFont="1" applyBorder="1" applyAlignment="1">
      <alignment horizontal="center"/>
    </xf>
    <xf numFmtId="0" fontId="45" fillId="4" borderId="42" xfId="0" applyFont="1" applyFill="1" applyBorder="1" applyAlignment="1">
      <alignment horizontal="center"/>
    </xf>
    <xf numFmtId="0" fontId="45" fillId="4" borderId="29" xfId="0" applyFont="1" applyFill="1" applyBorder="1" applyAlignment="1">
      <alignment horizontal="center"/>
    </xf>
    <xf numFmtId="0" fontId="45" fillId="4" borderId="41" xfId="0" applyFont="1" applyFill="1" applyBorder="1" applyAlignment="1">
      <alignment horizontal="center"/>
    </xf>
    <xf numFmtId="0" fontId="45" fillId="4" borderId="30" xfId="0" applyFont="1" applyFill="1" applyBorder="1" applyAlignment="1">
      <alignment horizontal="center"/>
    </xf>
    <xf numFmtId="0" fontId="27" fillId="4" borderId="0" xfId="0" applyFont="1" applyFill="1" applyBorder="1" applyAlignment="1">
      <alignment horizontal="center"/>
    </xf>
    <xf numFmtId="0" fontId="51" fillId="0" borderId="0" xfId="0" applyFont="1" applyBorder="1" applyAlignment="1">
      <alignment horizontal="center"/>
    </xf>
    <xf numFmtId="0" fontId="27" fillId="0" borderId="0" xfId="0" applyFont="1" applyBorder="1" applyAlignment="1">
      <alignment horizontal="center"/>
    </xf>
    <xf numFmtId="0" fontId="40" fillId="0" borderId="0" xfId="0" applyFont="1" applyBorder="1" applyAlignment="1">
      <alignment horizontal="center"/>
    </xf>
    <xf numFmtId="0" fontId="51" fillId="3" borderId="0" xfId="0" applyFont="1" applyFill="1" applyBorder="1" applyAlignment="1">
      <alignment horizontal="center"/>
    </xf>
    <xf numFmtId="0" fontId="27" fillId="3" borderId="0" xfId="0" applyFont="1" applyFill="1" applyBorder="1" applyAlignment="1">
      <alignment horizontal="center"/>
    </xf>
    <xf numFmtId="0" fontId="42" fillId="2" borderId="0" xfId="0" applyFont="1" applyFill="1" applyBorder="1" applyAlignment="1">
      <alignment horizontal="center"/>
    </xf>
    <xf numFmtId="0" fontId="21" fillId="0" borderId="0" xfId="0" applyNumberFormat="1" applyFont="1" applyFill="1" applyAlignment="1">
      <alignment horizontal="center"/>
    </xf>
    <xf numFmtId="0" fontId="2" fillId="0" borderId="0" xfId="0" applyFont="1" applyAlignment="1"/>
    <xf numFmtId="0" fontId="19" fillId="2" borderId="0" xfId="0" applyNumberFormat="1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2" fillId="9" borderId="0" xfId="0" applyFont="1" applyFill="1" applyAlignment="1">
      <alignment horizontal="left"/>
    </xf>
    <xf numFmtId="0" fontId="2" fillId="9" borderId="0" xfId="0" applyFont="1" applyFill="1" applyAlignment="1">
      <alignment horizontal="center"/>
    </xf>
    <xf numFmtId="0" fontId="2" fillId="11" borderId="0" xfId="0" applyFont="1" applyFill="1" applyAlignment="1">
      <alignment horizontal="left"/>
    </xf>
    <xf numFmtId="180" fontId="23" fillId="0" borderId="0" xfId="0" applyNumberFormat="1" applyFont="1" applyFill="1" applyBorder="1"/>
    <xf numFmtId="180" fontId="23" fillId="0" borderId="0" xfId="0" applyNumberFormat="1" applyFont="1" applyBorder="1"/>
    <xf numFmtId="0" fontId="52" fillId="0" borderId="0" xfId="0" applyFont="1" applyAlignment="1">
      <alignment horizontal="left"/>
    </xf>
    <xf numFmtId="0" fontId="52" fillId="0" borderId="0" xfId="0" applyFont="1" applyAlignment="1">
      <alignment horizontal="center"/>
    </xf>
    <xf numFmtId="0" fontId="3" fillId="0" borderId="1" xfId="0" applyFont="1" applyBorder="1"/>
    <xf numFmtId="0" fontId="19" fillId="0" borderId="1" xfId="0" applyFont="1" applyBorder="1"/>
    <xf numFmtId="4" fontId="3" fillId="0" borderId="0" xfId="0" applyNumberFormat="1" applyFont="1"/>
    <xf numFmtId="0" fontId="42" fillId="10" borderId="1" xfId="0" applyFont="1" applyFill="1" applyBorder="1"/>
    <xf numFmtId="0" fontId="42" fillId="2" borderId="1" xfId="0" applyFont="1" applyFill="1" applyBorder="1"/>
    <xf numFmtId="0" fontId="1" fillId="4" borderId="0" xfId="0" applyFont="1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3" borderId="0" xfId="0" applyFont="1" applyFill="1" applyBorder="1" applyAlignment="1">
      <alignment horizontal="center"/>
    </xf>
    <xf numFmtId="0" fontId="42" fillId="10" borderId="0" xfId="0" applyFont="1" applyFill="1" applyAlignment="1">
      <alignment horizontal="center"/>
    </xf>
    <xf numFmtId="4" fontId="3" fillId="0" borderId="0" xfId="0" applyNumberFormat="1" applyFont="1" applyAlignment="1"/>
    <xf numFmtId="0" fontId="2" fillId="2" borderId="0" xfId="0" applyFont="1" applyFill="1"/>
    <xf numFmtId="0" fontId="2" fillId="2" borderId="0" xfId="0" applyFont="1" applyFill="1" applyAlignment="1">
      <alignment horizontal="right"/>
    </xf>
    <xf numFmtId="0" fontId="1" fillId="0" borderId="0" xfId="0" applyFont="1" applyBorder="1"/>
    <xf numFmtId="0" fontId="2" fillId="2" borderId="0" xfId="0" applyFont="1" applyFill="1" applyAlignment="1">
      <alignment horizontal="center"/>
    </xf>
    <xf numFmtId="0" fontId="2" fillId="0" borderId="0" xfId="0" applyFont="1" applyAlignment="1">
      <alignment horizontal="right"/>
    </xf>
    <xf numFmtId="0" fontId="2" fillId="0" borderId="0" xfId="0" applyFont="1" applyBorder="1" applyAlignment="1">
      <alignment horizontal="left"/>
    </xf>
    <xf numFmtId="0" fontId="76" fillId="0" borderId="1" xfId="0" applyFont="1" applyBorder="1" applyAlignment="1">
      <alignment horizontal="center"/>
    </xf>
    <xf numFmtId="0" fontId="2" fillId="0" borderId="1" xfId="0" applyNumberFormat="1" applyFont="1" applyBorder="1" applyAlignment="1">
      <alignment horizontal="center"/>
    </xf>
    <xf numFmtId="0" fontId="19" fillId="0" borderId="0" xfId="0" applyFont="1" applyBorder="1" applyAlignment="1">
      <alignment horizontal="left"/>
    </xf>
    <xf numFmtId="178" fontId="3" fillId="0" borderId="0" xfId="0" applyNumberFormat="1" applyFont="1"/>
    <xf numFmtId="0" fontId="19" fillId="2" borderId="0" xfId="0" applyFont="1" applyFill="1"/>
    <xf numFmtId="178" fontId="19" fillId="2" borderId="0" xfId="0" applyNumberFormat="1" applyFont="1" applyFill="1"/>
    <xf numFmtId="0" fontId="3" fillId="0" borderId="1" xfId="0" applyFont="1" applyBorder="1" applyAlignment="1">
      <alignment horizontal="left"/>
    </xf>
    <xf numFmtId="1" fontId="12" fillId="0" borderId="1" xfId="0" applyNumberFormat="1" applyFont="1" applyBorder="1" applyAlignment="1">
      <alignment horizontal="center"/>
    </xf>
    <xf numFmtId="1" fontId="23" fillId="2" borderId="0" xfId="0" applyNumberFormat="1" applyFont="1" applyFill="1"/>
    <xf numFmtId="2" fontId="23" fillId="0" borderId="0" xfId="0" applyNumberFormat="1" applyFont="1" applyAlignment="1"/>
    <xf numFmtId="3" fontId="1" fillId="0" borderId="1" xfId="0" applyNumberFormat="1" applyFont="1" applyBorder="1" applyAlignment="1">
      <alignment horizontal="center"/>
    </xf>
    <xf numFmtId="4" fontId="1" fillId="0" borderId="1" xfId="0" applyNumberFormat="1" applyFont="1" applyBorder="1" applyAlignment="1">
      <alignment horizontal="center"/>
    </xf>
    <xf numFmtId="0" fontId="13" fillId="0" borderId="1" xfId="0" applyFont="1" applyBorder="1" applyAlignment="1">
      <alignment horizontal="center" vertical="center"/>
    </xf>
    <xf numFmtId="2" fontId="21" fillId="0" borderId="1" xfId="0" applyNumberFormat="1" applyFont="1" applyBorder="1" applyAlignment="1">
      <alignment horizontal="center"/>
    </xf>
    <xf numFmtId="2" fontId="23" fillId="0" borderId="0" xfId="0" applyNumberFormat="1" applyFont="1" applyFill="1"/>
    <xf numFmtId="0" fontId="68" fillId="0" borderId="1" xfId="0" applyFont="1" applyBorder="1" applyAlignment="1">
      <alignment horizontal="center"/>
    </xf>
    <xf numFmtId="0" fontId="68" fillId="0" borderId="1" xfId="0" applyFont="1" applyFill="1" applyBorder="1" applyAlignment="1">
      <alignment horizontal="center"/>
    </xf>
    <xf numFmtId="2" fontId="68" fillId="0" borderId="1" xfId="0" applyNumberFormat="1" applyFont="1" applyBorder="1" applyAlignment="1">
      <alignment horizontal="center"/>
    </xf>
    <xf numFmtId="0" fontId="68" fillId="0" borderId="1" xfId="0" applyFont="1" applyBorder="1"/>
    <xf numFmtId="0" fontId="67" fillId="0" borderId="1" xfId="0" applyFont="1" applyBorder="1" applyAlignment="1">
      <alignment horizontal="center"/>
    </xf>
    <xf numFmtId="178" fontId="68" fillId="0" borderId="1" xfId="0" applyNumberFormat="1" applyFont="1" applyBorder="1" applyAlignment="1">
      <alignment horizontal="center"/>
    </xf>
    <xf numFmtId="178" fontId="68" fillId="0" borderId="1" xfId="0" applyNumberFormat="1" applyFont="1" applyFill="1" applyBorder="1" applyAlignment="1">
      <alignment horizontal="center"/>
    </xf>
    <xf numFmtId="2" fontId="41" fillId="0" borderId="0" xfId="0" applyNumberFormat="1" applyFont="1" applyBorder="1" applyAlignment="1">
      <alignment horizontal="right"/>
    </xf>
    <xf numFmtId="2" fontId="41" fillId="0" borderId="0" xfId="0" applyNumberFormat="1" applyFont="1" applyBorder="1" applyAlignment="1">
      <alignment horizontal="left"/>
    </xf>
    <xf numFmtId="2" fontId="23" fillId="2" borderId="0" xfId="0" applyNumberFormat="1" applyFont="1" applyFill="1"/>
    <xf numFmtId="178" fontId="23" fillId="0" borderId="0" xfId="0" applyNumberFormat="1" applyFont="1" applyAlignment="1"/>
    <xf numFmtId="0" fontId="21" fillId="0" borderId="1" xfId="0" applyNumberFormat="1" applyFont="1" applyBorder="1" applyAlignment="1">
      <alignment horizontal="center"/>
    </xf>
    <xf numFmtId="0" fontId="21" fillId="0" borderId="1" xfId="0" applyNumberFormat="1" applyFont="1" applyFill="1" applyBorder="1" applyAlignment="1">
      <alignment horizontal="center"/>
    </xf>
    <xf numFmtId="4" fontId="2" fillId="0" borderId="0" xfId="0" applyNumberFormat="1" applyFont="1" applyBorder="1" applyAlignment="1">
      <alignment horizontal="center" vertical="center"/>
    </xf>
    <xf numFmtId="4" fontId="21" fillId="0" borderId="0" xfId="0" applyNumberFormat="1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42" fillId="0" borderId="42" xfId="0" applyFont="1" applyFill="1" applyBorder="1" applyAlignment="1">
      <alignment vertical="center"/>
    </xf>
    <xf numFmtId="0" fontId="24" fillId="0" borderId="42" xfId="0" applyFont="1" applyFill="1" applyBorder="1" applyAlignment="1">
      <alignment horizontal="center"/>
    </xf>
    <xf numFmtId="0" fontId="21" fillId="0" borderId="0" xfId="0" applyFont="1" applyBorder="1" applyAlignment="1">
      <alignment horizontal="center" vertical="center" wrapText="1"/>
    </xf>
    <xf numFmtId="178" fontId="3" fillId="0" borderId="0" xfId="0" applyNumberFormat="1" applyFont="1" applyAlignment="1"/>
    <xf numFmtId="0" fontId="11" fillId="0" borderId="0" xfId="0" applyFont="1" applyAlignment="1">
      <alignment horizontal="left"/>
    </xf>
    <xf numFmtId="0" fontId="11" fillId="4" borderId="0" xfId="0" applyFont="1" applyFill="1" applyBorder="1" applyAlignment="1">
      <alignment horizontal="left"/>
    </xf>
    <xf numFmtId="0" fontId="11" fillId="0" borderId="0" xfId="0" applyFont="1" applyAlignment="1">
      <alignment horizontal="right"/>
    </xf>
    <xf numFmtId="0" fontId="11" fillId="0" borderId="0" xfId="0" applyFont="1" applyBorder="1" applyAlignment="1">
      <alignment horizontal="right"/>
    </xf>
    <xf numFmtId="0" fontId="23" fillId="13" borderId="0" xfId="0" applyFont="1" applyFill="1" applyAlignment="1">
      <alignment horizontal="right"/>
    </xf>
    <xf numFmtId="0" fontId="23" fillId="13" borderId="0" xfId="0" applyFont="1" applyFill="1" applyAlignment="1">
      <alignment horizontal="left"/>
    </xf>
    <xf numFmtId="0" fontId="23" fillId="14" borderId="0" xfId="0" applyFont="1" applyFill="1" applyAlignment="1">
      <alignment horizontal="right"/>
    </xf>
    <xf numFmtId="0" fontId="23" fillId="14" borderId="0" xfId="0" applyFont="1" applyFill="1" applyAlignment="1">
      <alignment horizontal="left"/>
    </xf>
    <xf numFmtId="178" fontId="21" fillId="0" borderId="0" xfId="0" applyNumberFormat="1" applyFont="1" applyFill="1"/>
    <xf numFmtId="178" fontId="12" fillId="0" borderId="0" xfId="0" applyNumberFormat="1" applyFont="1" applyBorder="1" applyAlignment="1">
      <alignment horizontal="center"/>
    </xf>
    <xf numFmtId="1" fontId="3" fillId="0" borderId="0" xfId="0" applyNumberFormat="1" applyFont="1"/>
    <xf numFmtId="3" fontId="21" fillId="0" borderId="1" xfId="0" applyNumberFormat="1" applyFont="1" applyBorder="1" applyAlignment="1">
      <alignment horizontal="center" vertical="center"/>
    </xf>
    <xf numFmtId="3" fontId="19" fillId="0" borderId="0" xfId="0" applyNumberFormat="1" applyFont="1" applyBorder="1" applyAlignment="1">
      <alignment horizontal="center"/>
    </xf>
    <xf numFmtId="0" fontId="31" fillId="0" borderId="0" xfId="0" applyFont="1" applyAlignment="1"/>
    <xf numFmtId="0" fontId="77" fillId="0" borderId="0" xfId="0" applyFont="1" applyAlignment="1"/>
    <xf numFmtId="2" fontId="0" fillId="0" borderId="1" xfId="0" applyNumberFormat="1" applyBorder="1" applyAlignment="1">
      <alignment horizontal="center"/>
    </xf>
    <xf numFmtId="0" fontId="42" fillId="0" borderId="1" xfId="0" applyFont="1" applyBorder="1" applyAlignment="1">
      <alignment horizontal="center" vertical="center" wrapText="1"/>
    </xf>
    <xf numFmtId="2" fontId="1" fillId="4" borderId="0" xfId="0" applyNumberFormat="1" applyFont="1" applyFill="1" applyBorder="1" applyAlignment="1">
      <alignment horizontal="center"/>
    </xf>
    <xf numFmtId="178" fontId="1" fillId="4" borderId="0" xfId="0" applyNumberFormat="1" applyFont="1" applyFill="1" applyBorder="1" applyAlignment="1">
      <alignment horizontal="center"/>
    </xf>
    <xf numFmtId="2" fontId="41" fillId="4" borderId="0" xfId="0" applyNumberFormat="1" applyFont="1" applyFill="1" applyBorder="1" applyAlignment="1">
      <alignment horizontal="center" textRotation="90"/>
    </xf>
    <xf numFmtId="0" fontId="21" fillId="0" borderId="0" xfId="0" applyFont="1" applyBorder="1" applyAlignment="1">
      <alignment vertical="center"/>
    </xf>
    <xf numFmtId="3" fontId="21" fillId="0" borderId="0" xfId="0" applyNumberFormat="1" applyFont="1" applyBorder="1" applyAlignment="1">
      <alignment horizontal="center" vertical="center"/>
    </xf>
    <xf numFmtId="0" fontId="44" fillId="0" borderId="0" xfId="0" applyFont="1" applyBorder="1" applyAlignment="1">
      <alignment horizontal="center" vertical="center" wrapText="1"/>
    </xf>
    <xf numFmtId="4" fontId="42" fillId="0" borderId="1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center"/>
    </xf>
    <xf numFmtId="1" fontId="2" fillId="0" borderId="0" xfId="0" applyNumberFormat="1" applyFont="1" applyFill="1" applyBorder="1" applyAlignment="1">
      <alignment horizontal="center"/>
    </xf>
    <xf numFmtId="0" fontId="3" fillId="0" borderId="0" xfId="0" applyNumberFormat="1" applyFont="1"/>
    <xf numFmtId="3" fontId="8" fillId="0" borderId="1" xfId="0" applyNumberFormat="1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 wrapText="1"/>
    </xf>
    <xf numFmtId="178" fontId="42" fillId="0" borderId="1" xfId="0" applyNumberFormat="1" applyFont="1" applyBorder="1" applyAlignment="1">
      <alignment horizontal="center" vertical="center"/>
    </xf>
    <xf numFmtId="4" fontId="8" fillId="0" borderId="1" xfId="0" applyNumberFormat="1" applyFont="1" applyBorder="1" applyAlignment="1">
      <alignment horizontal="center"/>
    </xf>
    <xf numFmtId="1" fontId="2" fillId="2" borderId="1" xfId="0" applyNumberFormat="1" applyFont="1" applyFill="1" applyBorder="1" applyAlignment="1">
      <alignment horizontal="center"/>
    </xf>
    <xf numFmtId="4" fontId="8" fillId="0" borderId="1" xfId="0" applyNumberFormat="1" applyFont="1" applyBorder="1" applyAlignment="1">
      <alignment horizontal="center" vertical="center"/>
    </xf>
    <xf numFmtId="1" fontId="2" fillId="0" borderId="40" xfId="0" applyNumberFormat="1" applyFont="1" applyFill="1" applyBorder="1" applyAlignment="1">
      <alignment horizontal="center"/>
    </xf>
    <xf numFmtId="0" fontId="42" fillId="0" borderId="1" xfId="0" applyFont="1" applyBorder="1" applyAlignment="1">
      <alignment horizontal="center" vertical="center"/>
    </xf>
    <xf numFmtId="2" fontId="8" fillId="0" borderId="1" xfId="0" applyNumberFormat="1" applyFont="1" applyBorder="1" applyAlignment="1">
      <alignment horizontal="center"/>
    </xf>
    <xf numFmtId="0" fontId="8" fillId="0" borderId="0" xfId="0" applyFont="1" applyAlignment="1"/>
    <xf numFmtId="2" fontId="8" fillId="0" borderId="0" xfId="0" applyNumberFormat="1" applyFont="1" applyAlignment="1"/>
    <xf numFmtId="3" fontId="42" fillId="4" borderId="1" xfId="0" applyNumberFormat="1" applyFont="1" applyFill="1" applyBorder="1" applyAlignment="1">
      <alignment horizontal="center"/>
    </xf>
    <xf numFmtId="3" fontId="42" fillId="0" borderId="1" xfId="0" applyNumberFormat="1" applyFont="1" applyBorder="1" applyAlignment="1">
      <alignment horizontal="center"/>
    </xf>
    <xf numFmtId="3" fontId="42" fillId="3" borderId="1" xfId="0" applyNumberFormat="1" applyFont="1" applyFill="1" applyBorder="1" applyAlignment="1">
      <alignment horizontal="center"/>
    </xf>
    <xf numFmtId="2" fontId="42" fillId="0" borderId="1" xfId="0" applyNumberFormat="1" applyFont="1" applyBorder="1" applyAlignment="1">
      <alignment horizontal="center" vertical="center"/>
    </xf>
    <xf numFmtId="2" fontId="42" fillId="2" borderId="1" xfId="0" applyNumberFormat="1" applyFont="1" applyFill="1" applyBorder="1" applyAlignment="1">
      <alignment horizontal="center" vertical="center"/>
    </xf>
    <xf numFmtId="2" fontId="42" fillId="0" borderId="19" xfId="0" applyNumberFormat="1" applyFont="1" applyBorder="1" applyAlignment="1">
      <alignment horizontal="center"/>
    </xf>
    <xf numFmtId="178" fontId="42" fillId="0" borderId="19" xfId="0" applyNumberFormat="1" applyFont="1" applyBorder="1" applyAlignment="1">
      <alignment horizontal="center"/>
    </xf>
    <xf numFmtId="2" fontId="42" fillId="0" borderId="28" xfId="0" applyNumberFormat="1" applyFont="1" applyBorder="1" applyAlignment="1">
      <alignment horizontal="center"/>
    </xf>
    <xf numFmtId="2" fontId="42" fillId="0" borderId="1" xfId="0" applyNumberFormat="1" applyFont="1" applyBorder="1" applyAlignment="1">
      <alignment horizontal="center"/>
    </xf>
    <xf numFmtId="4" fontId="2" fillId="0" borderId="2" xfId="0" applyNumberFormat="1" applyFont="1" applyBorder="1" applyAlignment="1"/>
    <xf numFmtId="4" fontId="2" fillId="0" borderId="18" xfId="0" applyNumberFormat="1" applyFont="1" applyBorder="1" applyAlignment="1"/>
    <xf numFmtId="0" fontId="19" fillId="0" borderId="0" xfId="0" applyFont="1" applyAlignment="1">
      <alignment horizontal="center"/>
    </xf>
    <xf numFmtId="0" fontId="19" fillId="0" borderId="0" xfId="0" applyFont="1" applyBorder="1" applyAlignment="1">
      <alignment horizontal="center"/>
    </xf>
    <xf numFmtId="3" fontId="3" fillId="0" borderId="0" xfId="0" applyNumberFormat="1" applyFont="1"/>
    <xf numFmtId="0" fontId="41" fillId="0" borderId="0" xfId="0" applyFont="1"/>
    <xf numFmtId="3" fontId="41" fillId="0" borderId="0" xfId="0" applyNumberFormat="1" applyFont="1"/>
    <xf numFmtId="0" fontId="52" fillId="0" borderId="0" xfId="0" applyFont="1" applyAlignment="1">
      <alignment horizontal="right"/>
    </xf>
    <xf numFmtId="0" fontId="42" fillId="0" borderId="0" xfId="0" applyFont="1" applyAlignment="1">
      <alignment horizontal="right"/>
    </xf>
    <xf numFmtId="2" fontId="68" fillId="0" borderId="1" xfId="0" applyNumberFormat="1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2" fillId="11" borderId="1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right"/>
    </xf>
    <xf numFmtId="0" fontId="32" fillId="0" borderId="0" xfId="0" applyFont="1" applyBorder="1" applyAlignment="1">
      <alignment horizontal="left"/>
    </xf>
    <xf numFmtId="0" fontId="12" fillId="0" borderId="29" xfId="0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0" fontId="12" fillId="0" borderId="29" xfId="0" applyFont="1" applyBorder="1" applyAlignment="1">
      <alignment horizontal="center" vertical="center" textRotation="90" wrapText="1"/>
    </xf>
    <xf numFmtId="0" fontId="0" fillId="0" borderId="29" xfId="0" applyBorder="1" applyAlignment="1">
      <alignment horizontal="center" vertical="center" textRotation="90" wrapText="1"/>
    </xf>
    <xf numFmtId="0" fontId="5" fillId="0" borderId="0" xfId="0" applyFont="1" applyFill="1" applyAlignment="1">
      <alignment horizontal="left"/>
    </xf>
    <xf numFmtId="184" fontId="12" fillId="2" borderId="1" xfId="0" applyNumberFormat="1" applyFont="1" applyFill="1" applyBorder="1" applyAlignment="1">
      <alignment horizontal="center"/>
    </xf>
    <xf numFmtId="0" fontId="5" fillId="0" borderId="0" xfId="0" applyFont="1" applyAlignment="1">
      <alignment horizontal="right"/>
    </xf>
    <xf numFmtId="0" fontId="84" fillId="0" borderId="0" xfId="0" applyFont="1" applyAlignment="1"/>
    <xf numFmtId="1" fontId="3" fillId="0" borderId="1" xfId="0" applyNumberFormat="1" applyFont="1" applyBorder="1" applyAlignment="1">
      <alignment horizontal="center"/>
    </xf>
    <xf numFmtId="1" fontId="3" fillId="0" borderId="30" xfId="0" applyNumberFormat="1" applyFont="1" applyBorder="1" applyAlignment="1">
      <alignment horizontal="center"/>
    </xf>
    <xf numFmtId="0" fontId="3" fillId="0" borderId="2" xfId="0" applyFont="1" applyBorder="1" applyAlignment="1">
      <alignment horizontal="right"/>
    </xf>
    <xf numFmtId="0" fontId="86" fillId="0" borderId="3" xfId="0" applyFont="1" applyBorder="1"/>
    <xf numFmtId="0" fontId="3" fillId="0" borderId="3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0" fillId="0" borderId="1" xfId="0" applyBorder="1" applyAlignment="1"/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7" fillId="0" borderId="29" xfId="0" applyFont="1" applyBorder="1" applyAlignment="1">
      <alignment horizontal="center" vertical="center" wrapText="1"/>
    </xf>
    <xf numFmtId="0" fontId="87" fillId="0" borderId="41" xfId="0" applyFont="1" applyBorder="1" applyAlignment="1"/>
    <xf numFmtId="0" fontId="87" fillId="0" borderId="2" xfId="0" applyFont="1" applyBorder="1" applyAlignment="1">
      <alignment horizontal="center"/>
    </xf>
    <xf numFmtId="0" fontId="87" fillId="0" borderId="3" xfId="0" applyFont="1" applyBorder="1" applyAlignment="1">
      <alignment horizontal="center"/>
    </xf>
    <xf numFmtId="0" fontId="2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4" fontId="42" fillId="0" borderId="1" xfId="0" applyNumberFormat="1" applyFont="1" applyBorder="1" applyAlignment="1">
      <alignment horizontal="center" vertical="center"/>
    </xf>
    <xf numFmtId="0" fontId="42" fillId="0" borderId="1" xfId="0" applyFont="1" applyBorder="1" applyAlignment="1"/>
    <xf numFmtId="0" fontId="21" fillId="0" borderId="2" xfId="0" applyFont="1" applyFill="1" applyBorder="1" applyAlignment="1">
      <alignment horizontal="left"/>
    </xf>
    <xf numFmtId="0" fontId="21" fillId="0" borderId="18" xfId="0" applyFont="1" applyFill="1" applyBorder="1" applyAlignment="1">
      <alignment horizontal="left"/>
    </xf>
    <xf numFmtId="0" fontId="0" fillId="0" borderId="3" xfId="0" applyBorder="1" applyAlignment="1"/>
    <xf numFmtId="0" fontId="2" fillId="0" borderId="34" xfId="0" applyFont="1" applyBorder="1" applyAlignment="1">
      <alignment horizontal="center"/>
    </xf>
    <xf numFmtId="0" fontId="0" fillId="0" borderId="31" xfId="0" applyBorder="1" applyAlignment="1"/>
    <xf numFmtId="0" fontId="21" fillId="0" borderId="2" xfId="0" applyFont="1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3" xfId="0" applyBorder="1" applyAlignment="1">
      <alignment horizontal="center"/>
    </xf>
    <xf numFmtId="0" fontId="23" fillId="0" borderId="0" xfId="0" applyFont="1" applyAlignment="1"/>
    <xf numFmtId="0" fontId="12" fillId="0" borderId="0" xfId="0" applyFont="1"/>
    <xf numFmtId="0" fontId="26" fillId="0" borderId="1" xfId="0" applyFont="1" applyBorder="1" applyAlignment="1">
      <alignment horizontal="center" vertical="center" wrapText="1"/>
    </xf>
    <xf numFmtId="0" fontId="0" fillId="0" borderId="0" xfId="0" applyAlignment="1"/>
    <xf numFmtId="0" fontId="31" fillId="0" borderId="43" xfId="0" applyFont="1" applyBorder="1" applyAlignment="1">
      <alignment horizontal="left"/>
    </xf>
    <xf numFmtId="0" fontId="0" fillId="0" borderId="43" xfId="0" applyBorder="1" applyAlignment="1"/>
    <xf numFmtId="0" fontId="26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1" fillId="0" borderId="1" xfId="0" applyFont="1" applyFill="1" applyBorder="1" applyAlignment="1">
      <alignment horizontal="center" vertical="center"/>
    </xf>
    <xf numFmtId="0" fontId="21" fillId="0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2" fillId="2" borderId="1" xfId="0" applyFont="1" applyFill="1" applyBorder="1" applyAlignment="1">
      <alignment horizontal="center"/>
    </xf>
    <xf numFmtId="0" fontId="0" fillId="2" borderId="1" xfId="0" applyFill="1" applyBorder="1" applyAlignment="1"/>
    <xf numFmtId="3" fontId="42" fillId="0" borderId="1" xfId="0" applyNumberFormat="1" applyFont="1" applyBorder="1" applyAlignment="1">
      <alignment horizontal="center" vertical="center"/>
    </xf>
    <xf numFmtId="3" fontId="42" fillId="0" borderId="1" xfId="0" applyNumberFormat="1" applyFont="1" applyBorder="1" applyAlignment="1"/>
    <xf numFmtId="3" fontId="2" fillId="0" borderId="2" xfId="0" applyNumberFormat="1" applyFont="1" applyBorder="1" applyAlignment="1"/>
    <xf numFmtId="0" fontId="0" fillId="0" borderId="18" xfId="0" applyBorder="1" applyAlignment="1"/>
    <xf numFmtId="0" fontId="2" fillId="0" borderId="1" xfId="0" applyFont="1" applyBorder="1" applyAlignment="1"/>
    <xf numFmtId="4" fontId="2" fillId="0" borderId="2" xfId="0" applyNumberFormat="1" applyFont="1" applyBorder="1" applyAlignment="1"/>
    <xf numFmtId="4" fontId="2" fillId="0" borderId="18" xfId="0" applyNumberFormat="1" applyFont="1" applyBorder="1" applyAlignment="1"/>
    <xf numFmtId="3" fontId="8" fillId="0" borderId="1" xfId="0" applyNumberFormat="1" applyFont="1" applyBorder="1" applyAlignment="1">
      <alignment horizontal="center" vertical="center"/>
    </xf>
    <xf numFmtId="3" fontId="8" fillId="0" borderId="1" xfId="0" applyNumberFormat="1" applyFont="1" applyBorder="1" applyAlignment="1"/>
    <xf numFmtId="0" fontId="2" fillId="0" borderId="1" xfId="0" applyFont="1" applyBorder="1" applyAlignment="1">
      <alignment vertical="center"/>
    </xf>
    <xf numFmtId="0" fontId="12" fillId="0" borderId="1" xfId="0" applyFont="1" applyBorder="1" applyAlignment="1">
      <alignment vertical="center"/>
    </xf>
    <xf numFmtId="0" fontId="32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42" fillId="0" borderId="1" xfId="0" applyFont="1" applyBorder="1" applyAlignment="1">
      <alignment horizontal="center"/>
    </xf>
    <xf numFmtId="0" fontId="23" fillId="0" borderId="35" xfId="0" applyFont="1" applyBorder="1" applyAlignment="1">
      <alignment vertical="center"/>
    </xf>
    <xf numFmtId="0" fontId="0" fillId="0" borderId="39" xfId="0" applyBorder="1" applyAlignment="1"/>
    <xf numFmtId="0" fontId="8" fillId="0" borderId="1" xfId="0" applyFont="1" applyBorder="1" applyAlignment="1">
      <alignment vertical="center"/>
    </xf>
    <xf numFmtId="0" fontId="21" fillId="0" borderId="1" xfId="0" applyFont="1" applyBorder="1" applyAlignment="1">
      <alignment vertical="center"/>
    </xf>
    <xf numFmtId="0" fontId="32" fillId="0" borderId="2" xfId="0" applyFont="1" applyBorder="1" applyAlignment="1">
      <alignment horizontal="center" vertical="center" wrapText="1"/>
    </xf>
    <xf numFmtId="0" fontId="42" fillId="0" borderId="3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42" fillId="0" borderId="2" xfId="0" applyFont="1" applyBorder="1" applyAlignment="1">
      <alignment horizontal="center" vertical="center"/>
    </xf>
    <xf numFmtId="0" fontId="42" fillId="0" borderId="34" xfId="0" applyFont="1" applyBorder="1" applyAlignment="1">
      <alignment horizontal="center"/>
    </xf>
    <xf numFmtId="0" fontId="42" fillId="0" borderId="40" xfId="0" applyFont="1" applyBorder="1" applyAlignment="1">
      <alignment horizontal="center"/>
    </xf>
    <xf numFmtId="0" fontId="12" fillId="0" borderId="1" xfId="0" applyFont="1" applyBorder="1" applyAlignment="1">
      <alignment vertical="center" wrapText="1"/>
    </xf>
    <xf numFmtId="1" fontId="67" fillId="0" borderId="1" xfId="0" applyNumberFormat="1" applyFont="1" applyBorder="1" applyAlignment="1">
      <alignment horizontal="center" vertical="center"/>
    </xf>
    <xf numFmtId="2" fontId="67" fillId="0" borderId="1" xfId="0" applyNumberFormat="1" applyFont="1" applyBorder="1" applyAlignment="1">
      <alignment horizontal="center" vertical="center" wrapText="1"/>
    </xf>
    <xf numFmtId="0" fontId="40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 vertical="center" wrapText="1"/>
    </xf>
    <xf numFmtId="0" fontId="67" fillId="0" borderId="1" xfId="0" applyFont="1" applyBorder="1" applyAlignment="1">
      <alignment horizontal="center" vertical="center"/>
    </xf>
    <xf numFmtId="0" fontId="0" fillId="0" borderId="31" xfId="0" applyBorder="1"/>
    <xf numFmtId="0" fontId="0" fillId="0" borderId="29" xfId="0" applyBorder="1"/>
    <xf numFmtId="0" fontId="0" fillId="0" borderId="41" xfId="0" applyBorder="1"/>
    <xf numFmtId="0" fontId="0" fillId="0" borderId="35" xfId="0" applyBorder="1"/>
    <xf numFmtId="0" fontId="0" fillId="0" borderId="39" xfId="0" applyBorder="1"/>
    <xf numFmtId="2" fontId="67" fillId="0" borderId="1" xfId="0" applyNumberFormat="1" applyFont="1" applyBorder="1" applyAlignment="1">
      <alignment horizontal="center" vertical="center"/>
    </xf>
    <xf numFmtId="0" fontId="19" fillId="0" borderId="0" xfId="0" applyFont="1" applyAlignment="1">
      <alignment horizontal="right" vertical="center"/>
    </xf>
    <xf numFmtId="0" fontId="0" fillId="0" borderId="0" xfId="0" applyAlignment="1">
      <alignment vertical="center"/>
    </xf>
    <xf numFmtId="0" fontId="21" fillId="0" borderId="0" xfId="0" applyFont="1" applyAlignment="1"/>
    <xf numFmtId="2" fontId="67" fillId="0" borderId="34" xfId="0" applyNumberFormat="1" applyFont="1" applyBorder="1" applyAlignment="1">
      <alignment horizontal="center" vertical="center" wrapText="1"/>
    </xf>
    <xf numFmtId="2" fontId="67" fillId="0" borderId="31" xfId="0" applyNumberFormat="1" applyFont="1" applyBorder="1" applyAlignment="1">
      <alignment horizontal="center" vertical="center" wrapText="1"/>
    </xf>
    <xf numFmtId="0" fontId="40" fillId="0" borderId="29" xfId="0" applyFont="1" applyBorder="1" applyAlignment="1">
      <alignment horizontal="center" vertical="center" wrapText="1"/>
    </xf>
    <xf numFmtId="0" fontId="40" fillId="0" borderId="41" xfId="0" applyFont="1" applyBorder="1" applyAlignment="1">
      <alignment horizontal="center" vertical="center" wrapText="1"/>
    </xf>
    <xf numFmtId="0" fontId="40" fillId="0" borderId="35" xfId="0" applyFont="1" applyBorder="1" applyAlignment="1">
      <alignment horizontal="center" vertical="center" wrapText="1"/>
    </xf>
    <xf numFmtId="0" fontId="40" fillId="0" borderId="39" xfId="0" applyFont="1" applyBorder="1" applyAlignment="1">
      <alignment horizontal="center" vertical="center" wrapText="1"/>
    </xf>
    <xf numFmtId="0" fontId="31" fillId="0" borderId="0" xfId="0" applyFont="1" applyAlignment="1"/>
    <xf numFmtId="0" fontId="77" fillId="0" borderId="0" xfId="0" applyFont="1" applyAlignment="1"/>
    <xf numFmtId="3" fontId="19" fillId="2" borderId="0" xfId="0" applyNumberFormat="1" applyFont="1" applyFill="1" applyAlignment="1">
      <alignment horizontal="center"/>
    </xf>
    <xf numFmtId="0" fontId="19" fillId="0" borderId="0" xfId="0" applyFont="1" applyAlignment="1"/>
    <xf numFmtId="0" fontId="23" fillId="0" borderId="2" xfId="0" applyFont="1" applyBorder="1" applyAlignment="1">
      <alignment vertical="center"/>
    </xf>
    <xf numFmtId="183" fontId="3" fillId="0" borderId="0" xfId="0" applyNumberFormat="1" applyFont="1" applyAlignment="1"/>
    <xf numFmtId="0" fontId="3" fillId="0" borderId="1" xfId="0" applyFont="1" applyBorder="1" applyAlignment="1"/>
    <xf numFmtId="0" fontId="13" fillId="0" borderId="0" xfId="0" applyFont="1" applyAlignment="1"/>
    <xf numFmtId="2" fontId="68" fillId="0" borderId="0" xfId="0" applyNumberFormat="1" applyFont="1" applyFill="1" applyBorder="1" applyAlignment="1">
      <alignment horizontal="left"/>
    </xf>
    <xf numFmtId="2" fontId="68" fillId="0" borderId="1" xfId="0" applyNumberFormat="1" applyFont="1" applyFill="1" applyBorder="1" applyAlignment="1">
      <alignment horizontal="center" vertical="center" wrapText="1"/>
    </xf>
    <xf numFmtId="1" fontId="68" fillId="0" borderId="1" xfId="0" applyNumberFormat="1" applyFont="1" applyFill="1" applyBorder="1" applyAlignment="1">
      <alignment horizontal="center" vertical="center"/>
    </xf>
    <xf numFmtId="2" fontId="42" fillId="0" borderId="1" xfId="0" applyNumberFormat="1" applyFont="1" applyFill="1" applyBorder="1" applyAlignment="1">
      <alignment horizontal="center" vertical="center" wrapText="1"/>
    </xf>
    <xf numFmtId="0" fontId="42" fillId="0" borderId="1" xfId="0" applyFont="1" applyBorder="1" applyAlignment="1">
      <alignment horizontal="center" vertical="center" wrapText="1"/>
    </xf>
    <xf numFmtId="0" fontId="12" fillId="2" borderId="1" xfId="0" applyFont="1" applyFill="1" applyBorder="1" applyAlignment="1"/>
    <xf numFmtId="3" fontId="76" fillId="2" borderId="0" xfId="0" applyNumberFormat="1" applyFont="1" applyFill="1" applyAlignment="1">
      <alignment horizontal="center"/>
    </xf>
    <xf numFmtId="0" fontId="76" fillId="0" borderId="0" xfId="0" applyFont="1" applyAlignment="1"/>
    <xf numFmtId="0" fontId="21" fillId="0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3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3" fontId="19" fillId="0" borderId="0" xfId="0" applyNumberFormat="1" applyFont="1" applyBorder="1" applyAlignment="1">
      <alignment horizontal="center"/>
    </xf>
    <xf numFmtId="183" fontId="19" fillId="0" borderId="0" xfId="0" applyNumberFormat="1" applyFont="1" applyAlignment="1"/>
    <xf numFmtId="183" fontId="0" fillId="0" borderId="0" xfId="0" applyNumberFormat="1" applyAlignment="1"/>
    <xf numFmtId="0" fontId="26" fillId="0" borderId="0" xfId="0" applyFont="1" applyAlignment="1"/>
    <xf numFmtId="4" fontId="2" fillId="0" borderId="0" xfId="0" applyNumberFormat="1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23" fillId="0" borderId="0" xfId="0" applyFont="1" applyBorder="1" applyAlignment="1">
      <alignment horizontal="center"/>
    </xf>
    <xf numFmtId="0" fontId="2" fillId="0" borderId="43" xfId="0" applyFont="1" applyBorder="1" applyAlignment="1">
      <alignment horizontal="center"/>
    </xf>
    <xf numFmtId="0" fontId="44" fillId="0" borderId="0" xfId="0" applyFont="1" applyAlignment="1"/>
    <xf numFmtId="0" fontId="51" fillId="0" borderId="0" xfId="0" applyFont="1" applyAlignment="1"/>
    <xf numFmtId="4" fontId="3" fillId="0" borderId="0" xfId="0" applyNumberFormat="1" applyFont="1" applyAlignment="1"/>
    <xf numFmtId="0" fontId="3" fillId="0" borderId="0" xfId="0" applyFont="1" applyAlignment="1"/>
    <xf numFmtId="3" fontId="19" fillId="0" borderId="0" xfId="0" applyNumberFormat="1" applyFont="1" applyAlignment="1"/>
    <xf numFmtId="3" fontId="0" fillId="0" borderId="0" xfId="0" applyNumberFormat="1" applyAlignment="1"/>
    <xf numFmtId="4" fontId="2" fillId="0" borderId="1" xfId="0" applyNumberFormat="1" applyFont="1" applyBorder="1" applyAlignment="1">
      <alignment horizontal="center"/>
    </xf>
    <xf numFmtId="180" fontId="68" fillId="0" borderId="1" xfId="0" applyNumberFormat="1" applyFont="1" applyBorder="1" applyAlignment="1">
      <alignment horizontal="center" vertical="center"/>
    </xf>
    <xf numFmtId="2" fontId="19" fillId="0" borderId="0" xfId="0" applyNumberFormat="1" applyFont="1" applyAlignment="1">
      <alignment horizontal="left" vertical="center"/>
    </xf>
    <xf numFmtId="2" fontId="0" fillId="0" borderId="0" xfId="0" applyNumberFormat="1" applyAlignment="1">
      <alignment vertical="center"/>
    </xf>
    <xf numFmtId="4" fontId="19" fillId="0" borderId="0" xfId="0" applyNumberFormat="1" applyFont="1" applyAlignment="1"/>
    <xf numFmtId="2" fontId="2" fillId="0" borderId="42" xfId="0" applyNumberFormat="1" applyFont="1" applyBorder="1" applyAlignment="1"/>
    <xf numFmtId="2" fontId="2" fillId="0" borderId="29" xfId="0" applyNumberFormat="1" applyFont="1" applyBorder="1" applyAlignment="1"/>
    <xf numFmtId="2" fontId="2" fillId="0" borderId="1" xfId="0" applyNumberFormat="1" applyFont="1" applyBorder="1" applyAlignment="1">
      <alignment horizontal="center"/>
    </xf>
    <xf numFmtId="4" fontId="2" fillId="0" borderId="2" xfId="0" applyNumberFormat="1" applyFont="1" applyBorder="1" applyAlignment="1">
      <alignment horizontal="center"/>
    </xf>
    <xf numFmtId="4" fontId="2" fillId="0" borderId="3" xfId="0" applyNumberFormat="1" applyFont="1" applyBorder="1" applyAlignment="1">
      <alignment horizontal="center"/>
    </xf>
    <xf numFmtId="2" fontId="68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0" fillId="0" borderId="3" xfId="0" applyBorder="1" applyAlignment="1">
      <alignment vertical="center"/>
    </xf>
    <xf numFmtId="0" fontId="2" fillId="0" borderId="3" xfId="0" applyFont="1" applyBorder="1" applyAlignment="1">
      <alignment horizontal="center"/>
    </xf>
    <xf numFmtId="0" fontId="2" fillId="0" borderId="0" xfId="0" applyFont="1" applyBorder="1" applyAlignment="1"/>
    <xf numFmtId="0" fontId="12" fillId="0" borderId="1" xfId="0" applyFont="1" applyBorder="1" applyAlignment="1"/>
    <xf numFmtId="0" fontId="2" fillId="0" borderId="40" xfId="0" applyFont="1" applyBorder="1" applyAlignment="1"/>
    <xf numFmtId="0" fontId="2" fillId="0" borderId="35" xfId="0" applyFont="1" applyBorder="1" applyAlignment="1">
      <alignment horizontal="center"/>
    </xf>
    <xf numFmtId="3" fontId="1" fillId="0" borderId="1" xfId="0" applyNumberFormat="1" applyFont="1" applyBorder="1" applyAlignment="1">
      <alignment textRotation="30"/>
    </xf>
    <xf numFmtId="3" fontId="2" fillId="0" borderId="1" xfId="0" applyNumberFormat="1" applyFon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3" fontId="1" fillId="0" borderId="1" xfId="0" applyNumberFormat="1" applyFont="1" applyBorder="1" applyAlignment="1">
      <alignment horizontal="center" vertical="center" textRotation="30"/>
    </xf>
    <xf numFmtId="3" fontId="0" fillId="0" borderId="1" xfId="0" applyNumberFormat="1" applyBorder="1" applyAlignment="1"/>
    <xf numFmtId="0" fontId="19" fillId="0" borderId="0" xfId="0" applyFont="1" applyAlignment="1">
      <alignment horizontal="left" vertical="center"/>
    </xf>
    <xf numFmtId="0" fontId="2" fillId="0" borderId="2" xfId="0" applyFont="1" applyBorder="1" applyAlignment="1">
      <alignment horizontal="center"/>
    </xf>
    <xf numFmtId="0" fontId="23" fillId="2" borderId="0" xfId="0" applyFont="1" applyFill="1" applyBorder="1" applyAlignment="1">
      <alignment horizontal="left" vertical="center"/>
    </xf>
    <xf numFmtId="2" fontId="2" fillId="0" borderId="2" xfId="0" applyNumberFormat="1" applyFont="1" applyBorder="1" applyAlignment="1">
      <alignment horizontal="left"/>
    </xf>
    <xf numFmtId="2" fontId="2" fillId="0" borderId="3" xfId="0" applyNumberFormat="1" applyFont="1" applyBorder="1" applyAlignment="1">
      <alignment horizontal="left"/>
    </xf>
    <xf numFmtId="0" fontId="12" fillId="0" borderId="0" xfId="0" applyFont="1" applyAlignment="1"/>
    <xf numFmtId="0" fontId="60" fillId="0" borderId="0" xfId="0" applyFont="1" applyAlignment="1">
      <alignment horizontal="left"/>
    </xf>
    <xf numFmtId="0" fontId="60" fillId="0" borderId="0" xfId="0" applyFont="1" applyBorder="1" applyAlignment="1">
      <alignment horizontal="left"/>
    </xf>
    <xf numFmtId="2" fontId="19" fillId="0" borderId="0" xfId="0" applyNumberFormat="1" applyFont="1" applyAlignment="1">
      <alignment vertical="center"/>
    </xf>
    <xf numFmtId="2" fontId="67" fillId="0" borderId="1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right"/>
    </xf>
    <xf numFmtId="0" fontId="10" fillId="0" borderId="0" xfId="0" applyFont="1" applyBorder="1" applyAlignment="1">
      <alignment horizontal="right"/>
    </xf>
    <xf numFmtId="0" fontId="40" fillId="0" borderId="0" xfId="0" applyFont="1" applyAlignment="1"/>
    <xf numFmtId="1" fontId="2" fillId="0" borderId="1" xfId="0" applyNumberFormat="1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3" fillId="0" borderId="0" xfId="0" applyFont="1" applyBorder="1" applyAlignment="1"/>
    <xf numFmtId="0" fontId="5" fillId="0" borderId="0" xfId="0" applyFont="1" applyAlignment="1"/>
    <xf numFmtId="0" fontId="2" fillId="0" borderId="40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41" xfId="0" applyFont="1" applyBorder="1" applyAlignment="1">
      <alignment horizontal="center" vertical="center" wrapText="1"/>
    </xf>
    <xf numFmtId="0" fontId="2" fillId="0" borderId="43" xfId="0" applyFont="1" applyBorder="1" applyAlignment="1">
      <alignment horizontal="center" vertical="center" wrapText="1"/>
    </xf>
    <xf numFmtId="0" fontId="2" fillId="0" borderId="39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2" fillId="0" borderId="18" xfId="0" applyFont="1" applyBorder="1" applyAlignment="1"/>
    <xf numFmtId="0" fontId="2" fillId="0" borderId="3" xfId="0" applyFont="1" applyBorder="1" applyAlignment="1"/>
    <xf numFmtId="0" fontId="2" fillId="0" borderId="34" xfId="0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19" fillId="0" borderId="0" xfId="0" applyFont="1" applyAlignment="1">
      <alignment horizontal="center"/>
    </xf>
    <xf numFmtId="0" fontId="19" fillId="0" borderId="0" xfId="0" applyFont="1" applyBorder="1" applyAlignment="1">
      <alignment horizontal="center"/>
    </xf>
    <xf numFmtId="0" fontId="68" fillId="0" borderId="1" xfId="0" applyFont="1" applyBorder="1" applyAlignment="1"/>
    <xf numFmtId="0" fontId="68" fillId="0" borderId="2" xfId="0" applyFont="1" applyBorder="1" applyAlignment="1">
      <alignment horizontal="center"/>
    </xf>
    <xf numFmtId="0" fontId="68" fillId="0" borderId="18" xfId="0" applyFont="1" applyBorder="1" applyAlignment="1">
      <alignment horizontal="center"/>
    </xf>
    <xf numFmtId="0" fontId="68" fillId="0" borderId="3" xfId="0" applyFont="1" applyBorder="1" applyAlignment="1">
      <alignment horizontal="center"/>
    </xf>
    <xf numFmtId="2" fontId="41" fillId="0" borderId="0" xfId="0" applyNumberFormat="1" applyFont="1" applyBorder="1" applyAlignment="1">
      <alignment horizontal="left" vertical="center"/>
    </xf>
    <xf numFmtId="0" fontId="67" fillId="0" borderId="1" xfId="0" applyFont="1" applyBorder="1" applyAlignment="1">
      <alignment horizontal="right"/>
    </xf>
    <xf numFmtId="0" fontId="41" fillId="0" borderId="0" xfId="0" applyFont="1" applyBorder="1" applyAlignment="1">
      <alignment horizontal="right" vertical="center"/>
    </xf>
    <xf numFmtId="2" fontId="41" fillId="0" borderId="0" xfId="0" applyNumberFormat="1" applyFont="1" applyBorder="1" applyAlignment="1">
      <alignment horizontal="right" vertical="center"/>
    </xf>
    <xf numFmtId="4" fontId="0" fillId="0" borderId="1" xfId="0" applyNumberFormat="1" applyBorder="1" applyAlignment="1">
      <alignment horizontal="center"/>
    </xf>
    <xf numFmtId="4" fontId="0" fillId="0" borderId="1" xfId="0" applyNumberFormat="1" applyBorder="1" applyAlignment="1"/>
    <xf numFmtId="4" fontId="1" fillId="0" borderId="19" xfId="0" applyNumberFormat="1" applyFont="1" applyBorder="1" applyAlignment="1">
      <alignment horizontal="left" textRotation="30"/>
    </xf>
    <xf numFmtId="4" fontId="0" fillId="0" borderId="30" xfId="0" applyNumberFormat="1" applyBorder="1"/>
    <xf numFmtId="4" fontId="1" fillId="0" borderId="1" xfId="0" applyNumberFormat="1" applyFont="1" applyBorder="1" applyAlignment="1">
      <alignment textRotation="30"/>
    </xf>
    <xf numFmtId="0" fontId="23" fillId="0" borderId="0" xfId="0" applyFont="1" applyAlignment="1">
      <alignment horizontal="center"/>
    </xf>
    <xf numFmtId="0" fontId="2" fillId="0" borderId="29" xfId="0" applyFont="1" applyBorder="1" applyAlignment="1">
      <alignment horizontal="center"/>
    </xf>
    <xf numFmtId="0" fontId="0" fillId="0" borderId="41" xfId="0" applyBorder="1" applyAlignment="1"/>
    <xf numFmtId="0" fontId="27" fillId="0" borderId="0" xfId="0" applyFont="1" applyAlignment="1"/>
    <xf numFmtId="0" fontId="23" fillId="0" borderId="0" xfId="0" applyFont="1" applyAlignment="1">
      <alignment vertical="center"/>
    </xf>
    <xf numFmtId="0" fontId="13" fillId="0" borderId="1" xfId="0" applyFont="1" applyBorder="1" applyAlignment="1"/>
    <xf numFmtId="0" fontId="23" fillId="0" borderId="0" xfId="0" applyFont="1" applyAlignment="1">
      <alignment vertical="center" wrapText="1"/>
    </xf>
    <xf numFmtId="0" fontId="32" fillId="0" borderId="0" xfId="0" applyFont="1" applyAlignment="1"/>
    <xf numFmtId="4" fontId="19" fillId="0" borderId="0" xfId="0" applyNumberFormat="1" applyFont="1" applyFill="1" applyBorder="1" applyAlignment="1">
      <alignment horizontal="left"/>
    </xf>
    <xf numFmtId="4" fontId="0" fillId="0" borderId="0" xfId="0" applyNumberFormat="1" applyBorder="1" applyAlignment="1"/>
    <xf numFmtId="0" fontId="26" fillId="15" borderId="0" xfId="0" applyFont="1" applyFill="1" applyAlignment="1"/>
    <xf numFmtId="0" fontId="27" fillId="15" borderId="0" xfId="0" applyFont="1" applyFill="1" applyAlignment="1"/>
    <xf numFmtId="0" fontId="0" fillId="15" borderId="0" xfId="0" applyFill="1" applyAlignment="1"/>
    <xf numFmtId="0" fontId="2" fillId="0" borderId="31" xfId="0" applyFont="1" applyBorder="1" applyAlignment="1">
      <alignment horizontal="center"/>
    </xf>
    <xf numFmtId="4" fontId="10" fillId="0" borderId="0" xfId="0" applyNumberFormat="1" applyFont="1" applyAlignment="1">
      <alignment horizontal="left"/>
    </xf>
    <xf numFmtId="0" fontId="23" fillId="0" borderId="0" xfId="0" applyFont="1" applyBorder="1" applyAlignment="1">
      <alignment vertical="center"/>
    </xf>
    <xf numFmtId="0" fontId="26" fillId="0" borderId="0" xfId="0" applyFont="1" applyAlignment="1">
      <alignment vertical="center"/>
    </xf>
    <xf numFmtId="0" fontId="27" fillId="0" borderId="0" xfId="0" applyFont="1" applyAlignment="1">
      <alignment vertical="center"/>
    </xf>
    <xf numFmtId="0" fontId="21" fillId="0" borderId="1" xfId="0" applyFont="1" applyBorder="1" applyAlignment="1"/>
    <xf numFmtId="0" fontId="13" fillId="0" borderId="32" xfId="0" applyFont="1" applyBorder="1" applyAlignment="1">
      <alignment horizontal="center"/>
    </xf>
    <xf numFmtId="0" fontId="13" fillId="0" borderId="36" xfId="0" applyFont="1" applyBorder="1" applyAlignment="1">
      <alignment horizontal="center"/>
    </xf>
    <xf numFmtId="0" fontId="8" fillId="0" borderId="0" xfId="0" applyFont="1" applyAlignment="1"/>
    <xf numFmtId="0" fontId="45" fillId="0" borderId="0" xfId="0" applyFont="1" applyAlignment="1"/>
    <xf numFmtId="0" fontId="1" fillId="0" borderId="0" xfId="0" applyFont="1" applyAlignment="1"/>
    <xf numFmtId="0" fontId="31" fillId="0" borderId="0" xfId="0" applyFont="1" applyFill="1" applyAlignment="1"/>
    <xf numFmtId="0" fontId="32" fillId="0" borderId="0" xfId="0" applyFont="1" applyFill="1" applyAlignment="1"/>
    <xf numFmtId="0" fontId="12" fillId="0" borderId="40" xfId="0" applyFont="1" applyBorder="1" applyAlignment="1">
      <alignment horizontal="center"/>
    </xf>
    <xf numFmtId="0" fontId="0" fillId="0" borderId="40" xfId="0" applyBorder="1" applyAlignment="1">
      <alignment horizontal="center"/>
    </xf>
    <xf numFmtId="4" fontId="8" fillId="0" borderId="1" xfId="0" applyNumberFormat="1" applyFont="1" applyBorder="1" applyAlignment="1">
      <alignment horizontal="center" vertical="center"/>
    </xf>
    <xf numFmtId="0" fontId="85" fillId="0" borderId="0" xfId="0" applyFont="1" applyAlignment="1">
      <alignment horizontal="center"/>
    </xf>
    <xf numFmtId="0" fontId="83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2" fontId="2" fillId="0" borderId="35" xfId="0" applyNumberFormat="1" applyFont="1" applyBorder="1" applyAlignment="1">
      <alignment horizontal="left"/>
    </xf>
    <xf numFmtId="2" fontId="2" fillId="0" borderId="39" xfId="0" applyNumberFormat="1" applyFont="1" applyBorder="1" applyAlignment="1">
      <alignment horizontal="left"/>
    </xf>
    <xf numFmtId="0" fontId="2" fillId="2" borderId="1" xfId="0" applyFont="1" applyFill="1" applyBorder="1" applyAlignment="1"/>
    <xf numFmtId="0" fontId="12" fillId="0" borderId="2" xfId="0" applyFont="1" applyBorder="1" applyAlignment="1"/>
    <xf numFmtId="0" fontId="3" fillId="0" borderId="1" xfId="0" applyFont="1" applyBorder="1" applyAlignment="1">
      <alignment horizontal="center"/>
    </xf>
    <xf numFmtId="2" fontId="84" fillId="0" borderId="0" xfId="0" applyNumberFormat="1" applyFont="1" applyAlignment="1"/>
    <xf numFmtId="0" fontId="82" fillId="0" borderId="0" xfId="0" applyFont="1" applyAlignment="1">
      <alignment horizontal="center"/>
    </xf>
    <xf numFmtId="0" fontId="42" fillId="0" borderId="0" xfId="0" applyFont="1" applyAlignment="1">
      <alignment horizontal="center"/>
    </xf>
    <xf numFmtId="0" fontId="52" fillId="0" borderId="0" xfId="0" applyFont="1" applyAlignment="1">
      <alignment horizontal="center"/>
    </xf>
    <xf numFmtId="0" fontId="42" fillId="0" borderId="0" xfId="0" applyFont="1" applyAlignment="1"/>
    <xf numFmtId="2" fontId="23" fillId="0" borderId="0" xfId="0" applyNumberFormat="1" applyFont="1" applyAlignment="1">
      <alignment vertical="center"/>
    </xf>
    <xf numFmtId="0" fontId="2" fillId="2" borderId="2" xfId="0" applyFont="1" applyFill="1" applyBorder="1" applyAlignment="1"/>
    <xf numFmtId="0" fontId="2" fillId="2" borderId="18" xfId="0" applyFont="1" applyFill="1" applyBorder="1" applyAlignment="1"/>
    <xf numFmtId="0" fontId="2" fillId="2" borderId="3" xfId="0" applyFont="1" applyFill="1" applyBorder="1" applyAlignment="1"/>
    <xf numFmtId="0" fontId="0" fillId="0" borderId="0" xfId="0" applyAlignment="1">
      <alignment horizontal="center"/>
    </xf>
    <xf numFmtId="3" fontId="21" fillId="0" borderId="1" xfId="0" applyNumberFormat="1" applyFont="1" applyBorder="1" applyAlignment="1">
      <alignment horizontal="center"/>
    </xf>
    <xf numFmtId="0" fontId="5" fillId="0" borderId="0" xfId="0" applyFont="1" applyFill="1" applyAlignment="1">
      <alignment horizontal="left"/>
    </xf>
    <xf numFmtId="0" fontId="3" fillId="0" borderId="0" xfId="0" applyFont="1" applyFill="1" applyAlignment="1">
      <alignment horizontal="left"/>
    </xf>
    <xf numFmtId="0" fontId="10" fillId="0" borderId="0" xfId="0" applyFont="1" applyAlignment="1">
      <alignment horizontal="center"/>
    </xf>
    <xf numFmtId="0" fontId="10" fillId="0" borderId="0" xfId="0" applyFont="1" applyBorder="1" applyAlignment="1">
      <alignment horizontal="center"/>
    </xf>
    <xf numFmtId="0" fontId="13" fillId="0" borderId="2" xfId="0" applyFont="1" applyBorder="1" applyAlignment="1"/>
    <xf numFmtId="4" fontId="21" fillId="0" borderId="1" xfId="0" applyNumberFormat="1" applyFont="1" applyBorder="1" applyAlignment="1">
      <alignment horizontal="center"/>
    </xf>
    <xf numFmtId="3" fontId="13" fillId="0" borderId="1" xfId="0" applyNumberFormat="1" applyFont="1" applyBorder="1" applyAlignment="1">
      <alignment horizontal="center"/>
    </xf>
    <xf numFmtId="0" fontId="52" fillId="0" borderId="1" xfId="0" applyFont="1" applyBorder="1" applyAlignment="1">
      <alignment horizontal="center" vertical="center" textRotation="90"/>
    </xf>
    <xf numFmtId="0" fontId="40" fillId="0" borderId="1" xfId="0" applyFont="1" applyBorder="1" applyAlignment="1">
      <alignment horizontal="center" vertical="center" textRotation="90"/>
    </xf>
    <xf numFmtId="2" fontId="3" fillId="0" borderId="0" xfId="0" applyNumberFormat="1" applyFont="1" applyAlignment="1"/>
    <xf numFmtId="0" fontId="45" fillId="0" borderId="36" xfId="0" applyFont="1" applyBorder="1" applyAlignment="1">
      <alignment horizontal="center" vertical="center" textRotation="90"/>
    </xf>
    <xf numFmtId="0" fontId="45" fillId="0" borderId="3" xfId="0" applyFont="1" applyBorder="1" applyAlignment="1">
      <alignment horizontal="center"/>
    </xf>
    <xf numFmtId="0" fontId="45" fillId="0" borderId="38" xfId="0" applyFont="1" applyBorder="1" applyAlignment="1">
      <alignment horizontal="center"/>
    </xf>
    <xf numFmtId="0" fontId="45" fillId="0" borderId="27" xfId="0" applyFont="1" applyBorder="1" applyAlignment="1">
      <alignment horizontal="center" vertical="center" textRotation="90"/>
    </xf>
    <xf numFmtId="0" fontId="45" fillId="0" borderId="1" xfId="0" applyFont="1" applyBorder="1" applyAlignment="1">
      <alignment horizontal="center"/>
    </xf>
    <xf numFmtId="0" fontId="45" fillId="0" borderId="28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0" fillId="0" borderId="0" xfId="0" applyFont="1" applyAlignment="1">
      <alignment horizontal="left"/>
    </xf>
    <xf numFmtId="0" fontId="13" fillId="0" borderId="2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53" fillId="0" borderId="3" xfId="0" applyFont="1" applyBorder="1" applyAlignment="1">
      <alignment horizontal="center" vertical="center" textRotation="90"/>
    </xf>
    <xf numFmtId="0" fontId="45" fillId="0" borderId="3" xfId="0" applyFont="1" applyBorder="1" applyAlignment="1">
      <alignment horizontal="center" vertical="center" textRotation="90"/>
    </xf>
    <xf numFmtId="0" fontId="45" fillId="0" borderId="1" xfId="0" applyFont="1" applyBorder="1" applyAlignment="1">
      <alignment horizontal="center" vertical="center" textRotation="90"/>
    </xf>
    <xf numFmtId="0" fontId="26" fillId="0" borderId="0" xfId="0" applyFont="1" applyFill="1" applyAlignment="1"/>
    <xf numFmtId="0" fontId="0" fillId="0" borderId="0" xfId="0" applyFill="1" applyAlignment="1"/>
    <xf numFmtId="0" fontId="53" fillId="0" borderId="27" xfId="0" applyFont="1" applyBorder="1" applyAlignment="1">
      <alignment horizontal="center" vertical="center" textRotation="90"/>
    </xf>
    <xf numFmtId="0" fontId="13" fillId="0" borderId="1" xfId="0" applyFont="1" applyBorder="1" applyAlignment="1">
      <alignment horizontal="center"/>
    </xf>
    <xf numFmtId="4" fontId="13" fillId="0" borderId="1" xfId="0" applyNumberFormat="1" applyFont="1" applyBorder="1" applyAlignment="1">
      <alignment horizontal="center"/>
    </xf>
    <xf numFmtId="0" fontId="23" fillId="0" borderId="43" xfId="0" applyFont="1" applyBorder="1" applyAlignment="1">
      <alignment horizontal="center"/>
    </xf>
    <xf numFmtId="0" fontId="12" fillId="0" borderId="0" xfId="0" applyFont="1" applyBorder="1" applyAlignment="1">
      <alignment horizontal="left"/>
    </xf>
    <xf numFmtId="0" fontId="42" fillId="0" borderId="0" xfId="0" applyFont="1" applyBorder="1" applyAlignment="1">
      <alignment horizontal="left"/>
    </xf>
    <xf numFmtId="0" fontId="45" fillId="0" borderId="49" xfId="0" applyFont="1" applyBorder="1" applyAlignment="1">
      <alignment horizontal="center" vertical="center" textRotation="90"/>
    </xf>
    <xf numFmtId="0" fontId="0" fillId="0" borderId="41" xfId="0" applyBorder="1" applyAlignment="1">
      <alignment horizontal="center"/>
    </xf>
    <xf numFmtId="0" fontId="0" fillId="0" borderId="50" xfId="0" applyBorder="1" applyAlignment="1">
      <alignment horizontal="center"/>
    </xf>
    <xf numFmtId="0" fontId="21" fillId="0" borderId="19" xfId="0" applyFont="1" applyFill="1" applyBorder="1" applyAlignment="1">
      <alignment horizontal="center" vertical="center" wrapText="1"/>
    </xf>
    <xf numFmtId="0" fontId="21" fillId="0" borderId="42" xfId="0" applyFont="1" applyFill="1" applyBorder="1" applyAlignment="1">
      <alignment horizontal="center" vertical="center" wrapText="1"/>
    </xf>
    <xf numFmtId="0" fontId="21" fillId="0" borderId="30" xfId="0" applyFont="1" applyFill="1" applyBorder="1" applyAlignment="1">
      <alignment horizontal="center" vertical="center" wrapText="1"/>
    </xf>
    <xf numFmtId="0" fontId="23" fillId="0" borderId="44" xfId="0" applyFont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6" xfId="0" applyBorder="1" applyAlignment="1">
      <alignment horizontal="center"/>
    </xf>
    <xf numFmtId="2" fontId="41" fillId="4" borderId="1" xfId="0" applyNumberFormat="1" applyFont="1" applyFill="1" applyBorder="1" applyAlignment="1">
      <alignment horizontal="center" textRotation="90"/>
    </xf>
    <xf numFmtId="0" fontId="45" fillId="0" borderId="30" xfId="0" applyFont="1" applyBorder="1" applyAlignment="1">
      <alignment horizontal="center"/>
    </xf>
    <xf numFmtId="0" fontId="53" fillId="0" borderId="36" xfId="0" applyFont="1" applyBorder="1" applyAlignment="1">
      <alignment horizontal="center" vertical="center" textRotation="90"/>
    </xf>
    <xf numFmtId="0" fontId="23" fillId="2" borderId="1" xfId="0" applyFont="1" applyFill="1" applyBorder="1" applyAlignment="1">
      <alignment horizontal="center" vertical="center"/>
    </xf>
    <xf numFmtId="0" fontId="12" fillId="0" borderId="19" xfId="0" applyFont="1" applyBorder="1" applyAlignment="1">
      <alignment horizontal="center" vertical="center" textRotation="90" wrapText="1"/>
    </xf>
    <xf numFmtId="0" fontId="0" fillId="0" borderId="42" xfId="0" applyBorder="1" applyAlignment="1">
      <alignment horizontal="center" vertical="center" textRotation="90" wrapText="1"/>
    </xf>
    <xf numFmtId="0" fontId="0" fillId="0" borderId="30" xfId="0" applyBorder="1" applyAlignment="1">
      <alignment horizontal="center" vertical="center" textRotation="90" wrapText="1"/>
    </xf>
    <xf numFmtId="0" fontId="42" fillId="0" borderId="19" xfId="0" applyFont="1" applyBorder="1" applyAlignment="1">
      <alignment horizontal="center" vertical="center" textRotation="90" wrapText="1"/>
    </xf>
    <xf numFmtId="0" fontId="42" fillId="0" borderId="42" xfId="0" applyFont="1" applyBorder="1" applyAlignment="1">
      <alignment horizontal="center" vertical="center" textRotation="90" wrapText="1"/>
    </xf>
    <xf numFmtId="0" fontId="42" fillId="0" borderId="30" xfId="0" applyFont="1" applyBorder="1" applyAlignment="1">
      <alignment horizontal="center" vertical="center" textRotation="90" wrapText="1"/>
    </xf>
    <xf numFmtId="0" fontId="0" fillId="0" borderId="40" xfId="0" applyBorder="1" applyAlignment="1"/>
    <xf numFmtId="0" fontId="12" fillId="0" borderId="34" xfId="0" applyFon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49" fillId="9" borderId="47" xfId="0" applyFont="1" applyFill="1" applyBorder="1" applyAlignment="1"/>
    <xf numFmtId="0" fontId="49" fillId="9" borderId="0" xfId="0" applyFont="1" applyFill="1" applyAlignment="1"/>
    <xf numFmtId="0" fontId="23" fillId="0" borderId="1" xfId="0" applyFont="1" applyBorder="1" applyAlignment="1">
      <alignment horizontal="center" wrapText="1"/>
    </xf>
    <xf numFmtId="0" fontId="2" fillId="0" borderId="19" xfId="0" applyFont="1" applyBorder="1" applyAlignment="1">
      <alignment horizontal="center" vertical="center" textRotation="90" wrapText="1"/>
    </xf>
    <xf numFmtId="0" fontId="12" fillId="0" borderId="1" xfId="0" applyFont="1" applyBorder="1" applyAlignment="1">
      <alignment horizontal="left"/>
    </xf>
    <xf numFmtId="0" fontId="42" fillId="0" borderId="1" xfId="0" applyFont="1" applyBorder="1" applyAlignment="1">
      <alignment horizontal="left"/>
    </xf>
    <xf numFmtId="0" fontId="48" fillId="5" borderId="0" xfId="0" applyFont="1" applyFill="1" applyAlignment="1">
      <alignment horizontal="center" vertical="center"/>
    </xf>
    <xf numFmtId="0" fontId="23" fillId="0" borderId="1" xfId="0" applyFont="1" applyBorder="1" applyAlignment="1">
      <alignment horizontal="center"/>
    </xf>
    <xf numFmtId="0" fontId="3" fillId="9" borderId="0" xfId="0" applyFont="1" applyFill="1" applyAlignment="1">
      <alignment horizontal="center" vertical="center"/>
    </xf>
    <xf numFmtId="0" fontId="23" fillId="0" borderId="1" xfId="0" applyFont="1" applyFill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32" fillId="0" borderId="18" xfId="0" applyFont="1" applyBorder="1" applyAlignment="1">
      <alignment horizontal="center"/>
    </xf>
    <xf numFmtId="0" fontId="32" fillId="0" borderId="3" xfId="0" applyFont="1" applyBorder="1" applyAlignment="1">
      <alignment horizontal="center"/>
    </xf>
    <xf numFmtId="0" fontId="12" fillId="0" borderId="0" xfId="0" applyFont="1" applyAlignment="1">
      <alignment horizontal="right" vertical="center"/>
    </xf>
    <xf numFmtId="0" fontId="12" fillId="0" borderId="0" xfId="0" applyFont="1" applyAlignment="1">
      <alignment vertical="center"/>
    </xf>
    <xf numFmtId="0" fontId="44" fillId="0" borderId="1" xfId="0" applyFont="1" applyBorder="1" applyAlignment="1">
      <alignment horizontal="center" vertical="center" wrapText="1"/>
    </xf>
    <xf numFmtId="0" fontId="23" fillId="13" borderId="0" xfId="0" applyFont="1" applyFill="1" applyAlignment="1"/>
    <xf numFmtId="0" fontId="0" fillId="13" borderId="0" xfId="0" applyFill="1" applyAlignment="1"/>
    <xf numFmtId="0" fontId="23" fillId="0" borderId="1" xfId="0" applyFont="1" applyBorder="1" applyAlignment="1">
      <alignment horizontal="left" vertical="center" wrapText="1"/>
    </xf>
    <xf numFmtId="0" fontId="32" fillId="0" borderId="0" xfId="0" applyFont="1" applyBorder="1" applyAlignment="1"/>
    <xf numFmtId="2" fontId="12" fillId="2" borderId="0" xfId="0" applyNumberFormat="1" applyFont="1" applyFill="1" applyAlignment="1">
      <alignment vertical="center"/>
    </xf>
    <xf numFmtId="0" fontId="23" fillId="14" borderId="0" xfId="0" applyFont="1" applyFill="1" applyAlignment="1"/>
    <xf numFmtId="0" fontId="23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78" fontId="2" fillId="2" borderId="1" xfId="0" applyNumberFormat="1" applyFont="1" applyFill="1" applyBorder="1" applyAlignment="1">
      <alignment horizontal="center" vertical="center"/>
    </xf>
    <xf numFmtId="0" fontId="8" fillId="0" borderId="1" xfId="0" applyFont="1" applyBorder="1" applyAlignment="1"/>
    <xf numFmtId="0" fontId="1" fillId="0" borderId="1" xfId="0" applyFont="1" applyBorder="1" applyAlignment="1">
      <alignment horizontal="center" vertical="center" textRotation="90" wrapText="1"/>
    </xf>
    <xf numFmtId="0" fontId="21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178" fontId="3" fillId="0" borderId="0" xfId="0" applyNumberFormat="1" applyFont="1" applyAlignment="1"/>
    <xf numFmtId="0" fontId="45" fillId="0" borderId="48" xfId="0" applyFont="1" applyBorder="1" applyAlignment="1">
      <alignment horizontal="center" vertical="center" textRotation="90"/>
    </xf>
    <xf numFmtId="0" fontId="0" fillId="0" borderId="42" xfId="0" applyBorder="1" applyAlignment="1">
      <alignment horizontal="center"/>
    </xf>
    <xf numFmtId="0" fontId="0" fillId="0" borderId="30" xfId="0" applyBorder="1" applyAlignment="1">
      <alignment horizontal="center"/>
    </xf>
    <xf numFmtId="0" fontId="51" fillId="4" borderId="0" xfId="0" applyFont="1" applyFill="1" applyBorder="1" applyAlignment="1">
      <alignment horizontal="center"/>
    </xf>
    <xf numFmtId="0" fontId="53" fillId="0" borderId="1" xfId="0" applyFont="1" applyBorder="1" applyAlignment="1">
      <alignment horizontal="center" vertical="center" textRotation="90"/>
    </xf>
    <xf numFmtId="0" fontId="23" fillId="0" borderId="20" xfId="0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2" fillId="0" borderId="2" xfId="0" applyFont="1" applyBorder="1" applyAlignment="1"/>
    <xf numFmtId="0" fontId="23" fillId="0" borderId="0" xfId="0" applyFont="1" applyAlignment="1">
      <alignment horizontal="right"/>
    </xf>
    <xf numFmtId="0" fontId="19" fillId="0" borderId="43" xfId="0" applyFont="1" applyBorder="1" applyAlignment="1">
      <alignment horizontal="center"/>
    </xf>
    <xf numFmtId="0" fontId="41" fillId="0" borderId="43" xfId="0" applyFont="1" applyBorder="1" applyAlignment="1">
      <alignment horizontal="center"/>
    </xf>
    <xf numFmtId="0" fontId="21" fillId="0" borderId="1" xfId="0" applyFont="1" applyBorder="1" applyAlignment="1">
      <alignment horizontal="center"/>
    </xf>
    <xf numFmtId="0" fontId="40" fillId="0" borderId="1" xfId="0" applyFont="1" applyBorder="1" applyAlignment="1">
      <alignment horizontal="center"/>
    </xf>
    <xf numFmtId="0" fontId="41" fillId="0" borderId="0" xfId="0" applyFont="1" applyAlignment="1">
      <alignment horizontal="center"/>
    </xf>
    <xf numFmtId="0" fontId="31" fillId="0" borderId="0" xfId="0" applyFont="1" applyBorder="1" applyAlignment="1">
      <alignment horizontal="left"/>
    </xf>
    <xf numFmtId="0" fontId="21" fillId="0" borderId="0" xfId="0" applyFont="1" applyBorder="1" applyAlignment="1">
      <alignment horizontal="center"/>
    </xf>
    <xf numFmtId="0" fontId="44" fillId="0" borderId="0" xfId="0" applyFont="1" applyBorder="1" applyAlignment="1"/>
    <xf numFmtId="0" fontId="48" fillId="0" borderId="0" xfId="0" applyFont="1" applyAlignment="1"/>
    <xf numFmtId="0" fontId="21" fillId="0" borderId="1" xfId="0" applyFont="1" applyFill="1" applyBorder="1" applyAlignment="1">
      <alignment horizontal="left"/>
    </xf>
    <xf numFmtId="0" fontId="67" fillId="0" borderId="1" xfId="0" applyFont="1" applyBorder="1" applyAlignment="1">
      <alignment horizontal="center" vertical="center" textRotation="90"/>
    </xf>
    <xf numFmtId="0" fontId="67" fillId="0" borderId="1" xfId="0" applyFont="1" applyBorder="1" applyAlignment="1">
      <alignment horizontal="center" vertical="center" textRotation="90" wrapText="1"/>
    </xf>
    <xf numFmtId="0" fontId="24" fillId="0" borderId="0" xfId="0" applyFont="1" applyAlignment="1">
      <alignment vertical="center"/>
    </xf>
    <xf numFmtId="0" fontId="12" fillId="0" borderId="19" xfId="0" applyFont="1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21" fillId="0" borderId="43" xfId="0" applyFont="1" applyBorder="1" applyAlignment="1"/>
    <xf numFmtId="0" fontId="12" fillId="0" borderId="1" xfId="0" applyFont="1" applyBorder="1" applyAlignment="1">
      <alignment wrapText="1"/>
    </xf>
    <xf numFmtId="178" fontId="12" fillId="0" borderId="1" xfId="0" applyNumberFormat="1" applyFont="1" applyBorder="1" applyAlignment="1">
      <alignment horizontal="center" vertical="center"/>
    </xf>
    <xf numFmtId="2" fontId="21" fillId="0" borderId="1" xfId="0" applyNumberFormat="1" applyFont="1" applyBorder="1" applyAlignment="1">
      <alignment horizontal="left"/>
    </xf>
    <xf numFmtId="2" fontId="19" fillId="0" borderId="0" xfId="0" applyNumberFormat="1" applyFont="1" applyAlignment="1">
      <alignment horizontal="left"/>
    </xf>
    <xf numFmtId="2" fontId="0" fillId="0" borderId="0" xfId="0" applyNumberFormat="1" applyAlignment="1"/>
    <xf numFmtId="0" fontId="21" fillId="0" borderId="1" xfId="0" applyFont="1" applyBorder="1" applyAlignment="1">
      <alignment horizontal="right"/>
    </xf>
    <xf numFmtId="0" fontId="12" fillId="2" borderId="1" xfId="0" applyFont="1" applyFill="1" applyBorder="1" applyAlignment="1">
      <alignment horizontal="center" vertical="center"/>
    </xf>
    <xf numFmtId="0" fontId="0" fillId="0" borderId="0" xfId="0" applyBorder="1" applyAlignment="1"/>
    <xf numFmtId="0" fontId="12" fillId="0" borderId="18" xfId="0" applyFont="1" applyBorder="1" applyAlignment="1"/>
    <xf numFmtId="0" fontId="12" fillId="0" borderId="3" xfId="0" applyFont="1" applyBorder="1" applyAlignment="1"/>
    <xf numFmtId="0" fontId="23" fillId="0" borderId="0" xfId="0" applyFont="1" applyAlignment="1">
      <alignment horizontal="left"/>
    </xf>
    <xf numFmtId="0" fontId="40" fillId="0" borderId="29" xfId="0" applyFont="1" applyBorder="1" applyAlignment="1">
      <alignment horizontal="center" vertical="center" textRotation="90"/>
    </xf>
    <xf numFmtId="0" fontId="40" fillId="0" borderId="35" xfId="0" applyFont="1" applyBorder="1" applyAlignment="1">
      <alignment horizontal="center" vertical="center" textRotation="90"/>
    </xf>
    <xf numFmtId="0" fontId="12" fillId="0" borderId="1" xfId="0" applyFont="1" applyBorder="1" applyAlignment="1">
      <alignment horizontal="center"/>
    </xf>
    <xf numFmtId="1" fontId="68" fillId="0" borderId="1" xfId="0" applyNumberFormat="1" applyFont="1" applyFill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0" fontId="2" fillId="0" borderId="34" xfId="0" applyFont="1" applyBorder="1" applyAlignment="1"/>
    <xf numFmtId="3" fontId="2" fillId="0" borderId="18" xfId="0" applyNumberFormat="1" applyFont="1" applyBorder="1" applyAlignment="1"/>
    <xf numFmtId="3" fontId="2" fillId="0" borderId="34" xfId="0" applyNumberFormat="1" applyFont="1" applyBorder="1" applyAlignment="1">
      <alignment horizontal="center" vertical="center"/>
    </xf>
    <xf numFmtId="3" fontId="2" fillId="0" borderId="31" xfId="0" applyNumberFormat="1" applyFont="1" applyBorder="1" applyAlignment="1">
      <alignment horizontal="center" vertical="center"/>
    </xf>
    <xf numFmtId="3" fontId="2" fillId="0" borderId="35" xfId="0" applyNumberFormat="1" applyFont="1" applyBorder="1" applyAlignment="1">
      <alignment horizontal="center" vertical="center"/>
    </xf>
    <xf numFmtId="3" fontId="2" fillId="0" borderId="39" xfId="0" applyNumberFormat="1" applyFont="1" applyBorder="1" applyAlignment="1">
      <alignment horizontal="center" vertical="center"/>
    </xf>
    <xf numFmtId="2" fontId="41" fillId="0" borderId="0" xfId="0" applyNumberFormat="1" applyFont="1" applyBorder="1" applyAlignment="1">
      <alignment horizontal="right"/>
    </xf>
    <xf numFmtId="0" fontId="19" fillId="0" borderId="0" xfId="0" applyFont="1" applyAlignment="1">
      <alignment wrapText="1"/>
    </xf>
    <xf numFmtId="0" fontId="0" fillId="0" borderId="0" xfId="0" applyAlignment="1">
      <alignment wrapText="1"/>
    </xf>
    <xf numFmtId="2" fontId="78" fillId="0" borderId="0" xfId="0" applyNumberFormat="1" applyFont="1" applyFill="1" applyBorder="1" applyAlignment="1">
      <alignment horizontal="left" wrapText="1"/>
    </xf>
    <xf numFmtId="0" fontId="40" fillId="0" borderId="0" xfId="0" applyFont="1" applyAlignment="1">
      <alignment horizontal="left"/>
    </xf>
    <xf numFmtId="3" fontId="13" fillId="0" borderId="2" xfId="0" applyNumberFormat="1" applyFont="1" applyBorder="1" applyAlignment="1"/>
    <xf numFmtId="3" fontId="13" fillId="0" borderId="18" xfId="0" applyNumberFormat="1" applyFont="1" applyBorder="1" applyAlignment="1"/>
    <xf numFmtId="0" fontId="51" fillId="0" borderId="0" xfId="0" applyFont="1" applyAlignment="1">
      <alignment horizontal="left"/>
    </xf>
    <xf numFmtId="178" fontId="2" fillId="0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textRotation="90"/>
    </xf>
    <xf numFmtId="0" fontId="3" fillId="0" borderId="0" xfId="0" applyFont="1" applyAlignment="1">
      <alignment textRotation="90" wrapText="1"/>
    </xf>
    <xf numFmtId="0" fontId="0" fillId="0" borderId="0" xfId="0" applyAlignment="1">
      <alignment textRotation="90" wrapText="1"/>
    </xf>
    <xf numFmtId="0" fontId="52" fillId="0" borderId="0" xfId="0" applyFont="1" applyAlignment="1">
      <alignment horizontal="right"/>
    </xf>
    <xf numFmtId="0" fontId="42" fillId="0" borderId="0" xfId="0" applyFont="1" applyAlignment="1">
      <alignment horizontal="right"/>
    </xf>
    <xf numFmtId="1" fontId="2" fillId="0" borderId="2" xfId="0" applyNumberFormat="1" applyFont="1" applyBorder="1" applyAlignment="1"/>
    <xf numFmtId="1" fontId="0" fillId="0" borderId="18" xfId="0" applyNumberFormat="1" applyBorder="1" applyAlignment="1"/>
    <xf numFmtId="4" fontId="2" fillId="0" borderId="34" xfId="0" applyNumberFormat="1" applyFont="1" applyBorder="1" applyAlignment="1">
      <alignment vertical="center"/>
    </xf>
    <xf numFmtId="0" fontId="2" fillId="0" borderId="31" xfId="0" applyFont="1" applyBorder="1" applyAlignment="1">
      <alignment vertical="center"/>
    </xf>
    <xf numFmtId="0" fontId="2" fillId="0" borderId="35" xfId="0" applyFont="1" applyBorder="1" applyAlignment="1">
      <alignment vertical="center"/>
    </xf>
    <xf numFmtId="0" fontId="2" fillId="0" borderId="39" xfId="0" applyFont="1" applyBorder="1" applyAlignment="1">
      <alignment vertical="center"/>
    </xf>
    <xf numFmtId="4" fontId="2" fillId="0" borderId="29" xfId="0" applyNumberFormat="1" applyFont="1" applyBorder="1" applyAlignment="1">
      <alignment horizontal="center" vertical="center"/>
    </xf>
    <xf numFmtId="0" fontId="0" fillId="0" borderId="29" xfId="0" applyBorder="1" applyAlignment="1">
      <alignment vertical="center"/>
    </xf>
    <xf numFmtId="4" fontId="2" fillId="0" borderId="34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2" fillId="0" borderId="51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52" xfId="0" applyFont="1" applyBorder="1" applyAlignment="1">
      <alignment horizontal="center"/>
    </xf>
    <xf numFmtId="0" fontId="2" fillId="0" borderId="53" xfId="0" applyFont="1" applyBorder="1" applyAlignment="1">
      <alignment horizontal="center" wrapText="1"/>
    </xf>
    <xf numFmtId="0" fontId="2" fillId="0" borderId="54" xfId="0" applyFont="1" applyBorder="1" applyAlignment="1">
      <alignment horizontal="center" wrapText="1"/>
    </xf>
    <xf numFmtId="0" fontId="2" fillId="0" borderId="55" xfId="0" applyFont="1" applyBorder="1" applyAlignment="1">
      <alignment horizontal="center" wrapText="1"/>
    </xf>
    <xf numFmtId="0" fontId="2" fillId="0" borderId="4" xfId="0" applyFont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2" fillId="11" borderId="1" xfId="0" applyFont="1" applyFill="1" applyBorder="1" applyAlignment="1">
      <alignment horizontal="center"/>
    </xf>
    <xf numFmtId="0" fontId="58" fillId="8" borderId="0" xfId="0" applyFont="1" applyFill="1" applyAlignment="1"/>
    <xf numFmtId="0" fontId="42" fillId="0" borderId="1" xfId="0" applyFont="1" applyFill="1" applyBorder="1" applyAlignment="1">
      <alignment vertical="center"/>
    </xf>
    <xf numFmtId="0" fontId="42" fillId="10" borderId="35" xfId="0" applyFont="1" applyFill="1" applyBorder="1" applyAlignment="1">
      <alignment horizontal="center"/>
    </xf>
    <xf numFmtId="0" fontId="42" fillId="10" borderId="43" xfId="0" applyFont="1" applyFill="1" applyBorder="1" applyAlignment="1">
      <alignment horizontal="center"/>
    </xf>
    <xf numFmtId="0" fontId="42" fillId="0" borderId="35" xfId="0" applyFont="1" applyBorder="1" applyAlignment="1">
      <alignment horizontal="center"/>
    </xf>
    <xf numFmtId="0" fontId="42" fillId="0" borderId="43" xfId="0" applyFont="1" applyBorder="1" applyAlignment="1">
      <alignment horizontal="center"/>
    </xf>
    <xf numFmtId="0" fontId="42" fillId="2" borderId="35" xfId="0" applyFont="1" applyFill="1" applyBorder="1" applyAlignment="1">
      <alignment horizontal="center"/>
    </xf>
    <xf numFmtId="0" fontId="42" fillId="2" borderId="43" xfId="0" applyFont="1" applyFill="1" applyBorder="1" applyAlignment="1">
      <alignment horizontal="center"/>
    </xf>
    <xf numFmtId="0" fontId="42" fillId="2" borderId="29" xfId="0" applyFont="1" applyFill="1" applyBorder="1" applyAlignment="1">
      <alignment horizontal="center"/>
    </xf>
    <xf numFmtId="0" fontId="42" fillId="2" borderId="0" xfId="0" applyFont="1" applyFill="1" applyAlignment="1">
      <alignment horizontal="center"/>
    </xf>
    <xf numFmtId="0" fontId="42" fillId="10" borderId="29" xfId="0" applyFont="1" applyFill="1" applyBorder="1" applyAlignment="1">
      <alignment horizontal="center"/>
    </xf>
    <xf numFmtId="0" fontId="42" fillId="10" borderId="0" xfId="0" applyFont="1" applyFill="1" applyAlignment="1">
      <alignment horizontal="center"/>
    </xf>
    <xf numFmtId="0" fontId="2" fillId="0" borderId="0" xfId="0" applyFont="1" applyAlignment="1">
      <alignment vertical="center" wrapText="1"/>
    </xf>
    <xf numFmtId="0" fontId="28" fillId="0" borderId="0" xfId="1" applyAlignment="1" applyProtection="1">
      <alignment vertical="center" wrapText="1"/>
    </xf>
    <xf numFmtId="0" fontId="2" fillId="12" borderId="0" xfId="0" applyFont="1" applyFill="1" applyAlignment="1">
      <alignment horizontal="center" textRotation="90"/>
    </xf>
    <xf numFmtId="0" fontId="21" fillId="0" borderId="0" xfId="0" applyFont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7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5.wmf"/><Relationship Id="rId13" Type="http://schemas.openxmlformats.org/officeDocument/2006/relationships/image" Target="../media/image50.wmf"/><Relationship Id="rId3" Type="http://schemas.openxmlformats.org/officeDocument/2006/relationships/image" Target="../media/image40.emf"/><Relationship Id="rId7" Type="http://schemas.openxmlformats.org/officeDocument/2006/relationships/image" Target="../media/image44.wmf"/><Relationship Id="rId12" Type="http://schemas.openxmlformats.org/officeDocument/2006/relationships/image" Target="../media/image49.emf"/><Relationship Id="rId17" Type="http://schemas.openxmlformats.org/officeDocument/2006/relationships/image" Target="../media/image54.wmf"/><Relationship Id="rId2" Type="http://schemas.openxmlformats.org/officeDocument/2006/relationships/image" Target="../media/image39.emf"/><Relationship Id="rId16" Type="http://schemas.openxmlformats.org/officeDocument/2006/relationships/image" Target="../media/image53.wmf"/><Relationship Id="rId1" Type="http://schemas.openxmlformats.org/officeDocument/2006/relationships/image" Target="../media/image38.wmf"/><Relationship Id="rId6" Type="http://schemas.openxmlformats.org/officeDocument/2006/relationships/image" Target="../media/image43.wmf"/><Relationship Id="rId11" Type="http://schemas.openxmlformats.org/officeDocument/2006/relationships/image" Target="../media/image48.wmf"/><Relationship Id="rId5" Type="http://schemas.openxmlformats.org/officeDocument/2006/relationships/image" Target="../media/image42.wmf"/><Relationship Id="rId15" Type="http://schemas.openxmlformats.org/officeDocument/2006/relationships/image" Target="../media/image52.wmf"/><Relationship Id="rId10" Type="http://schemas.openxmlformats.org/officeDocument/2006/relationships/image" Target="../media/image47.wmf"/><Relationship Id="rId4" Type="http://schemas.openxmlformats.org/officeDocument/2006/relationships/image" Target="../media/image41.wmf"/><Relationship Id="rId9" Type="http://schemas.openxmlformats.org/officeDocument/2006/relationships/image" Target="../media/image46.png"/><Relationship Id="rId14" Type="http://schemas.openxmlformats.org/officeDocument/2006/relationships/image" Target="../media/image51.wmf"/></Relationships>
</file>

<file path=xl/drawings/_rels/vmlDrawing1.v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wmf"/><Relationship Id="rId18" Type="http://schemas.openxmlformats.org/officeDocument/2006/relationships/image" Target="../media/image18.wmf"/><Relationship Id="rId26" Type="http://schemas.openxmlformats.org/officeDocument/2006/relationships/image" Target="../media/image26.wmf"/><Relationship Id="rId21" Type="http://schemas.openxmlformats.org/officeDocument/2006/relationships/image" Target="../media/image21.wmf"/><Relationship Id="rId34" Type="http://schemas.openxmlformats.org/officeDocument/2006/relationships/image" Target="../media/image34.wmf"/><Relationship Id="rId7" Type="http://schemas.openxmlformats.org/officeDocument/2006/relationships/image" Target="../media/image7.wmf"/><Relationship Id="rId12" Type="http://schemas.openxmlformats.org/officeDocument/2006/relationships/image" Target="../media/image12.wmf"/><Relationship Id="rId17" Type="http://schemas.openxmlformats.org/officeDocument/2006/relationships/image" Target="../media/image17.wmf"/><Relationship Id="rId25" Type="http://schemas.openxmlformats.org/officeDocument/2006/relationships/image" Target="../media/image25.wmf"/><Relationship Id="rId33" Type="http://schemas.openxmlformats.org/officeDocument/2006/relationships/image" Target="../media/image33.wmf"/><Relationship Id="rId2" Type="http://schemas.openxmlformats.org/officeDocument/2006/relationships/image" Target="../media/image2.wmf"/><Relationship Id="rId16" Type="http://schemas.openxmlformats.org/officeDocument/2006/relationships/image" Target="../media/image16.wmf"/><Relationship Id="rId20" Type="http://schemas.openxmlformats.org/officeDocument/2006/relationships/image" Target="../media/image20.wmf"/><Relationship Id="rId29" Type="http://schemas.openxmlformats.org/officeDocument/2006/relationships/image" Target="../media/image29.emf"/><Relationship Id="rId1" Type="http://schemas.openxmlformats.org/officeDocument/2006/relationships/image" Target="../media/image1.wmf"/><Relationship Id="rId6" Type="http://schemas.openxmlformats.org/officeDocument/2006/relationships/image" Target="../media/image6.wmf"/><Relationship Id="rId11" Type="http://schemas.openxmlformats.org/officeDocument/2006/relationships/image" Target="../media/image11.wmf"/><Relationship Id="rId24" Type="http://schemas.openxmlformats.org/officeDocument/2006/relationships/image" Target="../media/image24.wmf"/><Relationship Id="rId32" Type="http://schemas.openxmlformats.org/officeDocument/2006/relationships/image" Target="../media/image32.wmf"/><Relationship Id="rId37" Type="http://schemas.openxmlformats.org/officeDocument/2006/relationships/image" Target="../media/image37.emf"/><Relationship Id="rId5" Type="http://schemas.openxmlformats.org/officeDocument/2006/relationships/image" Target="../media/image5.wmf"/><Relationship Id="rId15" Type="http://schemas.openxmlformats.org/officeDocument/2006/relationships/image" Target="../media/image15.wmf"/><Relationship Id="rId23" Type="http://schemas.openxmlformats.org/officeDocument/2006/relationships/image" Target="../media/image23.wmf"/><Relationship Id="rId28" Type="http://schemas.openxmlformats.org/officeDocument/2006/relationships/image" Target="../media/image28.wmf"/><Relationship Id="rId36" Type="http://schemas.openxmlformats.org/officeDocument/2006/relationships/image" Target="../media/image36.emf"/><Relationship Id="rId10" Type="http://schemas.openxmlformats.org/officeDocument/2006/relationships/image" Target="../media/image10.wmf"/><Relationship Id="rId19" Type="http://schemas.openxmlformats.org/officeDocument/2006/relationships/image" Target="../media/image19.wmf"/><Relationship Id="rId31" Type="http://schemas.openxmlformats.org/officeDocument/2006/relationships/image" Target="../media/image31.emf"/><Relationship Id="rId4" Type="http://schemas.openxmlformats.org/officeDocument/2006/relationships/image" Target="../media/image4.wmf"/><Relationship Id="rId9" Type="http://schemas.openxmlformats.org/officeDocument/2006/relationships/image" Target="../media/image9.wmf"/><Relationship Id="rId14" Type="http://schemas.openxmlformats.org/officeDocument/2006/relationships/image" Target="../media/image14.wmf"/><Relationship Id="rId22" Type="http://schemas.openxmlformats.org/officeDocument/2006/relationships/image" Target="../media/image22.wmf"/><Relationship Id="rId27" Type="http://schemas.openxmlformats.org/officeDocument/2006/relationships/image" Target="../media/image27.emf"/><Relationship Id="rId30" Type="http://schemas.openxmlformats.org/officeDocument/2006/relationships/image" Target="../media/image30.emf"/><Relationship Id="rId35" Type="http://schemas.openxmlformats.org/officeDocument/2006/relationships/image" Target="../media/image35.wmf"/><Relationship Id="rId8" Type="http://schemas.openxmlformats.org/officeDocument/2006/relationships/image" Target="../media/image8.wmf"/><Relationship Id="rId3" Type="http://schemas.openxmlformats.org/officeDocument/2006/relationships/image" Target="../media/image3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114300</xdr:colOff>
      <xdr:row>820</xdr:row>
      <xdr:rowOff>15240</xdr:rowOff>
    </xdr:from>
    <xdr:to>
      <xdr:col>5</xdr:col>
      <xdr:colOff>502920</xdr:colOff>
      <xdr:row>822</xdr:row>
      <xdr:rowOff>182880</xdr:rowOff>
    </xdr:to>
    <xdr:sp macro="" textlink="">
      <xdr:nvSpPr>
        <xdr:cNvPr id="11690" name="AutoShape 3547">
          <a:extLst>
            <a:ext uri="{FF2B5EF4-FFF2-40B4-BE49-F238E27FC236}">
              <a16:creationId xmlns:a16="http://schemas.microsoft.com/office/drawing/2014/main" id="{8D4F6AAF-5D8C-2DF3-BF40-49ABBD04DF4A}"/>
            </a:ext>
          </a:extLst>
        </xdr:cNvPr>
        <xdr:cNvSpPr>
          <a:spLocks noChangeAspect="1" noChangeArrowheads="1"/>
        </xdr:cNvSpPr>
      </xdr:nvSpPr>
      <xdr:spPr bwMode="auto">
        <a:xfrm>
          <a:off x="1562100" y="114841020"/>
          <a:ext cx="2484120" cy="6324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167640</xdr:colOff>
          <xdr:row>1240</xdr:row>
          <xdr:rowOff>76200</xdr:rowOff>
        </xdr:from>
        <xdr:to>
          <xdr:col>8</xdr:col>
          <xdr:colOff>198120</xdr:colOff>
          <xdr:row>1242</xdr:row>
          <xdr:rowOff>144780</xdr:rowOff>
        </xdr:to>
        <xdr:sp macro="" textlink="">
          <xdr:nvSpPr>
            <xdr:cNvPr id="4112" name="Object 16" hidden="1">
              <a:extLst>
                <a:ext uri="{63B3BB69-23CF-44E3-9099-C40C66FF867C}">
                  <a14:compatExt spid="_x0000_s4112"/>
                </a:ext>
                <a:ext uri="{FF2B5EF4-FFF2-40B4-BE49-F238E27FC236}">
                  <a16:creationId xmlns:a16="http://schemas.microsoft.com/office/drawing/2014/main" id="{E171ACD9-A3BA-8265-7810-FC879E4F51E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213360</xdr:colOff>
          <xdr:row>1243</xdr:row>
          <xdr:rowOff>15240</xdr:rowOff>
        </xdr:from>
        <xdr:to>
          <xdr:col>8</xdr:col>
          <xdr:colOff>373380</xdr:colOff>
          <xdr:row>1244</xdr:row>
          <xdr:rowOff>38100</xdr:rowOff>
        </xdr:to>
        <xdr:sp macro="" textlink="">
          <xdr:nvSpPr>
            <xdr:cNvPr id="4113" name="Object 17" hidden="1">
              <a:extLst>
                <a:ext uri="{63B3BB69-23CF-44E3-9099-C40C66FF867C}">
                  <a14:compatExt spid="_x0000_s4113"/>
                </a:ext>
                <a:ext uri="{FF2B5EF4-FFF2-40B4-BE49-F238E27FC236}">
                  <a16:creationId xmlns:a16="http://schemas.microsoft.com/office/drawing/2014/main" id="{7F63B577-4C5A-183D-CC86-8F5E1CF5DDA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571500</xdr:colOff>
          <xdr:row>1248</xdr:row>
          <xdr:rowOff>60960</xdr:rowOff>
        </xdr:from>
        <xdr:to>
          <xdr:col>4</xdr:col>
          <xdr:colOff>388620</xdr:colOff>
          <xdr:row>1250</xdr:row>
          <xdr:rowOff>144780</xdr:rowOff>
        </xdr:to>
        <xdr:sp macro="" textlink="">
          <xdr:nvSpPr>
            <xdr:cNvPr id="4114" name="Object 18" hidden="1">
              <a:extLst>
                <a:ext uri="{63B3BB69-23CF-44E3-9099-C40C66FF867C}">
                  <a14:compatExt spid="_x0000_s4114"/>
                </a:ext>
                <a:ext uri="{FF2B5EF4-FFF2-40B4-BE49-F238E27FC236}">
                  <a16:creationId xmlns:a16="http://schemas.microsoft.com/office/drawing/2014/main" id="{D114C199-71C6-CE80-3CEC-72174D3A002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594360</xdr:colOff>
          <xdr:row>1250</xdr:row>
          <xdr:rowOff>129540</xdr:rowOff>
        </xdr:from>
        <xdr:to>
          <xdr:col>3</xdr:col>
          <xdr:colOff>678180</xdr:colOff>
          <xdr:row>1252</xdr:row>
          <xdr:rowOff>144780</xdr:rowOff>
        </xdr:to>
        <xdr:sp macro="" textlink="">
          <xdr:nvSpPr>
            <xdr:cNvPr id="4115" name="Object 19" hidden="1">
              <a:extLst>
                <a:ext uri="{63B3BB69-23CF-44E3-9099-C40C66FF867C}">
                  <a14:compatExt spid="_x0000_s4115"/>
                </a:ext>
                <a:ext uri="{FF2B5EF4-FFF2-40B4-BE49-F238E27FC236}">
                  <a16:creationId xmlns:a16="http://schemas.microsoft.com/office/drawing/2014/main" id="{5777C767-76A7-C8DD-2122-6AB1996D925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624840</xdr:colOff>
          <xdr:row>883</xdr:row>
          <xdr:rowOff>83820</xdr:rowOff>
        </xdr:from>
        <xdr:to>
          <xdr:col>5</xdr:col>
          <xdr:colOff>541020</xdr:colOff>
          <xdr:row>885</xdr:row>
          <xdr:rowOff>152400</xdr:rowOff>
        </xdr:to>
        <xdr:sp macro="" textlink="">
          <xdr:nvSpPr>
            <xdr:cNvPr id="4118" name="Object 22" hidden="1">
              <a:extLst>
                <a:ext uri="{63B3BB69-23CF-44E3-9099-C40C66FF867C}">
                  <a14:compatExt spid="_x0000_s4118"/>
                </a:ext>
                <a:ext uri="{FF2B5EF4-FFF2-40B4-BE49-F238E27FC236}">
                  <a16:creationId xmlns:a16="http://schemas.microsoft.com/office/drawing/2014/main" id="{307C8859-8710-D583-D463-8A4760B7B23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114300</xdr:colOff>
          <xdr:row>1099</xdr:row>
          <xdr:rowOff>190500</xdr:rowOff>
        </xdr:from>
        <xdr:to>
          <xdr:col>5</xdr:col>
          <xdr:colOff>502920</xdr:colOff>
          <xdr:row>1101</xdr:row>
          <xdr:rowOff>213360</xdr:rowOff>
        </xdr:to>
        <xdr:sp macro="" textlink="">
          <xdr:nvSpPr>
            <xdr:cNvPr id="4120" name="Object 24" hidden="1">
              <a:extLst>
                <a:ext uri="{63B3BB69-23CF-44E3-9099-C40C66FF867C}">
                  <a14:compatExt spid="_x0000_s4120"/>
                </a:ext>
                <a:ext uri="{FF2B5EF4-FFF2-40B4-BE49-F238E27FC236}">
                  <a16:creationId xmlns:a16="http://schemas.microsoft.com/office/drawing/2014/main" id="{164CA0C8-9801-7AC0-ACE4-D14988539DB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167640</xdr:colOff>
          <xdr:row>1110</xdr:row>
          <xdr:rowOff>45720</xdr:rowOff>
        </xdr:from>
        <xdr:to>
          <xdr:col>7</xdr:col>
          <xdr:colOff>60960</xdr:colOff>
          <xdr:row>1113</xdr:row>
          <xdr:rowOff>160020</xdr:rowOff>
        </xdr:to>
        <xdr:sp macro="" textlink="">
          <xdr:nvSpPr>
            <xdr:cNvPr id="4124" name="Object 28" hidden="1">
              <a:extLst>
                <a:ext uri="{63B3BB69-23CF-44E3-9099-C40C66FF867C}">
                  <a14:compatExt spid="_x0000_s4124"/>
                </a:ext>
                <a:ext uri="{FF2B5EF4-FFF2-40B4-BE49-F238E27FC236}">
                  <a16:creationId xmlns:a16="http://schemas.microsoft.com/office/drawing/2014/main" id="{6544676A-6EDD-E409-7A01-9E54B850F59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335280</xdr:colOff>
          <xdr:row>1315</xdr:row>
          <xdr:rowOff>45720</xdr:rowOff>
        </xdr:from>
        <xdr:to>
          <xdr:col>8</xdr:col>
          <xdr:colOff>0</xdr:colOff>
          <xdr:row>1317</xdr:row>
          <xdr:rowOff>137160</xdr:rowOff>
        </xdr:to>
        <xdr:sp macro="" textlink="">
          <xdr:nvSpPr>
            <xdr:cNvPr id="4125" name="Object 29" hidden="1">
              <a:extLst>
                <a:ext uri="{63B3BB69-23CF-44E3-9099-C40C66FF867C}">
                  <a14:compatExt spid="_x0000_s4125"/>
                </a:ext>
                <a:ext uri="{FF2B5EF4-FFF2-40B4-BE49-F238E27FC236}">
                  <a16:creationId xmlns:a16="http://schemas.microsoft.com/office/drawing/2014/main" id="{F5EE4EDC-231C-7155-0C38-9C9942E729D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381000</xdr:colOff>
          <xdr:row>1356</xdr:row>
          <xdr:rowOff>0</xdr:rowOff>
        </xdr:from>
        <xdr:to>
          <xdr:col>8</xdr:col>
          <xdr:colOff>281940</xdr:colOff>
          <xdr:row>1357</xdr:row>
          <xdr:rowOff>15240</xdr:rowOff>
        </xdr:to>
        <xdr:sp macro="" textlink="">
          <xdr:nvSpPr>
            <xdr:cNvPr id="4126" name="Object 30" hidden="1">
              <a:extLst>
                <a:ext uri="{63B3BB69-23CF-44E3-9099-C40C66FF867C}">
                  <a14:compatExt spid="_x0000_s4126"/>
                </a:ext>
                <a:ext uri="{FF2B5EF4-FFF2-40B4-BE49-F238E27FC236}">
                  <a16:creationId xmlns:a16="http://schemas.microsoft.com/office/drawing/2014/main" id="{947BE399-5115-1B90-BBA5-DDEDA48EA1D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579120</xdr:colOff>
          <xdr:row>1358</xdr:row>
          <xdr:rowOff>45720</xdr:rowOff>
        </xdr:from>
        <xdr:to>
          <xdr:col>6</xdr:col>
          <xdr:colOff>304800</xdr:colOff>
          <xdr:row>1360</xdr:row>
          <xdr:rowOff>213360</xdr:rowOff>
        </xdr:to>
        <xdr:sp macro="" textlink="">
          <xdr:nvSpPr>
            <xdr:cNvPr id="4127" name="Object 31" hidden="1">
              <a:extLst>
                <a:ext uri="{63B3BB69-23CF-44E3-9099-C40C66FF867C}">
                  <a14:compatExt spid="_x0000_s4127"/>
                </a:ext>
                <a:ext uri="{FF2B5EF4-FFF2-40B4-BE49-F238E27FC236}">
                  <a16:creationId xmlns:a16="http://schemas.microsoft.com/office/drawing/2014/main" id="{64F33361-0B19-FE23-11AA-058309900B3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556260</xdr:colOff>
          <xdr:row>1361</xdr:row>
          <xdr:rowOff>15240</xdr:rowOff>
        </xdr:from>
        <xdr:to>
          <xdr:col>6</xdr:col>
          <xdr:colOff>289560</xdr:colOff>
          <xdr:row>1363</xdr:row>
          <xdr:rowOff>175260</xdr:rowOff>
        </xdr:to>
        <xdr:sp macro="" textlink="">
          <xdr:nvSpPr>
            <xdr:cNvPr id="4128" name="Object 32" hidden="1">
              <a:extLst>
                <a:ext uri="{63B3BB69-23CF-44E3-9099-C40C66FF867C}">
                  <a14:compatExt spid="_x0000_s4128"/>
                </a:ext>
                <a:ext uri="{FF2B5EF4-FFF2-40B4-BE49-F238E27FC236}">
                  <a16:creationId xmlns:a16="http://schemas.microsoft.com/office/drawing/2014/main" id="{5F18F6BA-EF9B-CC73-0189-991706234CD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213360</xdr:colOff>
          <xdr:row>1365</xdr:row>
          <xdr:rowOff>38100</xdr:rowOff>
        </xdr:from>
        <xdr:to>
          <xdr:col>7</xdr:col>
          <xdr:colOff>335280</xdr:colOff>
          <xdr:row>1367</xdr:row>
          <xdr:rowOff>167640</xdr:rowOff>
        </xdr:to>
        <xdr:sp macro="" textlink="">
          <xdr:nvSpPr>
            <xdr:cNvPr id="4129" name="Object 33" hidden="1">
              <a:extLst>
                <a:ext uri="{63B3BB69-23CF-44E3-9099-C40C66FF867C}">
                  <a14:compatExt spid="_x0000_s4129"/>
                </a:ext>
                <a:ext uri="{FF2B5EF4-FFF2-40B4-BE49-F238E27FC236}">
                  <a16:creationId xmlns:a16="http://schemas.microsoft.com/office/drawing/2014/main" id="{953BD9A3-C08D-D995-248D-C9DBAB274FA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175260</xdr:colOff>
          <xdr:row>1368</xdr:row>
          <xdr:rowOff>60960</xdr:rowOff>
        </xdr:from>
        <xdr:to>
          <xdr:col>6</xdr:col>
          <xdr:colOff>91440</xdr:colOff>
          <xdr:row>1370</xdr:row>
          <xdr:rowOff>175260</xdr:rowOff>
        </xdr:to>
        <xdr:sp macro="" textlink="">
          <xdr:nvSpPr>
            <xdr:cNvPr id="4130" name="Object 34" hidden="1">
              <a:extLst>
                <a:ext uri="{63B3BB69-23CF-44E3-9099-C40C66FF867C}">
                  <a14:compatExt spid="_x0000_s4130"/>
                </a:ext>
                <a:ext uri="{FF2B5EF4-FFF2-40B4-BE49-F238E27FC236}">
                  <a16:creationId xmlns:a16="http://schemas.microsoft.com/office/drawing/2014/main" id="{1B3D7B5B-053E-5F01-D211-E1570FDF9CF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381000</xdr:colOff>
          <xdr:row>1353</xdr:row>
          <xdr:rowOff>213360</xdr:rowOff>
        </xdr:from>
        <xdr:to>
          <xdr:col>9</xdr:col>
          <xdr:colOff>0</xdr:colOff>
          <xdr:row>1355</xdr:row>
          <xdr:rowOff>7620</xdr:rowOff>
        </xdr:to>
        <xdr:sp macro="" textlink="">
          <xdr:nvSpPr>
            <xdr:cNvPr id="4132" name="Object 36" hidden="1">
              <a:extLst>
                <a:ext uri="{63B3BB69-23CF-44E3-9099-C40C66FF867C}">
                  <a14:compatExt spid="_x0000_s4132"/>
                </a:ext>
                <a:ext uri="{FF2B5EF4-FFF2-40B4-BE49-F238E27FC236}">
                  <a16:creationId xmlns:a16="http://schemas.microsoft.com/office/drawing/2014/main" id="{CD304F1A-59D7-ED55-E0BD-52F14FB3198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91440</xdr:colOff>
          <xdr:row>617</xdr:row>
          <xdr:rowOff>76200</xdr:rowOff>
        </xdr:from>
        <xdr:to>
          <xdr:col>5</xdr:col>
          <xdr:colOff>434340</xdr:colOff>
          <xdr:row>618</xdr:row>
          <xdr:rowOff>160020</xdr:rowOff>
        </xdr:to>
        <xdr:sp macro="" textlink="">
          <xdr:nvSpPr>
            <xdr:cNvPr id="4142" name="Object 46" hidden="1">
              <a:extLst>
                <a:ext uri="{63B3BB69-23CF-44E3-9099-C40C66FF867C}">
                  <a14:compatExt spid="_x0000_s4142"/>
                </a:ext>
                <a:ext uri="{FF2B5EF4-FFF2-40B4-BE49-F238E27FC236}">
                  <a16:creationId xmlns:a16="http://schemas.microsoft.com/office/drawing/2014/main" id="{B7B42E7C-0126-8B08-AB64-506D186CC50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38100</xdr:colOff>
          <xdr:row>633</xdr:row>
          <xdr:rowOff>0</xdr:rowOff>
        </xdr:from>
        <xdr:to>
          <xdr:col>7</xdr:col>
          <xdr:colOff>38100</xdr:colOff>
          <xdr:row>637</xdr:row>
          <xdr:rowOff>0</xdr:rowOff>
        </xdr:to>
        <xdr:sp macro="" textlink="">
          <xdr:nvSpPr>
            <xdr:cNvPr id="4143" name="Object 47" hidden="1">
              <a:extLst>
                <a:ext uri="{63B3BB69-23CF-44E3-9099-C40C66FF867C}">
                  <a14:compatExt spid="_x0000_s4143"/>
                </a:ext>
                <a:ext uri="{FF2B5EF4-FFF2-40B4-BE49-F238E27FC236}">
                  <a16:creationId xmlns:a16="http://schemas.microsoft.com/office/drawing/2014/main" id="{01C6E9F1-E45C-DF15-6F30-F69077D7619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533400</xdr:colOff>
          <xdr:row>1351</xdr:row>
          <xdr:rowOff>83820</xdr:rowOff>
        </xdr:from>
        <xdr:to>
          <xdr:col>7</xdr:col>
          <xdr:colOff>594360</xdr:colOff>
          <xdr:row>1353</xdr:row>
          <xdr:rowOff>160020</xdr:rowOff>
        </xdr:to>
        <xdr:sp macro="" textlink="">
          <xdr:nvSpPr>
            <xdr:cNvPr id="4150" name="Object 54" hidden="1">
              <a:extLst>
                <a:ext uri="{63B3BB69-23CF-44E3-9099-C40C66FF867C}">
                  <a14:compatExt spid="_x0000_s4150"/>
                </a:ext>
                <a:ext uri="{FF2B5EF4-FFF2-40B4-BE49-F238E27FC236}">
                  <a16:creationId xmlns:a16="http://schemas.microsoft.com/office/drawing/2014/main" id="{9F741333-2215-10C7-D66E-82186822EB4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160020</xdr:colOff>
          <xdr:row>1379</xdr:row>
          <xdr:rowOff>60960</xdr:rowOff>
        </xdr:from>
        <xdr:to>
          <xdr:col>6</xdr:col>
          <xdr:colOff>350520</xdr:colOff>
          <xdr:row>1381</xdr:row>
          <xdr:rowOff>137160</xdr:rowOff>
        </xdr:to>
        <xdr:sp macro="" textlink="">
          <xdr:nvSpPr>
            <xdr:cNvPr id="4152" name="Object 56" hidden="1">
              <a:extLst>
                <a:ext uri="{63B3BB69-23CF-44E3-9099-C40C66FF867C}">
                  <a14:compatExt spid="_x0000_s4152"/>
                </a:ext>
                <a:ext uri="{FF2B5EF4-FFF2-40B4-BE49-F238E27FC236}">
                  <a16:creationId xmlns:a16="http://schemas.microsoft.com/office/drawing/2014/main" id="{BFAC9295-59AF-B72A-BFE3-2CB26D09A1A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213360</xdr:colOff>
          <xdr:row>1383</xdr:row>
          <xdr:rowOff>106680</xdr:rowOff>
        </xdr:from>
        <xdr:to>
          <xdr:col>6</xdr:col>
          <xdr:colOff>419100</xdr:colOff>
          <xdr:row>1386</xdr:row>
          <xdr:rowOff>60960</xdr:rowOff>
        </xdr:to>
        <xdr:sp macro="" textlink="">
          <xdr:nvSpPr>
            <xdr:cNvPr id="4153" name="Object 57" hidden="1">
              <a:extLst>
                <a:ext uri="{63B3BB69-23CF-44E3-9099-C40C66FF867C}">
                  <a14:compatExt spid="_x0000_s4153"/>
                </a:ext>
                <a:ext uri="{FF2B5EF4-FFF2-40B4-BE49-F238E27FC236}">
                  <a16:creationId xmlns:a16="http://schemas.microsoft.com/office/drawing/2014/main" id="{3577ED16-3A73-5EE9-A39C-2840EC7EC00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510540</xdr:colOff>
          <xdr:row>1392</xdr:row>
          <xdr:rowOff>60960</xdr:rowOff>
        </xdr:from>
        <xdr:to>
          <xdr:col>6</xdr:col>
          <xdr:colOff>327660</xdr:colOff>
          <xdr:row>1394</xdr:row>
          <xdr:rowOff>175260</xdr:rowOff>
        </xdr:to>
        <xdr:sp macro="" textlink="">
          <xdr:nvSpPr>
            <xdr:cNvPr id="4154" name="Object 58" hidden="1">
              <a:extLst>
                <a:ext uri="{63B3BB69-23CF-44E3-9099-C40C66FF867C}">
                  <a14:compatExt spid="_x0000_s4154"/>
                </a:ext>
                <a:ext uri="{FF2B5EF4-FFF2-40B4-BE49-F238E27FC236}">
                  <a16:creationId xmlns:a16="http://schemas.microsoft.com/office/drawing/2014/main" id="{48E55E80-299F-08B5-9D72-807CEA0904A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205740</xdr:colOff>
      <xdr:row>1200</xdr:row>
      <xdr:rowOff>0</xdr:rowOff>
    </xdr:from>
    <xdr:to>
      <xdr:col>3</xdr:col>
      <xdr:colOff>609600</xdr:colOff>
      <xdr:row>1205</xdr:row>
      <xdr:rowOff>15240</xdr:rowOff>
    </xdr:to>
    <xdr:pic>
      <xdr:nvPicPr>
        <xdr:cNvPr id="11691" name="Picture 65" descr="Еркер">
          <a:extLst>
            <a:ext uri="{FF2B5EF4-FFF2-40B4-BE49-F238E27FC236}">
              <a16:creationId xmlns:a16="http://schemas.microsoft.com/office/drawing/2014/main" id="{FBD89E87-4C3D-5F78-AF96-FAAC3385F1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7094" r="23734" b="25970"/>
        <a:stretch>
          <a:fillRect/>
        </a:stretch>
      </xdr:blipFill>
      <xdr:spPr bwMode="auto">
        <a:xfrm>
          <a:off x="205740" y="196740780"/>
          <a:ext cx="2362200" cy="11201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1139</xdr:row>
      <xdr:rowOff>7620</xdr:rowOff>
    </xdr:from>
    <xdr:to>
      <xdr:col>3</xdr:col>
      <xdr:colOff>746760</xdr:colOff>
      <xdr:row>1144</xdr:row>
      <xdr:rowOff>129540</xdr:rowOff>
    </xdr:to>
    <xdr:pic>
      <xdr:nvPicPr>
        <xdr:cNvPr id="11692" name="Picture 67">
          <a:extLst>
            <a:ext uri="{FF2B5EF4-FFF2-40B4-BE49-F238E27FC236}">
              <a16:creationId xmlns:a16="http://schemas.microsoft.com/office/drawing/2014/main" id="{090AAF13-4677-98FB-07C3-360B64AF06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0811" r="24159" b="35135"/>
        <a:stretch>
          <a:fillRect/>
        </a:stretch>
      </xdr:blipFill>
      <xdr:spPr bwMode="auto">
        <a:xfrm>
          <a:off x="0" y="182918100"/>
          <a:ext cx="2705100" cy="1226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441960</xdr:colOff>
          <xdr:row>1260</xdr:row>
          <xdr:rowOff>91440</xdr:rowOff>
        </xdr:from>
        <xdr:to>
          <xdr:col>5</xdr:col>
          <xdr:colOff>129540</xdr:colOff>
          <xdr:row>1263</xdr:row>
          <xdr:rowOff>15240</xdr:rowOff>
        </xdr:to>
        <xdr:sp macro="" textlink="">
          <xdr:nvSpPr>
            <xdr:cNvPr id="4173" name="Object 77" hidden="1">
              <a:extLst>
                <a:ext uri="{63B3BB69-23CF-44E3-9099-C40C66FF867C}">
                  <a14:compatExt spid="_x0000_s4173"/>
                </a:ext>
                <a:ext uri="{FF2B5EF4-FFF2-40B4-BE49-F238E27FC236}">
                  <a16:creationId xmlns:a16="http://schemas.microsoft.com/office/drawing/2014/main" id="{93DFFA23-6E34-65E2-C68F-83E0FA1B9C3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106680</xdr:colOff>
          <xdr:row>1260</xdr:row>
          <xdr:rowOff>45720</xdr:rowOff>
        </xdr:from>
        <xdr:to>
          <xdr:col>11</xdr:col>
          <xdr:colOff>411480</xdr:colOff>
          <xdr:row>1263</xdr:row>
          <xdr:rowOff>0</xdr:rowOff>
        </xdr:to>
        <xdr:sp macro="" textlink="">
          <xdr:nvSpPr>
            <xdr:cNvPr id="4174" name="Object 78" hidden="1">
              <a:extLst>
                <a:ext uri="{63B3BB69-23CF-44E3-9099-C40C66FF867C}">
                  <a14:compatExt spid="_x0000_s4174"/>
                </a:ext>
                <a:ext uri="{FF2B5EF4-FFF2-40B4-BE49-F238E27FC236}">
                  <a16:creationId xmlns:a16="http://schemas.microsoft.com/office/drawing/2014/main" id="{602DA30D-2EED-A7A5-B5BA-DB0295C8ACD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304800</xdr:colOff>
          <xdr:row>1237</xdr:row>
          <xdr:rowOff>53340</xdr:rowOff>
        </xdr:from>
        <xdr:to>
          <xdr:col>4</xdr:col>
          <xdr:colOff>312420</xdr:colOff>
          <xdr:row>1238</xdr:row>
          <xdr:rowOff>175260</xdr:rowOff>
        </xdr:to>
        <xdr:sp macro="" textlink="">
          <xdr:nvSpPr>
            <xdr:cNvPr id="4175" name="Object 79" hidden="1">
              <a:extLst>
                <a:ext uri="{63B3BB69-23CF-44E3-9099-C40C66FF867C}">
                  <a14:compatExt spid="_x0000_s4175"/>
                </a:ext>
                <a:ext uri="{FF2B5EF4-FFF2-40B4-BE49-F238E27FC236}">
                  <a16:creationId xmlns:a16="http://schemas.microsoft.com/office/drawing/2014/main" id="{DFE9B89E-28D7-D7A8-134A-CD66ADF7730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312420</xdr:colOff>
          <xdr:row>1265</xdr:row>
          <xdr:rowOff>76200</xdr:rowOff>
        </xdr:from>
        <xdr:to>
          <xdr:col>5</xdr:col>
          <xdr:colOff>266700</xdr:colOff>
          <xdr:row>1267</xdr:row>
          <xdr:rowOff>167640</xdr:rowOff>
        </xdr:to>
        <xdr:sp macro="" textlink="">
          <xdr:nvSpPr>
            <xdr:cNvPr id="4176" name="Object 80" hidden="1">
              <a:extLst>
                <a:ext uri="{63B3BB69-23CF-44E3-9099-C40C66FF867C}">
                  <a14:compatExt spid="_x0000_s4176"/>
                </a:ext>
                <a:ext uri="{FF2B5EF4-FFF2-40B4-BE49-F238E27FC236}">
                  <a16:creationId xmlns:a16="http://schemas.microsoft.com/office/drawing/2014/main" id="{52FF983C-731F-7CF5-5E4C-DAD2EE8E8C1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563880</xdr:colOff>
          <xdr:row>675</xdr:row>
          <xdr:rowOff>76200</xdr:rowOff>
        </xdr:from>
        <xdr:to>
          <xdr:col>11</xdr:col>
          <xdr:colOff>68580</xdr:colOff>
          <xdr:row>676</xdr:row>
          <xdr:rowOff>182880</xdr:rowOff>
        </xdr:to>
        <xdr:sp macro="" textlink="">
          <xdr:nvSpPr>
            <xdr:cNvPr id="4177" name="Object 81" hidden="1">
              <a:extLst>
                <a:ext uri="{63B3BB69-23CF-44E3-9099-C40C66FF867C}">
                  <a14:compatExt spid="_x0000_s4177"/>
                </a:ext>
                <a:ext uri="{FF2B5EF4-FFF2-40B4-BE49-F238E27FC236}">
                  <a16:creationId xmlns:a16="http://schemas.microsoft.com/office/drawing/2014/main" id="{BD2B3C46-8F5F-57B1-74C4-C01F9EFFC80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297180</xdr:colOff>
          <xdr:row>675</xdr:row>
          <xdr:rowOff>76200</xdr:rowOff>
        </xdr:from>
        <xdr:to>
          <xdr:col>5</xdr:col>
          <xdr:colOff>297180</xdr:colOff>
          <xdr:row>676</xdr:row>
          <xdr:rowOff>190500</xdr:rowOff>
        </xdr:to>
        <xdr:sp macro="" textlink="">
          <xdr:nvSpPr>
            <xdr:cNvPr id="4178" name="Object 82" hidden="1">
              <a:extLst>
                <a:ext uri="{63B3BB69-23CF-44E3-9099-C40C66FF867C}">
                  <a14:compatExt spid="_x0000_s4178"/>
                </a:ext>
                <a:ext uri="{FF2B5EF4-FFF2-40B4-BE49-F238E27FC236}">
                  <a16:creationId xmlns:a16="http://schemas.microsoft.com/office/drawing/2014/main" id="{DFC4C109-2706-1185-F39B-89D8E803C5A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137160</xdr:colOff>
          <xdr:row>664</xdr:row>
          <xdr:rowOff>60960</xdr:rowOff>
        </xdr:from>
        <xdr:to>
          <xdr:col>6</xdr:col>
          <xdr:colOff>556260</xdr:colOff>
          <xdr:row>665</xdr:row>
          <xdr:rowOff>190500</xdr:rowOff>
        </xdr:to>
        <xdr:sp macro="" textlink="">
          <xdr:nvSpPr>
            <xdr:cNvPr id="4179" name="Object 83" hidden="1">
              <a:extLst>
                <a:ext uri="{63B3BB69-23CF-44E3-9099-C40C66FF867C}">
                  <a14:compatExt spid="_x0000_s4179"/>
                </a:ext>
                <a:ext uri="{FF2B5EF4-FFF2-40B4-BE49-F238E27FC236}">
                  <a16:creationId xmlns:a16="http://schemas.microsoft.com/office/drawing/2014/main" id="{12D64BC3-4930-BCEA-4901-D3EEB3B2B8E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7620</xdr:colOff>
          <xdr:row>686</xdr:row>
          <xdr:rowOff>60960</xdr:rowOff>
        </xdr:from>
        <xdr:to>
          <xdr:col>7</xdr:col>
          <xdr:colOff>259080</xdr:colOff>
          <xdr:row>687</xdr:row>
          <xdr:rowOff>152400</xdr:rowOff>
        </xdr:to>
        <xdr:sp macro="" textlink="">
          <xdr:nvSpPr>
            <xdr:cNvPr id="4180" name="Object 84" hidden="1">
              <a:extLst>
                <a:ext uri="{63B3BB69-23CF-44E3-9099-C40C66FF867C}">
                  <a14:compatExt spid="_x0000_s4180"/>
                </a:ext>
                <a:ext uri="{FF2B5EF4-FFF2-40B4-BE49-F238E27FC236}">
                  <a16:creationId xmlns:a16="http://schemas.microsoft.com/office/drawing/2014/main" id="{6C8FD2E5-2330-23B2-824D-D168082FC1C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 editAs="oneCell">
    <xdr:from>
      <xdr:col>2</xdr:col>
      <xdr:colOff>114300</xdr:colOff>
      <xdr:row>820</xdr:row>
      <xdr:rowOff>15240</xdr:rowOff>
    </xdr:from>
    <xdr:to>
      <xdr:col>5</xdr:col>
      <xdr:colOff>502920</xdr:colOff>
      <xdr:row>822</xdr:row>
      <xdr:rowOff>182880</xdr:rowOff>
    </xdr:to>
    <xdr:pic>
      <xdr:nvPicPr>
        <xdr:cNvPr id="11693" name="Picture 90">
          <a:extLst>
            <a:ext uri="{FF2B5EF4-FFF2-40B4-BE49-F238E27FC236}">
              <a16:creationId xmlns:a16="http://schemas.microsoft.com/office/drawing/2014/main" id="{E0CC5396-FBB7-6E41-E5B6-3F698D999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2100" y="114841020"/>
          <a:ext cx="2484120" cy="6324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167640</xdr:colOff>
          <xdr:row>833</xdr:row>
          <xdr:rowOff>0</xdr:rowOff>
        </xdr:from>
        <xdr:to>
          <xdr:col>4</xdr:col>
          <xdr:colOff>335280</xdr:colOff>
          <xdr:row>835</xdr:row>
          <xdr:rowOff>144780</xdr:rowOff>
        </xdr:to>
        <xdr:sp macro="" textlink="">
          <xdr:nvSpPr>
            <xdr:cNvPr id="4189" name="Object 93" hidden="1">
              <a:extLst>
                <a:ext uri="{63B3BB69-23CF-44E3-9099-C40C66FF867C}">
                  <a14:compatExt spid="_x0000_s4189"/>
                </a:ext>
                <a:ext uri="{FF2B5EF4-FFF2-40B4-BE49-F238E27FC236}">
                  <a16:creationId xmlns:a16="http://schemas.microsoft.com/office/drawing/2014/main" id="{10AA11DB-6977-F25B-CC2B-B89BFBAB12B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68580</xdr:colOff>
          <xdr:row>1090</xdr:row>
          <xdr:rowOff>236220</xdr:rowOff>
        </xdr:from>
        <xdr:to>
          <xdr:col>7</xdr:col>
          <xdr:colOff>396240</xdr:colOff>
          <xdr:row>1092</xdr:row>
          <xdr:rowOff>213360</xdr:rowOff>
        </xdr:to>
        <xdr:sp macro="" textlink="">
          <xdr:nvSpPr>
            <xdr:cNvPr id="4190" name="Object 94" hidden="1">
              <a:extLst>
                <a:ext uri="{63B3BB69-23CF-44E3-9099-C40C66FF867C}">
                  <a14:compatExt spid="_x0000_s4190"/>
                </a:ext>
                <a:ext uri="{FF2B5EF4-FFF2-40B4-BE49-F238E27FC236}">
                  <a16:creationId xmlns:a16="http://schemas.microsoft.com/office/drawing/2014/main" id="{19830434-5054-D6D3-B182-69B070476AA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594360</xdr:colOff>
          <xdr:row>852</xdr:row>
          <xdr:rowOff>15240</xdr:rowOff>
        </xdr:from>
        <xdr:to>
          <xdr:col>9</xdr:col>
          <xdr:colOff>236220</xdr:colOff>
          <xdr:row>854</xdr:row>
          <xdr:rowOff>190500</xdr:rowOff>
        </xdr:to>
        <xdr:sp macro="" textlink="">
          <xdr:nvSpPr>
            <xdr:cNvPr id="4191" name="Object 95" hidden="1">
              <a:extLst>
                <a:ext uri="{63B3BB69-23CF-44E3-9099-C40C66FF867C}">
                  <a14:compatExt spid="_x0000_s4191"/>
                </a:ext>
                <a:ext uri="{FF2B5EF4-FFF2-40B4-BE49-F238E27FC236}">
                  <a16:creationId xmlns:a16="http://schemas.microsoft.com/office/drawing/2014/main" id="{2471473B-BAF4-C1E8-ECB2-78FDF1F5C26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487680</xdr:colOff>
          <xdr:row>871</xdr:row>
          <xdr:rowOff>15240</xdr:rowOff>
        </xdr:from>
        <xdr:to>
          <xdr:col>8</xdr:col>
          <xdr:colOff>640080</xdr:colOff>
          <xdr:row>874</xdr:row>
          <xdr:rowOff>182880</xdr:rowOff>
        </xdr:to>
        <xdr:sp macro="" textlink="">
          <xdr:nvSpPr>
            <xdr:cNvPr id="4192" name="Object 96" hidden="1">
              <a:extLst>
                <a:ext uri="{63B3BB69-23CF-44E3-9099-C40C66FF867C}">
                  <a14:compatExt spid="_x0000_s4192"/>
                </a:ext>
                <a:ext uri="{FF2B5EF4-FFF2-40B4-BE49-F238E27FC236}">
                  <a16:creationId xmlns:a16="http://schemas.microsoft.com/office/drawing/2014/main" id="{27331354-3248-2030-DE2A-2760BEF1488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xdr:twoCellAnchor editAs="oneCell">
    <xdr:from>
      <xdr:col>0</xdr:col>
      <xdr:colOff>312420</xdr:colOff>
      <xdr:row>1152</xdr:row>
      <xdr:rowOff>7620</xdr:rowOff>
    </xdr:from>
    <xdr:to>
      <xdr:col>2</xdr:col>
      <xdr:colOff>434340</xdr:colOff>
      <xdr:row>1158</xdr:row>
      <xdr:rowOff>205740</xdr:rowOff>
    </xdr:to>
    <xdr:pic>
      <xdr:nvPicPr>
        <xdr:cNvPr id="11694" name="Picture 108" descr="външна стена">
          <a:extLst>
            <a:ext uri="{FF2B5EF4-FFF2-40B4-BE49-F238E27FC236}">
              <a16:creationId xmlns:a16="http://schemas.microsoft.com/office/drawing/2014/main" id="{54CBCCA9-B0DA-0D32-335E-3F844A3A0A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51" r="23566"/>
        <a:stretch>
          <a:fillRect/>
        </a:stretch>
      </xdr:blipFill>
      <xdr:spPr bwMode="auto">
        <a:xfrm>
          <a:off x="312420" y="185867040"/>
          <a:ext cx="1569720" cy="1524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1272</xdr:row>
      <xdr:rowOff>167640</xdr:rowOff>
    </xdr:from>
    <xdr:to>
      <xdr:col>3</xdr:col>
      <xdr:colOff>723900</xdr:colOff>
      <xdr:row>1277</xdr:row>
      <xdr:rowOff>129540</xdr:rowOff>
    </xdr:to>
    <xdr:pic>
      <xdr:nvPicPr>
        <xdr:cNvPr id="11695" name="Picture 110" descr="Под над неотопляемо помещение">
          <a:extLst>
            <a:ext uri="{FF2B5EF4-FFF2-40B4-BE49-F238E27FC236}">
              <a16:creationId xmlns:a16="http://schemas.microsoft.com/office/drawing/2014/main" id="{6AD522FC-E1EF-1C8F-CB94-99568AB96D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710" r="24306" b="26973"/>
        <a:stretch>
          <a:fillRect/>
        </a:stretch>
      </xdr:blipFill>
      <xdr:spPr bwMode="auto">
        <a:xfrm>
          <a:off x="38100" y="213184740"/>
          <a:ext cx="2644140" cy="106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</xdr:colOff>
      <xdr:row>1284</xdr:row>
      <xdr:rowOff>114300</xdr:rowOff>
    </xdr:from>
    <xdr:to>
      <xdr:col>2</xdr:col>
      <xdr:colOff>502920</xdr:colOff>
      <xdr:row>1288</xdr:row>
      <xdr:rowOff>137160</xdr:rowOff>
    </xdr:to>
    <xdr:pic>
      <xdr:nvPicPr>
        <xdr:cNvPr id="11696" name="Picture 133" descr="външна стена земя">
          <a:extLst>
            <a:ext uri="{FF2B5EF4-FFF2-40B4-BE49-F238E27FC236}">
              <a16:creationId xmlns:a16="http://schemas.microsoft.com/office/drawing/2014/main" id="{8C33DC74-4A2A-4050-4068-ACF00DBF83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499" r="25278" b="35294"/>
        <a:stretch>
          <a:fillRect/>
        </a:stretch>
      </xdr:blipFill>
      <xdr:spPr bwMode="auto">
        <a:xfrm>
          <a:off x="701040" y="215783160"/>
          <a:ext cx="1249680" cy="9067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114300</xdr:colOff>
      <xdr:row>1294</xdr:row>
      <xdr:rowOff>190500</xdr:rowOff>
    </xdr:from>
    <xdr:to>
      <xdr:col>3</xdr:col>
      <xdr:colOff>655320</xdr:colOff>
      <xdr:row>1299</xdr:row>
      <xdr:rowOff>83820</xdr:rowOff>
    </xdr:to>
    <xdr:pic>
      <xdr:nvPicPr>
        <xdr:cNvPr id="11697" name="Picture 134" descr="под над земя 5">
          <a:extLst>
            <a:ext uri="{FF2B5EF4-FFF2-40B4-BE49-F238E27FC236}">
              <a16:creationId xmlns:a16="http://schemas.microsoft.com/office/drawing/2014/main" id="{73E298C1-AB05-5820-B7DE-790DDCD01D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3096" r="24445" b="20639"/>
        <a:stretch>
          <a:fillRect/>
        </a:stretch>
      </xdr:blipFill>
      <xdr:spPr bwMode="auto">
        <a:xfrm>
          <a:off x="114300" y="218069160"/>
          <a:ext cx="2499360" cy="9982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114300</xdr:colOff>
      <xdr:row>1121</xdr:row>
      <xdr:rowOff>129540</xdr:rowOff>
    </xdr:from>
    <xdr:to>
      <xdr:col>3</xdr:col>
      <xdr:colOff>723900</xdr:colOff>
      <xdr:row>1127</xdr:row>
      <xdr:rowOff>167640</xdr:rowOff>
    </xdr:to>
    <xdr:pic>
      <xdr:nvPicPr>
        <xdr:cNvPr id="11698" name="Picture 137" descr="скатен обитаем">
          <a:extLst>
            <a:ext uri="{FF2B5EF4-FFF2-40B4-BE49-F238E27FC236}">
              <a16:creationId xmlns:a16="http://schemas.microsoft.com/office/drawing/2014/main" id="{158CAE99-AC21-DEE6-6532-CBBA144374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178986180"/>
          <a:ext cx="2567940" cy="1363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205740</xdr:colOff>
      <xdr:row>1049</xdr:row>
      <xdr:rowOff>114300</xdr:rowOff>
    </xdr:from>
    <xdr:to>
      <xdr:col>7</xdr:col>
      <xdr:colOff>594360</xdr:colOff>
      <xdr:row>1057</xdr:row>
      <xdr:rowOff>182880</xdr:rowOff>
    </xdr:to>
    <xdr:pic>
      <xdr:nvPicPr>
        <xdr:cNvPr id="11699" name="Picture 149">
          <a:extLst>
            <a:ext uri="{FF2B5EF4-FFF2-40B4-BE49-F238E27FC236}">
              <a16:creationId xmlns:a16="http://schemas.microsoft.com/office/drawing/2014/main" id="{55ED7348-BF55-0061-EE4E-E8E9F0122A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64080" y="162930840"/>
          <a:ext cx="3177540" cy="183642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0</xdr:col>
      <xdr:colOff>198120</xdr:colOff>
      <xdr:row>1061</xdr:row>
      <xdr:rowOff>91440</xdr:rowOff>
    </xdr:from>
    <xdr:to>
      <xdr:col>3</xdr:col>
      <xdr:colOff>678180</xdr:colOff>
      <xdr:row>1067</xdr:row>
      <xdr:rowOff>76200</xdr:rowOff>
    </xdr:to>
    <xdr:pic>
      <xdr:nvPicPr>
        <xdr:cNvPr id="11700" name="Picture 150" descr="покрив необитаем - скат">
          <a:extLst>
            <a:ext uri="{FF2B5EF4-FFF2-40B4-BE49-F238E27FC236}">
              <a16:creationId xmlns:a16="http://schemas.microsoft.com/office/drawing/2014/main" id="{023636F6-ED7D-3A1B-7972-49D17AF961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120" y="165559740"/>
          <a:ext cx="2438400" cy="13106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167640</xdr:colOff>
      <xdr:row>1070</xdr:row>
      <xdr:rowOff>91440</xdr:rowOff>
    </xdr:from>
    <xdr:to>
      <xdr:col>3</xdr:col>
      <xdr:colOff>693420</xdr:colOff>
      <xdr:row>1077</xdr:row>
      <xdr:rowOff>83820</xdr:rowOff>
    </xdr:to>
    <xdr:pic>
      <xdr:nvPicPr>
        <xdr:cNvPr id="11701" name="Picture 151" descr="покрив необитаем - плоча">
          <a:extLst>
            <a:ext uri="{FF2B5EF4-FFF2-40B4-BE49-F238E27FC236}">
              <a16:creationId xmlns:a16="http://schemas.microsoft.com/office/drawing/2014/main" id="{5DF03FD5-1204-E5CD-1D07-1DFB76772B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640" y="167556180"/>
          <a:ext cx="2484120" cy="1325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144780</xdr:colOff>
      <xdr:row>1216</xdr:row>
      <xdr:rowOff>76200</xdr:rowOff>
    </xdr:from>
    <xdr:to>
      <xdr:col>3</xdr:col>
      <xdr:colOff>685800</xdr:colOff>
      <xdr:row>1220</xdr:row>
      <xdr:rowOff>182880</xdr:rowOff>
    </xdr:to>
    <xdr:pic>
      <xdr:nvPicPr>
        <xdr:cNvPr id="11702" name="Picture 152" descr="под над земя 5">
          <a:extLst>
            <a:ext uri="{FF2B5EF4-FFF2-40B4-BE49-F238E27FC236}">
              <a16:creationId xmlns:a16="http://schemas.microsoft.com/office/drawing/2014/main" id="{2A040E13-D711-B423-21F6-55565126A3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3096" r="24445" b="20639"/>
        <a:stretch>
          <a:fillRect/>
        </a:stretch>
      </xdr:blipFill>
      <xdr:spPr bwMode="auto">
        <a:xfrm>
          <a:off x="144780" y="200398380"/>
          <a:ext cx="2499360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106680</xdr:colOff>
      <xdr:row>1327</xdr:row>
      <xdr:rowOff>137160</xdr:rowOff>
    </xdr:from>
    <xdr:to>
      <xdr:col>3</xdr:col>
      <xdr:colOff>647700</xdr:colOff>
      <xdr:row>1332</xdr:row>
      <xdr:rowOff>30480</xdr:rowOff>
    </xdr:to>
    <xdr:pic>
      <xdr:nvPicPr>
        <xdr:cNvPr id="11703" name="Picture 153" descr="под над земя 5">
          <a:extLst>
            <a:ext uri="{FF2B5EF4-FFF2-40B4-BE49-F238E27FC236}">
              <a16:creationId xmlns:a16="http://schemas.microsoft.com/office/drawing/2014/main" id="{A89DFED7-4301-5356-A5A6-EE24BF6149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3096" r="24445" b="20639"/>
        <a:stretch>
          <a:fillRect/>
        </a:stretch>
      </xdr:blipFill>
      <xdr:spPr bwMode="auto">
        <a:xfrm>
          <a:off x="106680" y="225445320"/>
          <a:ext cx="2499360" cy="9982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320040</xdr:colOff>
      <xdr:row>1338</xdr:row>
      <xdr:rowOff>30480</xdr:rowOff>
    </xdr:from>
    <xdr:to>
      <xdr:col>3</xdr:col>
      <xdr:colOff>0</xdr:colOff>
      <xdr:row>1342</xdr:row>
      <xdr:rowOff>0</xdr:rowOff>
    </xdr:to>
    <xdr:pic>
      <xdr:nvPicPr>
        <xdr:cNvPr id="11704" name="Picture 154" descr="външна стена земя">
          <a:extLst>
            <a:ext uri="{FF2B5EF4-FFF2-40B4-BE49-F238E27FC236}">
              <a16:creationId xmlns:a16="http://schemas.microsoft.com/office/drawing/2014/main" id="{8FEF0407-BC19-DA38-0F7B-364CC73883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499" r="25278"/>
        <a:stretch>
          <a:fillRect/>
        </a:stretch>
      </xdr:blipFill>
      <xdr:spPr bwMode="auto">
        <a:xfrm>
          <a:off x="1013460" y="227769420"/>
          <a:ext cx="944880" cy="8534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312420</xdr:colOff>
      <xdr:row>1184</xdr:row>
      <xdr:rowOff>7620</xdr:rowOff>
    </xdr:from>
    <xdr:to>
      <xdr:col>2</xdr:col>
      <xdr:colOff>434340</xdr:colOff>
      <xdr:row>1190</xdr:row>
      <xdr:rowOff>205740</xdr:rowOff>
    </xdr:to>
    <xdr:pic>
      <xdr:nvPicPr>
        <xdr:cNvPr id="11705" name="Picture 164" descr="външна стена">
          <a:extLst>
            <a:ext uri="{FF2B5EF4-FFF2-40B4-BE49-F238E27FC236}">
              <a16:creationId xmlns:a16="http://schemas.microsoft.com/office/drawing/2014/main" id="{FC7DFA9E-E87C-85AA-0D9F-0E342037CD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51" r="23566"/>
        <a:stretch>
          <a:fillRect/>
        </a:stretch>
      </xdr:blipFill>
      <xdr:spPr bwMode="auto">
        <a:xfrm>
          <a:off x="312420" y="193128900"/>
          <a:ext cx="1569720" cy="1524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624840</xdr:colOff>
          <xdr:row>407</xdr:row>
          <xdr:rowOff>15240</xdr:rowOff>
        </xdr:from>
        <xdr:to>
          <xdr:col>6</xdr:col>
          <xdr:colOff>236220</xdr:colOff>
          <xdr:row>408</xdr:row>
          <xdr:rowOff>68580</xdr:rowOff>
        </xdr:to>
        <xdr:sp macro="" textlink="">
          <xdr:nvSpPr>
            <xdr:cNvPr id="4272" name="Object 176" hidden="1">
              <a:extLst>
                <a:ext uri="{63B3BB69-23CF-44E3-9099-C40C66FF867C}">
                  <a14:compatExt spid="_x0000_s4272"/>
                </a:ext>
                <a:ext uri="{FF2B5EF4-FFF2-40B4-BE49-F238E27FC236}">
                  <a16:creationId xmlns:a16="http://schemas.microsoft.com/office/drawing/2014/main" id="{F2D1DC90-B616-45E3-B7DE-9CFD52A40B1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213360</xdr:colOff>
          <xdr:row>413</xdr:row>
          <xdr:rowOff>236220</xdr:rowOff>
        </xdr:from>
        <xdr:to>
          <xdr:col>4</xdr:col>
          <xdr:colOff>60960</xdr:colOff>
          <xdr:row>415</xdr:row>
          <xdr:rowOff>60960</xdr:rowOff>
        </xdr:to>
        <xdr:sp macro="" textlink="">
          <xdr:nvSpPr>
            <xdr:cNvPr id="4273" name="Object 177" hidden="1">
              <a:extLst>
                <a:ext uri="{63B3BB69-23CF-44E3-9099-C40C66FF867C}">
                  <a14:compatExt spid="_x0000_s4273"/>
                </a:ext>
                <a:ext uri="{FF2B5EF4-FFF2-40B4-BE49-F238E27FC236}">
                  <a16:creationId xmlns:a16="http://schemas.microsoft.com/office/drawing/2014/main" id="{1499C1C2-5CC6-51B1-63AB-4059C53C6FD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45720</xdr:colOff>
          <xdr:row>418</xdr:row>
          <xdr:rowOff>0</xdr:rowOff>
        </xdr:from>
        <xdr:to>
          <xdr:col>2</xdr:col>
          <xdr:colOff>373380</xdr:colOff>
          <xdr:row>419</xdr:row>
          <xdr:rowOff>30480</xdr:rowOff>
        </xdr:to>
        <xdr:sp macro="" textlink="">
          <xdr:nvSpPr>
            <xdr:cNvPr id="4274" name="Object 178" hidden="1">
              <a:extLst>
                <a:ext uri="{63B3BB69-23CF-44E3-9099-C40C66FF867C}">
                  <a14:compatExt spid="_x0000_s4274"/>
                </a:ext>
                <a:ext uri="{FF2B5EF4-FFF2-40B4-BE49-F238E27FC236}">
                  <a16:creationId xmlns:a16="http://schemas.microsoft.com/office/drawing/2014/main" id="{6B0102F2-AB1A-0969-C4F8-12CBDE0FB84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441960</xdr:colOff>
          <xdr:row>419</xdr:row>
          <xdr:rowOff>129540</xdr:rowOff>
        </xdr:from>
        <xdr:to>
          <xdr:col>5</xdr:col>
          <xdr:colOff>396240</xdr:colOff>
          <xdr:row>421</xdr:row>
          <xdr:rowOff>106680</xdr:rowOff>
        </xdr:to>
        <xdr:sp macro="" textlink="">
          <xdr:nvSpPr>
            <xdr:cNvPr id="4275" name="Object 179" hidden="1">
              <a:extLst>
                <a:ext uri="{63B3BB69-23CF-44E3-9099-C40C66FF867C}">
                  <a14:compatExt spid="_x0000_s4275"/>
                </a:ext>
                <a:ext uri="{FF2B5EF4-FFF2-40B4-BE49-F238E27FC236}">
                  <a16:creationId xmlns:a16="http://schemas.microsoft.com/office/drawing/2014/main" id="{C521E6AC-4CE1-1DD9-1F7E-0F2BA76A83B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198120</xdr:colOff>
          <xdr:row>419</xdr:row>
          <xdr:rowOff>144780</xdr:rowOff>
        </xdr:from>
        <xdr:to>
          <xdr:col>10</xdr:col>
          <xdr:colOff>182880</xdr:colOff>
          <xdr:row>421</xdr:row>
          <xdr:rowOff>137160</xdr:rowOff>
        </xdr:to>
        <xdr:sp macro="" textlink="">
          <xdr:nvSpPr>
            <xdr:cNvPr id="4276" name="Object 180" hidden="1">
              <a:extLst>
                <a:ext uri="{63B3BB69-23CF-44E3-9099-C40C66FF867C}">
                  <a14:compatExt spid="_x0000_s4276"/>
                </a:ext>
                <a:ext uri="{FF2B5EF4-FFF2-40B4-BE49-F238E27FC236}">
                  <a16:creationId xmlns:a16="http://schemas.microsoft.com/office/drawing/2014/main" id="{B429E703-7277-C0B2-08E8-3AB963C83C2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 editAs="oneCell">
    <xdr:from>
      <xdr:col>2</xdr:col>
      <xdr:colOff>350520</xdr:colOff>
      <xdr:row>429</xdr:row>
      <xdr:rowOff>38100</xdr:rowOff>
    </xdr:from>
    <xdr:to>
      <xdr:col>6</xdr:col>
      <xdr:colOff>274320</xdr:colOff>
      <xdr:row>430</xdr:row>
      <xdr:rowOff>213360</xdr:rowOff>
    </xdr:to>
    <xdr:pic>
      <xdr:nvPicPr>
        <xdr:cNvPr id="11706" name="Picture 181">
          <a:extLst>
            <a:ext uri="{FF2B5EF4-FFF2-40B4-BE49-F238E27FC236}">
              <a16:creationId xmlns:a16="http://schemas.microsoft.com/office/drawing/2014/main" id="{A7B40B3D-20ED-6963-2442-BE8B23E67D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98320" y="77579220"/>
          <a:ext cx="2628900" cy="39624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320040</xdr:colOff>
          <xdr:row>443</xdr:row>
          <xdr:rowOff>91440</xdr:rowOff>
        </xdr:from>
        <xdr:to>
          <xdr:col>5</xdr:col>
          <xdr:colOff>449580</xdr:colOff>
          <xdr:row>444</xdr:row>
          <xdr:rowOff>144780</xdr:rowOff>
        </xdr:to>
        <xdr:sp macro="" textlink="">
          <xdr:nvSpPr>
            <xdr:cNvPr id="4278" name="Object 182" hidden="1">
              <a:extLst>
                <a:ext uri="{63B3BB69-23CF-44E3-9099-C40C66FF867C}">
                  <a14:compatExt spid="_x0000_s4278"/>
                </a:ext>
                <a:ext uri="{FF2B5EF4-FFF2-40B4-BE49-F238E27FC236}">
                  <a16:creationId xmlns:a16="http://schemas.microsoft.com/office/drawing/2014/main" id="{5C2EFE36-ECDA-BDB1-6CAF-B449406655D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xdr:twoCellAnchor>
    <xdr:from>
      <xdr:col>3</xdr:col>
      <xdr:colOff>0</xdr:colOff>
      <xdr:row>657</xdr:row>
      <xdr:rowOff>0</xdr:rowOff>
    </xdr:from>
    <xdr:to>
      <xdr:col>6</xdr:col>
      <xdr:colOff>60960</xdr:colOff>
      <xdr:row>658</xdr:row>
      <xdr:rowOff>121920</xdr:rowOff>
    </xdr:to>
    <xdr:pic>
      <xdr:nvPicPr>
        <xdr:cNvPr id="11707" name="Picture 193">
          <a:extLst>
            <a:ext uri="{FF2B5EF4-FFF2-40B4-BE49-F238E27FC236}">
              <a16:creationId xmlns:a16="http://schemas.microsoft.com/office/drawing/2014/main" id="{CF8C3CA1-A16C-9251-0169-6DD77C979C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8340" y="90830400"/>
          <a:ext cx="2255520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495300</xdr:colOff>
          <xdr:row>1312</xdr:row>
          <xdr:rowOff>205740</xdr:rowOff>
        </xdr:from>
        <xdr:to>
          <xdr:col>9</xdr:col>
          <xdr:colOff>106680</xdr:colOff>
          <xdr:row>1314</xdr:row>
          <xdr:rowOff>0</xdr:rowOff>
        </xdr:to>
        <xdr:sp macro="" textlink="">
          <xdr:nvSpPr>
            <xdr:cNvPr id="7341" name="Object 1197" hidden="1">
              <a:extLst>
                <a:ext uri="{63B3BB69-23CF-44E3-9099-C40C66FF867C}">
                  <a14:compatExt spid="_x0000_s7341"/>
                </a:ext>
                <a:ext uri="{FF2B5EF4-FFF2-40B4-BE49-F238E27FC236}">
                  <a16:creationId xmlns:a16="http://schemas.microsoft.com/office/drawing/2014/main" id="{59C3C16B-C8D3-20D1-D869-EDF1285B29C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 editAs="oneCell">
    <xdr:from>
      <xdr:col>18</xdr:col>
      <xdr:colOff>1104900</xdr:colOff>
      <xdr:row>1060</xdr:row>
      <xdr:rowOff>99060</xdr:rowOff>
    </xdr:from>
    <xdr:to>
      <xdr:col>21</xdr:col>
      <xdr:colOff>228600</xdr:colOff>
      <xdr:row>1066</xdr:row>
      <xdr:rowOff>15240</xdr:rowOff>
    </xdr:to>
    <xdr:pic>
      <xdr:nvPicPr>
        <xdr:cNvPr id="11708" name="Picture 1">
          <a:extLst>
            <a:ext uri="{FF2B5EF4-FFF2-40B4-BE49-F238E27FC236}">
              <a16:creationId xmlns:a16="http://schemas.microsoft.com/office/drawing/2014/main" id="{2566EBA4-E444-E3E3-2AEE-EC7378C2C3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86360" y="165346380"/>
          <a:ext cx="2468880" cy="12420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15</xdr:col>
      <xdr:colOff>320040</xdr:colOff>
      <xdr:row>1062</xdr:row>
      <xdr:rowOff>7620</xdr:rowOff>
    </xdr:from>
    <xdr:to>
      <xdr:col>18</xdr:col>
      <xdr:colOff>685800</xdr:colOff>
      <xdr:row>1068</xdr:row>
      <xdr:rowOff>76200</xdr:rowOff>
    </xdr:to>
    <xdr:pic>
      <xdr:nvPicPr>
        <xdr:cNvPr id="11709" name="Картина 2">
          <a:extLst>
            <a:ext uri="{FF2B5EF4-FFF2-40B4-BE49-F238E27FC236}">
              <a16:creationId xmlns:a16="http://schemas.microsoft.com/office/drawing/2014/main" id="{C074FBBC-1FD1-3FA0-6CE5-6AD73EA82F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 t="-6897" r="22939" b="9656"/>
        <a:stretch>
          <a:fillRect/>
        </a:stretch>
      </xdr:blipFill>
      <xdr:spPr bwMode="auto">
        <a:xfrm>
          <a:off x="9806940" y="165696900"/>
          <a:ext cx="2560320" cy="1402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647700</xdr:colOff>
      <xdr:row>1170</xdr:row>
      <xdr:rowOff>60960</xdr:rowOff>
    </xdr:from>
    <xdr:to>
      <xdr:col>2</xdr:col>
      <xdr:colOff>441960</xdr:colOff>
      <xdr:row>1177</xdr:row>
      <xdr:rowOff>30480</xdr:rowOff>
    </xdr:to>
    <xdr:pic>
      <xdr:nvPicPr>
        <xdr:cNvPr id="11710" name="Picture 133" descr="външна стена земя">
          <a:extLst>
            <a:ext uri="{FF2B5EF4-FFF2-40B4-BE49-F238E27FC236}">
              <a16:creationId xmlns:a16="http://schemas.microsoft.com/office/drawing/2014/main" id="{D0A4E4C4-E5E6-82B2-B320-BA365195DD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499" r="25278" b="35294"/>
        <a:stretch>
          <a:fillRect/>
        </a:stretch>
      </xdr:blipFill>
      <xdr:spPr bwMode="auto">
        <a:xfrm rot="10800000">
          <a:off x="647700" y="190004700"/>
          <a:ext cx="1242060" cy="1516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198120</xdr:colOff>
          <xdr:row>829</xdr:row>
          <xdr:rowOff>15240</xdr:rowOff>
        </xdr:from>
        <xdr:to>
          <xdr:col>4</xdr:col>
          <xdr:colOff>358140</xdr:colOff>
          <xdr:row>831</xdr:row>
          <xdr:rowOff>175260</xdr:rowOff>
        </xdr:to>
        <xdr:sp macro="" textlink="">
          <xdr:nvSpPr>
            <xdr:cNvPr id="10760" name="Object 3592" hidden="1">
              <a:extLst>
                <a:ext uri="{63B3BB69-23CF-44E3-9099-C40C66FF867C}">
                  <a14:compatExt spid="_x0000_s10760"/>
                </a:ext>
                <a:ext uri="{FF2B5EF4-FFF2-40B4-BE49-F238E27FC236}">
                  <a16:creationId xmlns:a16="http://schemas.microsoft.com/office/drawing/2014/main" id="{CD246B5B-702D-24E7-F0C5-6BBB3D931BC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xdr:twoCellAnchor editAs="oneCell">
    <xdr:from>
      <xdr:col>15</xdr:col>
      <xdr:colOff>388620</xdr:colOff>
      <xdr:row>1068</xdr:row>
      <xdr:rowOff>15240</xdr:rowOff>
    </xdr:from>
    <xdr:to>
      <xdr:col>18</xdr:col>
      <xdr:colOff>662940</xdr:colOff>
      <xdr:row>1074</xdr:row>
      <xdr:rowOff>167640</xdr:rowOff>
    </xdr:to>
    <xdr:pic>
      <xdr:nvPicPr>
        <xdr:cNvPr id="11711" name="Picture 4">
          <a:extLst>
            <a:ext uri="{FF2B5EF4-FFF2-40B4-BE49-F238E27FC236}">
              <a16:creationId xmlns:a16="http://schemas.microsoft.com/office/drawing/2014/main" id="{F6BC0E71-2F09-4EAC-28F8-C94E9B2BDF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75520" y="167038020"/>
          <a:ext cx="2468880" cy="1257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17</xdr:col>
      <xdr:colOff>579120</xdr:colOff>
      <xdr:row>1151</xdr:row>
      <xdr:rowOff>38100</xdr:rowOff>
    </xdr:from>
    <xdr:to>
      <xdr:col>18</xdr:col>
      <xdr:colOff>571500</xdr:colOff>
      <xdr:row>1157</xdr:row>
      <xdr:rowOff>114300</xdr:rowOff>
    </xdr:to>
    <xdr:pic>
      <xdr:nvPicPr>
        <xdr:cNvPr id="11712" name="Picture 6">
          <a:extLst>
            <a:ext uri="{FF2B5EF4-FFF2-40B4-BE49-F238E27FC236}">
              <a16:creationId xmlns:a16="http://schemas.microsoft.com/office/drawing/2014/main" id="{F07755B7-1A99-8C01-9F3F-E3B31A82A6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291" r="30978"/>
        <a:stretch>
          <a:fillRect/>
        </a:stretch>
      </xdr:blipFill>
      <xdr:spPr bwMode="auto">
        <a:xfrm>
          <a:off x="11239500" y="185676540"/>
          <a:ext cx="1013460" cy="1402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на Office">
  <a:themeElements>
    <a:clrScheme name="О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oleObject" Target="../embeddings/oleObject12.bin"/><Relationship Id="rId21" Type="http://schemas.openxmlformats.org/officeDocument/2006/relationships/image" Target="../media/image9.wmf"/><Relationship Id="rId42" Type="http://schemas.openxmlformats.org/officeDocument/2006/relationships/oleObject" Target="../embeddings/oleObject21.bin"/><Relationship Id="rId47" Type="http://schemas.openxmlformats.org/officeDocument/2006/relationships/image" Target="../media/image21.wmf"/><Relationship Id="rId63" Type="http://schemas.openxmlformats.org/officeDocument/2006/relationships/image" Target="../media/image29.emf"/><Relationship Id="rId68" Type="http://schemas.openxmlformats.org/officeDocument/2006/relationships/oleObject" Target="../embeddings/oleObject34.bin"/><Relationship Id="rId16" Type="http://schemas.openxmlformats.org/officeDocument/2006/relationships/oleObject" Target="../embeddings/oleObject7.bin"/><Relationship Id="rId11" Type="http://schemas.openxmlformats.org/officeDocument/2006/relationships/image" Target="../media/image4.wmf"/><Relationship Id="rId32" Type="http://schemas.openxmlformats.org/officeDocument/2006/relationships/image" Target="../media/image14.wmf"/><Relationship Id="rId37" Type="http://schemas.openxmlformats.org/officeDocument/2006/relationships/image" Target="../media/image16.wmf"/><Relationship Id="rId53" Type="http://schemas.openxmlformats.org/officeDocument/2006/relationships/image" Target="../media/image24.wmf"/><Relationship Id="rId58" Type="http://schemas.openxmlformats.org/officeDocument/2006/relationships/oleObject" Target="../embeddings/oleObject29.bin"/><Relationship Id="rId74" Type="http://schemas.openxmlformats.org/officeDocument/2006/relationships/oleObject" Target="../embeddings/oleObject37.bin"/><Relationship Id="rId79" Type="http://schemas.openxmlformats.org/officeDocument/2006/relationships/oleObject" Target="../embeddings/oleObject40.bin"/><Relationship Id="rId5" Type="http://schemas.openxmlformats.org/officeDocument/2006/relationships/image" Target="../media/image1.wmf"/><Relationship Id="rId61" Type="http://schemas.openxmlformats.org/officeDocument/2006/relationships/image" Target="../media/image28.wmf"/><Relationship Id="rId19" Type="http://schemas.openxmlformats.org/officeDocument/2006/relationships/image" Target="../media/image8.wmf"/><Relationship Id="rId14" Type="http://schemas.openxmlformats.org/officeDocument/2006/relationships/oleObject" Target="../embeddings/oleObject6.bin"/><Relationship Id="rId22" Type="http://schemas.openxmlformats.org/officeDocument/2006/relationships/oleObject" Target="../embeddings/oleObject10.bin"/><Relationship Id="rId27" Type="http://schemas.openxmlformats.org/officeDocument/2006/relationships/image" Target="../media/image12.wmf"/><Relationship Id="rId30" Type="http://schemas.openxmlformats.org/officeDocument/2006/relationships/oleObject" Target="../embeddings/oleObject14.bin"/><Relationship Id="rId35" Type="http://schemas.openxmlformats.org/officeDocument/2006/relationships/oleObject" Target="../embeddings/oleObject17.bin"/><Relationship Id="rId43" Type="http://schemas.openxmlformats.org/officeDocument/2006/relationships/image" Target="../media/image19.wmf"/><Relationship Id="rId48" Type="http://schemas.openxmlformats.org/officeDocument/2006/relationships/oleObject" Target="../embeddings/oleObject24.bin"/><Relationship Id="rId56" Type="http://schemas.openxmlformats.org/officeDocument/2006/relationships/oleObject" Target="../embeddings/oleObject28.bin"/><Relationship Id="rId64" Type="http://schemas.openxmlformats.org/officeDocument/2006/relationships/oleObject" Target="../embeddings/oleObject32.bin"/><Relationship Id="rId69" Type="http://schemas.openxmlformats.org/officeDocument/2006/relationships/image" Target="../media/image32.wmf"/><Relationship Id="rId77" Type="http://schemas.openxmlformats.org/officeDocument/2006/relationships/image" Target="../media/image36.emf"/><Relationship Id="rId8" Type="http://schemas.openxmlformats.org/officeDocument/2006/relationships/oleObject" Target="../embeddings/oleObject3.bin"/><Relationship Id="rId51" Type="http://schemas.openxmlformats.org/officeDocument/2006/relationships/image" Target="../media/image23.wmf"/><Relationship Id="rId72" Type="http://schemas.openxmlformats.org/officeDocument/2006/relationships/oleObject" Target="../embeddings/oleObject36.bin"/><Relationship Id="rId80" Type="http://schemas.openxmlformats.org/officeDocument/2006/relationships/image" Target="../media/image37.emf"/><Relationship Id="rId3" Type="http://schemas.openxmlformats.org/officeDocument/2006/relationships/vmlDrawing" Target="../drawings/vmlDrawing1.vml"/><Relationship Id="rId12" Type="http://schemas.openxmlformats.org/officeDocument/2006/relationships/oleObject" Target="../embeddings/oleObject5.bin"/><Relationship Id="rId17" Type="http://schemas.openxmlformats.org/officeDocument/2006/relationships/image" Target="../media/image7.wmf"/><Relationship Id="rId25" Type="http://schemas.openxmlformats.org/officeDocument/2006/relationships/image" Target="../media/image11.wmf"/><Relationship Id="rId33" Type="http://schemas.openxmlformats.org/officeDocument/2006/relationships/oleObject" Target="../embeddings/oleObject16.bin"/><Relationship Id="rId38" Type="http://schemas.openxmlformats.org/officeDocument/2006/relationships/oleObject" Target="../embeddings/oleObject19.bin"/><Relationship Id="rId46" Type="http://schemas.openxmlformats.org/officeDocument/2006/relationships/oleObject" Target="../embeddings/oleObject23.bin"/><Relationship Id="rId59" Type="http://schemas.openxmlformats.org/officeDocument/2006/relationships/image" Target="../media/image27.emf"/><Relationship Id="rId67" Type="http://schemas.openxmlformats.org/officeDocument/2006/relationships/image" Target="../media/image31.emf"/><Relationship Id="rId20" Type="http://schemas.openxmlformats.org/officeDocument/2006/relationships/oleObject" Target="../embeddings/oleObject9.bin"/><Relationship Id="rId41" Type="http://schemas.openxmlformats.org/officeDocument/2006/relationships/image" Target="../media/image18.wmf"/><Relationship Id="rId54" Type="http://schemas.openxmlformats.org/officeDocument/2006/relationships/oleObject" Target="../embeddings/oleObject27.bin"/><Relationship Id="rId62" Type="http://schemas.openxmlformats.org/officeDocument/2006/relationships/oleObject" Target="../embeddings/oleObject31.bin"/><Relationship Id="rId70" Type="http://schemas.openxmlformats.org/officeDocument/2006/relationships/oleObject" Target="../embeddings/oleObject35.bin"/><Relationship Id="rId75" Type="http://schemas.openxmlformats.org/officeDocument/2006/relationships/image" Target="../media/image35.wmf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15" Type="http://schemas.openxmlformats.org/officeDocument/2006/relationships/image" Target="../media/image6.wmf"/><Relationship Id="rId23" Type="http://schemas.openxmlformats.org/officeDocument/2006/relationships/image" Target="../media/image10.wmf"/><Relationship Id="rId28" Type="http://schemas.openxmlformats.org/officeDocument/2006/relationships/oleObject" Target="../embeddings/oleObject13.bin"/><Relationship Id="rId36" Type="http://schemas.openxmlformats.org/officeDocument/2006/relationships/oleObject" Target="../embeddings/oleObject18.bin"/><Relationship Id="rId49" Type="http://schemas.openxmlformats.org/officeDocument/2006/relationships/image" Target="../media/image22.wmf"/><Relationship Id="rId57" Type="http://schemas.openxmlformats.org/officeDocument/2006/relationships/image" Target="../media/image26.wmf"/><Relationship Id="rId10" Type="http://schemas.openxmlformats.org/officeDocument/2006/relationships/oleObject" Target="../embeddings/oleObject4.bin"/><Relationship Id="rId31" Type="http://schemas.openxmlformats.org/officeDocument/2006/relationships/oleObject" Target="../embeddings/oleObject15.bin"/><Relationship Id="rId44" Type="http://schemas.openxmlformats.org/officeDocument/2006/relationships/oleObject" Target="../embeddings/oleObject22.bin"/><Relationship Id="rId52" Type="http://schemas.openxmlformats.org/officeDocument/2006/relationships/oleObject" Target="../embeddings/oleObject26.bin"/><Relationship Id="rId60" Type="http://schemas.openxmlformats.org/officeDocument/2006/relationships/oleObject" Target="../embeddings/oleObject30.bin"/><Relationship Id="rId65" Type="http://schemas.openxmlformats.org/officeDocument/2006/relationships/image" Target="../media/image30.emf"/><Relationship Id="rId73" Type="http://schemas.openxmlformats.org/officeDocument/2006/relationships/image" Target="../media/image34.wmf"/><Relationship Id="rId78" Type="http://schemas.openxmlformats.org/officeDocument/2006/relationships/oleObject" Target="../embeddings/oleObject39.bin"/><Relationship Id="rId81" Type="http://schemas.openxmlformats.org/officeDocument/2006/relationships/comments" Target="../comments1.xml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wmf"/><Relationship Id="rId13" Type="http://schemas.openxmlformats.org/officeDocument/2006/relationships/image" Target="../media/image5.wmf"/><Relationship Id="rId18" Type="http://schemas.openxmlformats.org/officeDocument/2006/relationships/oleObject" Target="../embeddings/oleObject8.bin"/><Relationship Id="rId39" Type="http://schemas.openxmlformats.org/officeDocument/2006/relationships/image" Target="../media/image17.wmf"/><Relationship Id="rId34" Type="http://schemas.openxmlformats.org/officeDocument/2006/relationships/image" Target="../media/image15.wmf"/><Relationship Id="rId50" Type="http://schemas.openxmlformats.org/officeDocument/2006/relationships/oleObject" Target="../embeddings/oleObject25.bin"/><Relationship Id="rId55" Type="http://schemas.openxmlformats.org/officeDocument/2006/relationships/image" Target="../media/image25.wmf"/><Relationship Id="rId76" Type="http://schemas.openxmlformats.org/officeDocument/2006/relationships/oleObject" Target="../embeddings/oleObject38.bin"/><Relationship Id="rId7" Type="http://schemas.openxmlformats.org/officeDocument/2006/relationships/image" Target="../media/image2.wmf"/><Relationship Id="rId71" Type="http://schemas.openxmlformats.org/officeDocument/2006/relationships/image" Target="../media/image33.wmf"/><Relationship Id="rId2" Type="http://schemas.openxmlformats.org/officeDocument/2006/relationships/drawing" Target="../drawings/drawing1.xml"/><Relationship Id="rId29" Type="http://schemas.openxmlformats.org/officeDocument/2006/relationships/image" Target="../media/image13.wmf"/><Relationship Id="rId24" Type="http://schemas.openxmlformats.org/officeDocument/2006/relationships/oleObject" Target="../embeddings/oleObject11.bin"/><Relationship Id="rId40" Type="http://schemas.openxmlformats.org/officeDocument/2006/relationships/oleObject" Target="../embeddings/oleObject20.bin"/><Relationship Id="rId45" Type="http://schemas.openxmlformats.org/officeDocument/2006/relationships/image" Target="../media/image20.wmf"/><Relationship Id="rId66" Type="http://schemas.openxmlformats.org/officeDocument/2006/relationships/oleObject" Target="../embeddings/oleObject33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://bulgaria.sourceforge.net/prava/gplbg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C40EC-BF51-42A8-A143-4DF3D08202F6}">
  <sheetPr>
    <tabColor indexed="58"/>
  </sheetPr>
  <dimension ref="A1:CV1602"/>
  <sheetViews>
    <sheetView tabSelected="1" view="pageBreakPreview" zoomScale="120" zoomScaleNormal="100" zoomScaleSheetLayoutView="120" workbookViewId="0">
      <selection sqref="A1:K1"/>
    </sheetView>
  </sheetViews>
  <sheetFormatPr defaultColWidth="9.109375" defaultRowHeight="17.399999999999999" x14ac:dyDescent="0.3"/>
  <cols>
    <col min="1" max="1" width="10.109375" style="1" bestFit="1" customWidth="1"/>
    <col min="2" max="2" width="11" style="1" bestFit="1" customWidth="1"/>
    <col min="3" max="3" width="7.44140625" style="1" bestFit="1" customWidth="1"/>
    <col min="4" max="4" width="13" style="1" customWidth="1"/>
    <col min="5" max="5" width="10.109375" style="1" customWidth="1"/>
    <col min="6" max="6" width="8.88671875" style="1" customWidth="1"/>
    <col min="7" max="7" width="8.6640625" style="1" customWidth="1"/>
    <col min="8" max="8" width="9.33203125" style="1" customWidth="1"/>
    <col min="9" max="9" width="9.44140625" style="1" customWidth="1"/>
    <col min="10" max="10" width="7.88671875" style="1" customWidth="1"/>
    <col min="11" max="11" width="8.6640625" style="1" customWidth="1"/>
    <col min="12" max="12" width="10" style="24" customWidth="1"/>
    <col min="13" max="13" width="4" style="37" customWidth="1"/>
    <col min="14" max="14" width="9.88671875" style="1" bestFit="1" customWidth="1"/>
    <col min="15" max="15" width="9.88671875" style="1" customWidth="1"/>
    <col min="16" max="17" width="8.5546875" style="1" customWidth="1"/>
    <col min="18" max="18" width="14.88671875" style="1" customWidth="1"/>
    <col min="19" max="19" width="16.5546875" style="1" customWidth="1"/>
    <col min="20" max="20" width="13.109375" style="1" bestFit="1" customWidth="1"/>
    <col min="21" max="21" width="19.109375" style="1" bestFit="1" customWidth="1"/>
    <col min="22" max="22" width="9.88671875" style="1" customWidth="1"/>
    <col min="23" max="23" width="13.109375" style="1" bestFit="1" customWidth="1"/>
    <col min="24" max="24" width="12" style="1" bestFit="1" customWidth="1"/>
    <col min="25" max="26" width="13.109375" style="1" bestFit="1" customWidth="1"/>
    <col min="27" max="27" width="12" style="1" bestFit="1" customWidth="1"/>
    <col min="28" max="28" width="12.6640625" style="1" bestFit="1" customWidth="1"/>
    <col min="29" max="32" width="13.109375" style="1" bestFit="1" customWidth="1"/>
    <col min="33" max="33" width="10.6640625" style="1" bestFit="1" customWidth="1"/>
    <col min="34" max="35" width="9.5546875" style="1" bestFit="1" customWidth="1"/>
    <col min="36" max="36" width="9.88671875" style="1" bestFit="1" customWidth="1"/>
    <col min="37" max="38" width="10.6640625" style="1" bestFit="1" customWidth="1"/>
    <col min="39" max="39" width="9.88671875" style="1" bestFit="1" customWidth="1"/>
    <col min="40" max="40" width="9.88671875" style="24" bestFit="1" customWidth="1"/>
    <col min="41" max="41" width="9.88671875" style="1" bestFit="1" customWidth="1"/>
    <col min="42" max="42" width="9.6640625" style="1" bestFit="1" customWidth="1"/>
    <col min="43" max="43" width="9.109375" style="1"/>
    <col min="44" max="44" width="13.44140625" style="1" bestFit="1" customWidth="1"/>
    <col min="45" max="45" width="9.109375" style="205"/>
    <col min="46" max="46" width="11.44140625" style="43" bestFit="1" customWidth="1"/>
    <col min="47" max="69" width="10" style="43" bestFit="1" customWidth="1"/>
    <col min="70" max="16384" width="9.109375" style="1"/>
  </cols>
  <sheetData>
    <row r="1" spans="1:17" ht="18" x14ac:dyDescent="0.35">
      <c r="A1" s="720" t="s">
        <v>699</v>
      </c>
      <c r="B1" s="720"/>
      <c r="C1" s="720"/>
      <c r="D1" s="720"/>
      <c r="E1" s="720"/>
      <c r="F1" s="720"/>
      <c r="G1" s="720"/>
      <c r="H1" s="720"/>
      <c r="I1" s="720"/>
      <c r="J1" s="720"/>
      <c r="K1" s="720"/>
      <c r="N1" s="676"/>
      <c r="O1" s="676"/>
    </row>
    <row r="2" spans="1:17" ht="18" x14ac:dyDescent="0.35">
      <c r="A2" s="644" t="s">
        <v>973</v>
      </c>
      <c r="B2" s="766"/>
      <c r="C2" s="766"/>
      <c r="D2" s="766"/>
      <c r="E2" s="766"/>
      <c r="F2" s="766"/>
      <c r="G2" s="766"/>
      <c r="H2" s="766"/>
      <c r="I2" s="766"/>
      <c r="J2" s="766"/>
      <c r="K2" s="882"/>
    </row>
    <row r="3" spans="1:17" ht="18" customHeight="1" x14ac:dyDescent="0.3">
      <c r="O3" s="951" t="s">
        <v>738</v>
      </c>
      <c r="P3" s="952"/>
      <c r="Q3" s="379"/>
    </row>
    <row r="4" spans="1:17" ht="18" x14ac:dyDescent="0.35">
      <c r="A4" s="907" t="s">
        <v>165</v>
      </c>
      <c r="B4" s="907"/>
      <c r="C4" s="907"/>
      <c r="D4" s="907"/>
      <c r="E4" s="907"/>
      <c r="F4" s="907"/>
      <c r="G4" s="907"/>
      <c r="H4" s="907"/>
      <c r="I4" s="907"/>
      <c r="O4" s="952"/>
      <c r="P4" s="952"/>
      <c r="Q4" s="379"/>
    </row>
    <row r="5" spans="1:17" ht="18.600000000000001" x14ac:dyDescent="0.4">
      <c r="A5" s="565"/>
      <c r="B5" s="566"/>
      <c r="C5" s="565" t="s">
        <v>889</v>
      </c>
      <c r="D5" s="566"/>
      <c r="E5" s="13" t="s">
        <v>882</v>
      </c>
      <c r="F5" s="13" t="s">
        <v>884</v>
      </c>
      <c r="G5" s="13" t="s">
        <v>885</v>
      </c>
      <c r="H5" s="13" t="s">
        <v>890</v>
      </c>
      <c r="I5" s="13" t="s">
        <v>891</v>
      </c>
      <c r="J5" s="13" t="s">
        <v>899</v>
      </c>
      <c r="K5" s="13" t="s">
        <v>20</v>
      </c>
      <c r="O5" s="952"/>
      <c r="P5" s="952"/>
      <c r="Q5" s="379"/>
    </row>
    <row r="6" spans="1:17" ht="18" x14ac:dyDescent="0.3">
      <c r="A6" s="565"/>
      <c r="B6" s="566"/>
      <c r="C6" s="565" t="s">
        <v>892</v>
      </c>
      <c r="D6" s="566"/>
      <c r="E6" s="13" t="s">
        <v>883</v>
      </c>
      <c r="F6" s="13" t="s">
        <v>893</v>
      </c>
      <c r="G6" s="13" t="s">
        <v>883</v>
      </c>
      <c r="H6" s="13" t="s">
        <v>892</v>
      </c>
      <c r="I6" s="13" t="s">
        <v>892</v>
      </c>
      <c r="J6" s="13" t="s">
        <v>883</v>
      </c>
      <c r="K6" s="13" t="s">
        <v>1079</v>
      </c>
      <c r="O6" s="952"/>
      <c r="P6" s="952"/>
      <c r="Q6" s="379"/>
    </row>
    <row r="7" spans="1:17" x14ac:dyDescent="0.3">
      <c r="A7" s="597" t="s">
        <v>627</v>
      </c>
      <c r="B7" s="598"/>
      <c r="C7" s="597"/>
      <c r="D7" s="598"/>
      <c r="E7" s="40"/>
      <c r="F7" s="386">
        <f t="shared" ref="F7:F24" si="0">E7*C7</f>
        <v>0</v>
      </c>
      <c r="G7" s="129">
        <f t="shared" ref="G7:G16" si="1">L31</f>
        <v>0</v>
      </c>
      <c r="H7" s="386">
        <f>G7*E7</f>
        <v>0</v>
      </c>
      <c r="I7" s="95"/>
      <c r="J7" s="95"/>
      <c r="K7" s="399"/>
      <c r="O7" s="824">
        <f t="shared" ref="O7:O24" si="2">K7*E7</f>
        <v>0</v>
      </c>
      <c r="P7" s="824"/>
    </row>
    <row r="8" spans="1:17" x14ac:dyDescent="0.3">
      <c r="A8" s="597" t="s">
        <v>448</v>
      </c>
      <c r="B8" s="598"/>
      <c r="C8" s="597"/>
      <c r="D8" s="598"/>
      <c r="E8" s="40"/>
      <c r="F8" s="386">
        <f t="shared" si="0"/>
        <v>0</v>
      </c>
      <c r="G8" s="129">
        <f t="shared" si="1"/>
        <v>0</v>
      </c>
      <c r="H8" s="386">
        <f>G8*E8</f>
        <v>0</v>
      </c>
      <c r="I8" s="95"/>
      <c r="J8" s="95"/>
      <c r="K8" s="399"/>
      <c r="O8" s="824">
        <f t="shared" si="2"/>
        <v>0</v>
      </c>
      <c r="P8" s="824"/>
    </row>
    <row r="9" spans="1:17" x14ac:dyDescent="0.3">
      <c r="A9" s="597" t="s">
        <v>449</v>
      </c>
      <c r="B9" s="598"/>
      <c r="C9" s="597"/>
      <c r="D9" s="598"/>
      <c r="E9" s="40"/>
      <c r="F9" s="386">
        <f t="shared" si="0"/>
        <v>0</v>
      </c>
      <c r="G9" s="129">
        <f t="shared" si="1"/>
        <v>0</v>
      </c>
      <c r="H9" s="386">
        <f t="shared" ref="H9:H24" si="3">G9*E9</f>
        <v>0</v>
      </c>
      <c r="I9" s="95"/>
      <c r="J9" s="95"/>
      <c r="K9" s="399"/>
      <c r="O9" s="824">
        <f t="shared" si="2"/>
        <v>0</v>
      </c>
      <c r="P9" s="824"/>
    </row>
    <row r="10" spans="1:17" x14ac:dyDescent="0.3">
      <c r="A10" s="597" t="s">
        <v>450</v>
      </c>
      <c r="B10" s="598"/>
      <c r="C10" s="597"/>
      <c r="D10" s="598"/>
      <c r="E10" s="40"/>
      <c r="F10" s="386">
        <f t="shared" si="0"/>
        <v>0</v>
      </c>
      <c r="G10" s="129">
        <f t="shared" si="1"/>
        <v>0</v>
      </c>
      <c r="H10" s="386">
        <f t="shared" si="3"/>
        <v>0</v>
      </c>
      <c r="I10" s="95"/>
      <c r="J10" s="95"/>
      <c r="K10" s="399"/>
      <c r="O10" s="824">
        <f t="shared" si="2"/>
        <v>0</v>
      </c>
      <c r="P10" s="824"/>
    </row>
    <row r="11" spans="1:17" x14ac:dyDescent="0.3">
      <c r="A11" s="597" t="s">
        <v>451</v>
      </c>
      <c r="B11" s="598"/>
      <c r="C11" s="597"/>
      <c r="D11" s="598"/>
      <c r="E11" s="40"/>
      <c r="F11" s="386">
        <f t="shared" si="0"/>
        <v>0</v>
      </c>
      <c r="G11" s="129">
        <f t="shared" si="1"/>
        <v>0</v>
      </c>
      <c r="H11" s="386">
        <f t="shared" si="3"/>
        <v>0</v>
      </c>
      <c r="I11" s="95"/>
      <c r="J11" s="95"/>
      <c r="K11" s="399"/>
      <c r="O11" s="824">
        <f t="shared" si="2"/>
        <v>0</v>
      </c>
      <c r="P11" s="824"/>
    </row>
    <row r="12" spans="1:17" x14ac:dyDescent="0.3">
      <c r="A12" s="597" t="s">
        <v>452</v>
      </c>
      <c r="B12" s="598"/>
      <c r="C12" s="597"/>
      <c r="D12" s="598"/>
      <c r="E12" s="40"/>
      <c r="F12" s="386">
        <f t="shared" si="0"/>
        <v>0</v>
      </c>
      <c r="G12" s="129">
        <f t="shared" si="1"/>
        <v>0</v>
      </c>
      <c r="H12" s="386">
        <f t="shared" si="3"/>
        <v>0</v>
      </c>
      <c r="I12" s="95"/>
      <c r="J12" s="95"/>
      <c r="K12" s="399"/>
      <c r="O12" s="824">
        <f t="shared" si="2"/>
        <v>0</v>
      </c>
      <c r="P12" s="824"/>
    </row>
    <row r="13" spans="1:17" x14ac:dyDescent="0.3">
      <c r="A13" s="597" t="s">
        <v>453</v>
      </c>
      <c r="B13" s="598"/>
      <c r="C13" s="597"/>
      <c r="D13" s="598"/>
      <c r="E13" s="40"/>
      <c r="F13" s="386">
        <f t="shared" si="0"/>
        <v>0</v>
      </c>
      <c r="G13" s="129">
        <f t="shared" si="1"/>
        <v>0</v>
      </c>
      <c r="H13" s="386">
        <f t="shared" si="3"/>
        <v>0</v>
      </c>
      <c r="I13" s="95"/>
      <c r="J13" s="95"/>
      <c r="K13" s="399"/>
      <c r="O13" s="824">
        <f t="shared" si="2"/>
        <v>0</v>
      </c>
      <c r="P13" s="824"/>
    </row>
    <row r="14" spans="1:17" x14ac:dyDescent="0.3">
      <c r="A14" s="597" t="s">
        <v>454</v>
      </c>
      <c r="B14" s="598"/>
      <c r="C14" s="597"/>
      <c r="D14" s="598"/>
      <c r="E14" s="40"/>
      <c r="F14" s="386">
        <f t="shared" si="0"/>
        <v>0</v>
      </c>
      <c r="G14" s="129">
        <f t="shared" si="1"/>
        <v>0</v>
      </c>
      <c r="H14" s="386">
        <f t="shared" si="3"/>
        <v>0</v>
      </c>
      <c r="I14" s="95"/>
      <c r="J14" s="95"/>
      <c r="K14" s="399"/>
      <c r="O14" s="824">
        <f t="shared" si="2"/>
        <v>0</v>
      </c>
      <c r="P14" s="824"/>
    </row>
    <row r="15" spans="1:17" hidden="1" x14ac:dyDescent="0.3">
      <c r="A15" s="597"/>
      <c r="B15" s="598"/>
      <c r="C15" s="597"/>
      <c r="D15" s="598"/>
      <c r="E15" s="40"/>
      <c r="F15" s="386">
        <f t="shared" si="0"/>
        <v>0</v>
      </c>
      <c r="G15" s="129">
        <f t="shared" si="1"/>
        <v>0</v>
      </c>
      <c r="H15" s="386">
        <f t="shared" si="3"/>
        <v>0</v>
      </c>
      <c r="I15" s="95"/>
      <c r="J15" s="95"/>
      <c r="K15" s="399"/>
      <c r="O15" s="824">
        <f t="shared" si="2"/>
        <v>0</v>
      </c>
      <c r="P15" s="824"/>
    </row>
    <row r="16" spans="1:17" hidden="1" x14ac:dyDescent="0.3">
      <c r="A16" s="597"/>
      <c r="B16" s="598"/>
      <c r="C16" s="597"/>
      <c r="D16" s="598"/>
      <c r="E16" s="40"/>
      <c r="F16" s="386">
        <f t="shared" si="0"/>
        <v>0</v>
      </c>
      <c r="G16" s="129">
        <f t="shared" si="1"/>
        <v>0</v>
      </c>
      <c r="H16" s="386">
        <f t="shared" si="3"/>
        <v>0</v>
      </c>
      <c r="I16" s="95"/>
      <c r="J16" s="95"/>
      <c r="K16" s="399"/>
      <c r="O16" s="824">
        <f t="shared" si="2"/>
        <v>0</v>
      </c>
      <c r="P16" s="824"/>
    </row>
    <row r="17" spans="1:21" hidden="1" x14ac:dyDescent="0.3">
      <c r="A17" s="597"/>
      <c r="B17" s="598"/>
      <c r="C17" s="597"/>
      <c r="D17" s="598"/>
      <c r="E17" s="40"/>
      <c r="F17" s="386">
        <f t="shared" si="0"/>
        <v>0</v>
      </c>
      <c r="G17" s="129">
        <f t="shared" ref="G17:G24" si="4">L41</f>
        <v>0</v>
      </c>
      <c r="H17" s="386">
        <f t="shared" si="3"/>
        <v>0</v>
      </c>
      <c r="I17" s="95"/>
      <c r="J17" s="95"/>
      <c r="K17" s="399"/>
      <c r="O17" s="824">
        <f t="shared" si="2"/>
        <v>0</v>
      </c>
      <c r="P17" s="824"/>
    </row>
    <row r="18" spans="1:21" hidden="1" x14ac:dyDescent="0.3">
      <c r="A18" s="597"/>
      <c r="B18" s="598"/>
      <c r="C18" s="597"/>
      <c r="D18" s="598"/>
      <c r="E18" s="40"/>
      <c r="F18" s="386">
        <f t="shared" ref="F18:F23" si="5">E18*C18</f>
        <v>0</v>
      </c>
      <c r="G18" s="129">
        <f t="shared" si="4"/>
        <v>0</v>
      </c>
      <c r="H18" s="386">
        <f t="shared" ref="H18:H23" si="6">G18*E18</f>
        <v>0</v>
      </c>
      <c r="I18" s="95"/>
      <c r="J18" s="95"/>
      <c r="K18" s="399"/>
      <c r="O18" s="72"/>
      <c r="P18" s="72"/>
    </row>
    <row r="19" spans="1:21" hidden="1" x14ac:dyDescent="0.3">
      <c r="A19" s="597"/>
      <c r="B19" s="598"/>
      <c r="C19" s="597"/>
      <c r="D19" s="598"/>
      <c r="E19" s="40"/>
      <c r="F19" s="386">
        <f t="shared" si="5"/>
        <v>0</v>
      </c>
      <c r="G19" s="129">
        <f t="shared" si="4"/>
        <v>0</v>
      </c>
      <c r="H19" s="386">
        <f t="shared" si="6"/>
        <v>0</v>
      </c>
      <c r="I19" s="95"/>
      <c r="J19" s="95"/>
      <c r="K19" s="399"/>
      <c r="O19" s="72"/>
      <c r="P19" s="72"/>
    </row>
    <row r="20" spans="1:21" hidden="1" x14ac:dyDescent="0.3">
      <c r="A20" s="597"/>
      <c r="B20" s="598"/>
      <c r="C20" s="597"/>
      <c r="D20" s="598"/>
      <c r="E20" s="40"/>
      <c r="F20" s="386">
        <f t="shared" si="5"/>
        <v>0</v>
      </c>
      <c r="G20" s="129">
        <f t="shared" si="4"/>
        <v>0</v>
      </c>
      <c r="H20" s="386">
        <f t="shared" si="6"/>
        <v>0</v>
      </c>
      <c r="I20" s="95"/>
      <c r="J20" s="95"/>
      <c r="K20" s="399"/>
      <c r="O20" s="72"/>
      <c r="P20" s="72"/>
    </row>
    <row r="21" spans="1:21" hidden="1" x14ac:dyDescent="0.3">
      <c r="A21" s="597"/>
      <c r="B21" s="598"/>
      <c r="C21" s="597"/>
      <c r="D21" s="598"/>
      <c r="E21" s="40"/>
      <c r="F21" s="386">
        <f t="shared" si="5"/>
        <v>0</v>
      </c>
      <c r="G21" s="129">
        <f t="shared" si="4"/>
        <v>0</v>
      </c>
      <c r="H21" s="386">
        <f t="shared" si="6"/>
        <v>0</v>
      </c>
      <c r="I21" s="95"/>
      <c r="J21" s="95"/>
      <c r="K21" s="399"/>
      <c r="O21" s="72"/>
      <c r="P21" s="72"/>
    </row>
    <row r="22" spans="1:21" hidden="1" x14ac:dyDescent="0.3">
      <c r="A22" s="597"/>
      <c r="B22" s="598"/>
      <c r="C22" s="597"/>
      <c r="D22" s="598"/>
      <c r="E22" s="40"/>
      <c r="F22" s="386">
        <f t="shared" si="5"/>
        <v>0</v>
      </c>
      <c r="G22" s="129">
        <f t="shared" si="4"/>
        <v>0</v>
      </c>
      <c r="H22" s="386">
        <f t="shared" si="6"/>
        <v>0</v>
      </c>
      <c r="I22" s="95"/>
      <c r="J22" s="95"/>
      <c r="K22" s="399"/>
      <c r="O22" s="72"/>
      <c r="P22" s="72"/>
    </row>
    <row r="23" spans="1:21" hidden="1" x14ac:dyDescent="0.3">
      <c r="A23" s="597"/>
      <c r="B23" s="598"/>
      <c r="C23" s="597"/>
      <c r="D23" s="598"/>
      <c r="E23" s="40"/>
      <c r="F23" s="386">
        <f t="shared" si="5"/>
        <v>0</v>
      </c>
      <c r="G23" s="129">
        <f t="shared" si="4"/>
        <v>0</v>
      </c>
      <c r="H23" s="386">
        <f t="shared" si="6"/>
        <v>0</v>
      </c>
      <c r="I23" s="95"/>
      <c r="J23" s="95"/>
      <c r="K23" s="399"/>
      <c r="O23" s="72"/>
      <c r="P23" s="72"/>
    </row>
    <row r="24" spans="1:21" hidden="1" x14ac:dyDescent="0.3">
      <c r="A24" s="597"/>
      <c r="B24" s="598"/>
      <c r="C24" s="597"/>
      <c r="D24" s="598"/>
      <c r="E24" s="40"/>
      <c r="F24" s="386">
        <f t="shared" si="0"/>
        <v>0</v>
      </c>
      <c r="G24" s="129">
        <f t="shared" si="4"/>
        <v>0</v>
      </c>
      <c r="H24" s="386">
        <f t="shared" si="3"/>
        <v>0</v>
      </c>
      <c r="I24" s="95"/>
      <c r="J24" s="95"/>
      <c r="K24" s="399"/>
      <c r="O24" s="824">
        <f t="shared" si="2"/>
        <v>0</v>
      </c>
      <c r="P24" s="824"/>
    </row>
    <row r="25" spans="1:21" x14ac:dyDescent="0.3">
      <c r="A25" s="908" t="s">
        <v>886</v>
      </c>
      <c r="B25" s="909"/>
      <c r="C25" s="908">
        <f>SUM(C7:C24)</f>
        <v>0</v>
      </c>
      <c r="D25" s="909"/>
      <c r="E25" s="24"/>
      <c r="F25" s="12">
        <f>SUM(F7:F24)</f>
        <v>0</v>
      </c>
      <c r="G25" s="16">
        <f>SUM(G7:G24)</f>
        <v>0</v>
      </c>
      <c r="H25" s="387">
        <f>SUM(H7:H24)</f>
        <v>0</v>
      </c>
      <c r="I25" s="35">
        <f>SUM(I7:I24)</f>
        <v>0</v>
      </c>
      <c r="J25" s="35">
        <f>SUM(J7:J24)</f>
        <v>0</v>
      </c>
      <c r="O25" s="824">
        <f>SUM(O7:P24)</f>
        <v>0</v>
      </c>
      <c r="P25" s="824"/>
    </row>
    <row r="27" spans="1:21" ht="18" x14ac:dyDescent="0.35">
      <c r="A27" s="907" t="s">
        <v>836</v>
      </c>
      <c r="B27" s="907"/>
      <c r="C27" s="907"/>
      <c r="D27" s="907"/>
      <c r="E27" s="907"/>
      <c r="F27" s="907"/>
      <c r="G27" s="907"/>
      <c r="H27" s="907"/>
      <c r="I27" s="907"/>
    </row>
    <row r="28" spans="1:21" ht="18" x14ac:dyDescent="0.35">
      <c r="A28" s="581"/>
      <c r="B28" s="582"/>
      <c r="C28" s="569" t="s">
        <v>882</v>
      </c>
      <c r="D28" s="592" t="s">
        <v>166</v>
      </c>
      <c r="E28" s="593"/>
      <c r="F28" s="593"/>
      <c r="G28" s="593"/>
      <c r="H28" s="593"/>
      <c r="I28" s="593"/>
      <c r="J28" s="593"/>
      <c r="K28" s="593"/>
      <c r="L28" s="588" t="s">
        <v>400</v>
      </c>
      <c r="M28" s="311"/>
    </row>
    <row r="29" spans="1:21" x14ac:dyDescent="0.3">
      <c r="A29" s="760"/>
      <c r="B29" s="761"/>
      <c r="C29" s="596"/>
      <c r="D29" s="13" t="s">
        <v>12</v>
      </c>
      <c r="E29" s="13" t="s">
        <v>11</v>
      </c>
      <c r="F29" s="13" t="s">
        <v>10</v>
      </c>
      <c r="G29" s="13" t="s">
        <v>17</v>
      </c>
      <c r="H29" s="13" t="s">
        <v>16</v>
      </c>
      <c r="I29" s="13" t="s">
        <v>15</v>
      </c>
      <c r="J29" s="13" t="s">
        <v>14</v>
      </c>
      <c r="K29" s="13" t="s">
        <v>13</v>
      </c>
      <c r="L29" s="575"/>
      <c r="M29" s="312"/>
      <c r="N29" s="306" t="s">
        <v>12</v>
      </c>
      <c r="O29" s="13" t="s">
        <v>11</v>
      </c>
      <c r="P29" s="13" t="s">
        <v>10</v>
      </c>
      <c r="Q29" s="13" t="s">
        <v>17</v>
      </c>
      <c r="R29" s="13" t="s">
        <v>16</v>
      </c>
      <c r="S29" s="13" t="s">
        <v>15</v>
      </c>
      <c r="T29" s="13" t="s">
        <v>14</v>
      </c>
      <c r="U29" s="13" t="s">
        <v>13</v>
      </c>
    </row>
    <row r="30" spans="1:21" ht="18" x14ac:dyDescent="0.3">
      <c r="A30" s="698"/>
      <c r="B30" s="614"/>
      <c r="C30" s="13" t="s">
        <v>883</v>
      </c>
      <c r="D30" s="13" t="s">
        <v>883</v>
      </c>
      <c r="E30" s="13" t="s">
        <v>883</v>
      </c>
      <c r="F30" s="13" t="s">
        <v>883</v>
      </c>
      <c r="G30" s="13" t="s">
        <v>883</v>
      </c>
      <c r="H30" s="13" t="s">
        <v>883</v>
      </c>
      <c r="I30" s="13" t="s">
        <v>883</v>
      </c>
      <c r="J30" s="13" t="s">
        <v>883</v>
      </c>
      <c r="K30" s="13" t="s">
        <v>883</v>
      </c>
      <c r="L30" s="13" t="s">
        <v>883</v>
      </c>
      <c r="M30" s="313"/>
      <c r="N30" s="306" t="s">
        <v>907</v>
      </c>
      <c r="O30" s="13" t="s">
        <v>907</v>
      </c>
      <c r="P30" s="13" t="s">
        <v>821</v>
      </c>
      <c r="Q30" s="13" t="s">
        <v>821</v>
      </c>
      <c r="R30" s="13" t="s">
        <v>821</v>
      </c>
      <c r="S30" s="13" t="s">
        <v>821</v>
      </c>
      <c r="T30" s="13" t="s">
        <v>821</v>
      </c>
      <c r="U30" s="13" t="s">
        <v>821</v>
      </c>
    </row>
    <row r="31" spans="1:21" x14ac:dyDescent="0.3">
      <c r="A31" s="565" t="str">
        <f t="shared" ref="A31:A41" si="7">IF(A7="","",A7)</f>
        <v>I етаж</v>
      </c>
      <c r="B31" s="566"/>
      <c r="C31" s="110">
        <f t="shared" ref="C31:C41" si="8">E7</f>
        <v>0</v>
      </c>
      <c r="D31" s="41"/>
      <c r="E31" s="41"/>
      <c r="F31" s="41"/>
      <c r="G31" s="41"/>
      <c r="H31" s="41"/>
      <c r="I31" s="41"/>
      <c r="J31" s="41"/>
      <c r="K31" s="41"/>
      <c r="L31" s="13">
        <f t="shared" ref="L31:L41" si="9">SUM(D31:K31)</f>
        <v>0</v>
      </c>
      <c r="M31" s="161"/>
      <c r="N31" s="74">
        <f t="shared" ref="N31:N36" si="10">D31*$C31</f>
        <v>0</v>
      </c>
      <c r="O31" s="74">
        <f t="shared" ref="O31:U31" si="11">E31*$C31</f>
        <v>0</v>
      </c>
      <c r="P31" s="74">
        <f t="shared" si="11"/>
        <v>0</v>
      </c>
      <c r="Q31" s="74">
        <f t="shared" si="11"/>
        <v>0</v>
      </c>
      <c r="R31" s="74">
        <f t="shared" si="11"/>
        <v>0</v>
      </c>
      <c r="S31" s="74">
        <f t="shared" si="11"/>
        <v>0</v>
      </c>
      <c r="T31" s="74">
        <f t="shared" si="11"/>
        <v>0</v>
      </c>
      <c r="U31" s="74">
        <f t="shared" si="11"/>
        <v>0</v>
      </c>
    </row>
    <row r="32" spans="1:21" x14ac:dyDescent="0.3">
      <c r="A32" s="565" t="str">
        <f t="shared" si="7"/>
        <v>ІІ етаж</v>
      </c>
      <c r="B32" s="566"/>
      <c r="C32" s="110">
        <f t="shared" si="8"/>
        <v>0</v>
      </c>
      <c r="D32" s="41"/>
      <c r="E32" s="41"/>
      <c r="F32" s="41"/>
      <c r="G32" s="41"/>
      <c r="H32" s="41"/>
      <c r="I32" s="41"/>
      <c r="J32" s="41"/>
      <c r="K32" s="41"/>
      <c r="L32" s="13">
        <f t="shared" si="9"/>
        <v>0</v>
      </c>
      <c r="M32" s="161"/>
      <c r="N32" s="74">
        <f t="shared" si="10"/>
        <v>0</v>
      </c>
      <c r="O32" s="74">
        <f t="shared" ref="O32:U36" si="12">E32*$C32</f>
        <v>0</v>
      </c>
      <c r="P32" s="74">
        <f t="shared" si="12"/>
        <v>0</v>
      </c>
      <c r="Q32" s="74">
        <f t="shared" si="12"/>
        <v>0</v>
      </c>
      <c r="R32" s="74">
        <f t="shared" si="12"/>
        <v>0</v>
      </c>
      <c r="S32" s="74">
        <f t="shared" si="12"/>
        <v>0</v>
      </c>
      <c r="T32" s="74">
        <f t="shared" si="12"/>
        <v>0</v>
      </c>
      <c r="U32" s="74">
        <f t="shared" si="12"/>
        <v>0</v>
      </c>
    </row>
    <row r="33" spans="1:21" x14ac:dyDescent="0.3">
      <c r="A33" s="565" t="str">
        <f t="shared" si="7"/>
        <v>ІІІ етаж</v>
      </c>
      <c r="B33" s="566"/>
      <c r="C33" s="110">
        <f t="shared" si="8"/>
        <v>0</v>
      </c>
      <c r="D33" s="41"/>
      <c r="E33" s="41"/>
      <c r="F33" s="41"/>
      <c r="G33" s="41"/>
      <c r="H33" s="41"/>
      <c r="I33" s="41"/>
      <c r="J33" s="41"/>
      <c r="K33" s="41"/>
      <c r="L33" s="13">
        <f t="shared" si="9"/>
        <v>0</v>
      </c>
      <c r="M33" s="161"/>
      <c r="N33" s="74">
        <f t="shared" si="10"/>
        <v>0</v>
      </c>
      <c r="O33" s="74">
        <f t="shared" si="12"/>
        <v>0</v>
      </c>
      <c r="P33" s="74">
        <f t="shared" si="12"/>
        <v>0</v>
      </c>
      <c r="Q33" s="74">
        <f t="shared" si="12"/>
        <v>0</v>
      </c>
      <c r="R33" s="74">
        <f t="shared" si="12"/>
        <v>0</v>
      </c>
      <c r="S33" s="74">
        <f t="shared" si="12"/>
        <v>0</v>
      </c>
      <c r="T33" s="74">
        <f t="shared" si="12"/>
        <v>0</v>
      </c>
      <c r="U33" s="74">
        <f t="shared" si="12"/>
        <v>0</v>
      </c>
    </row>
    <row r="34" spans="1:21" x14ac:dyDescent="0.3">
      <c r="A34" s="565" t="str">
        <f t="shared" si="7"/>
        <v>ІV етаж</v>
      </c>
      <c r="B34" s="566"/>
      <c r="C34" s="110">
        <f t="shared" si="8"/>
        <v>0</v>
      </c>
      <c r="D34" s="41"/>
      <c r="E34" s="41"/>
      <c r="F34" s="41"/>
      <c r="G34" s="41"/>
      <c r="H34" s="41"/>
      <c r="I34" s="41"/>
      <c r="J34" s="41"/>
      <c r="K34" s="41"/>
      <c r="L34" s="13">
        <f t="shared" si="9"/>
        <v>0</v>
      </c>
      <c r="M34" s="161"/>
      <c r="N34" s="74">
        <f t="shared" si="10"/>
        <v>0</v>
      </c>
      <c r="O34" s="74">
        <f t="shared" si="12"/>
        <v>0</v>
      </c>
      <c r="P34" s="74">
        <f t="shared" si="12"/>
        <v>0</v>
      </c>
      <c r="Q34" s="74">
        <f t="shared" si="12"/>
        <v>0</v>
      </c>
      <c r="R34" s="74">
        <f t="shared" si="12"/>
        <v>0</v>
      </c>
      <c r="S34" s="74">
        <f t="shared" si="12"/>
        <v>0</v>
      </c>
      <c r="T34" s="74">
        <f t="shared" si="12"/>
        <v>0</v>
      </c>
      <c r="U34" s="74">
        <f t="shared" si="12"/>
        <v>0</v>
      </c>
    </row>
    <row r="35" spans="1:21" x14ac:dyDescent="0.3">
      <c r="A35" s="565" t="str">
        <f t="shared" si="7"/>
        <v>V етаж</v>
      </c>
      <c r="B35" s="566"/>
      <c r="C35" s="110">
        <f t="shared" si="8"/>
        <v>0</v>
      </c>
      <c r="D35" s="41"/>
      <c r="E35" s="41"/>
      <c r="F35" s="41"/>
      <c r="G35" s="41"/>
      <c r="H35" s="41"/>
      <c r="I35" s="41"/>
      <c r="J35" s="41"/>
      <c r="K35" s="41"/>
      <c r="L35" s="13">
        <f t="shared" si="9"/>
        <v>0</v>
      </c>
      <c r="M35" s="161"/>
      <c r="N35" s="74">
        <f t="shared" si="10"/>
        <v>0</v>
      </c>
      <c r="O35" s="74">
        <f t="shared" si="12"/>
        <v>0</v>
      </c>
      <c r="P35" s="74">
        <f t="shared" si="12"/>
        <v>0</v>
      </c>
      <c r="Q35" s="74">
        <f t="shared" si="12"/>
        <v>0</v>
      </c>
      <c r="R35" s="74">
        <f t="shared" si="12"/>
        <v>0</v>
      </c>
      <c r="S35" s="74">
        <f t="shared" si="12"/>
        <v>0</v>
      </c>
      <c r="T35" s="74">
        <f t="shared" si="12"/>
        <v>0</v>
      </c>
      <c r="U35" s="74">
        <f t="shared" si="12"/>
        <v>0</v>
      </c>
    </row>
    <row r="36" spans="1:21" x14ac:dyDescent="0.3">
      <c r="A36" s="565" t="str">
        <f t="shared" si="7"/>
        <v>VІ етаж</v>
      </c>
      <c r="B36" s="566"/>
      <c r="C36" s="110">
        <f t="shared" si="8"/>
        <v>0</v>
      </c>
      <c r="D36" s="41"/>
      <c r="E36" s="41"/>
      <c r="F36" s="41"/>
      <c r="G36" s="41"/>
      <c r="H36" s="41"/>
      <c r="I36" s="41"/>
      <c r="J36" s="41"/>
      <c r="K36" s="41"/>
      <c r="L36" s="13">
        <f t="shared" si="9"/>
        <v>0</v>
      </c>
      <c r="M36" s="161"/>
      <c r="N36" s="74">
        <f t="shared" si="10"/>
        <v>0</v>
      </c>
      <c r="O36" s="74">
        <f t="shared" si="12"/>
        <v>0</v>
      </c>
      <c r="P36" s="74">
        <f t="shared" si="12"/>
        <v>0</v>
      </c>
      <c r="Q36" s="74">
        <f t="shared" si="12"/>
        <v>0</v>
      </c>
      <c r="R36" s="74">
        <f t="shared" si="12"/>
        <v>0</v>
      </c>
      <c r="S36" s="74">
        <f t="shared" si="12"/>
        <v>0</v>
      </c>
      <c r="T36" s="74">
        <f t="shared" si="12"/>
        <v>0</v>
      </c>
      <c r="U36" s="74">
        <f t="shared" si="12"/>
        <v>0</v>
      </c>
    </row>
    <row r="37" spans="1:21" x14ac:dyDescent="0.3">
      <c r="A37" s="565" t="str">
        <f t="shared" si="7"/>
        <v>VІІ етаж</v>
      </c>
      <c r="B37" s="566"/>
      <c r="C37" s="110">
        <f t="shared" si="8"/>
        <v>0</v>
      </c>
      <c r="D37" s="41"/>
      <c r="E37" s="41"/>
      <c r="F37" s="41"/>
      <c r="G37" s="41"/>
      <c r="H37" s="41"/>
      <c r="I37" s="41"/>
      <c r="J37" s="41"/>
      <c r="K37" s="41"/>
      <c r="L37" s="13">
        <f t="shared" si="9"/>
        <v>0</v>
      </c>
      <c r="M37" s="161"/>
      <c r="N37" s="74">
        <f t="shared" ref="N37:U37" si="13">D37*$C37</f>
        <v>0</v>
      </c>
      <c r="O37" s="74">
        <f t="shared" si="13"/>
        <v>0</v>
      </c>
      <c r="P37" s="74">
        <f t="shared" si="13"/>
        <v>0</v>
      </c>
      <c r="Q37" s="74">
        <f t="shared" si="13"/>
        <v>0</v>
      </c>
      <c r="R37" s="74">
        <f t="shared" si="13"/>
        <v>0</v>
      </c>
      <c r="S37" s="74">
        <f t="shared" si="13"/>
        <v>0</v>
      </c>
      <c r="T37" s="74">
        <f t="shared" si="13"/>
        <v>0</v>
      </c>
      <c r="U37" s="74">
        <f t="shared" si="13"/>
        <v>0</v>
      </c>
    </row>
    <row r="38" spans="1:21" x14ac:dyDescent="0.3">
      <c r="A38" s="565" t="str">
        <f t="shared" si="7"/>
        <v>VІІІ етаж</v>
      </c>
      <c r="B38" s="566"/>
      <c r="C38" s="110">
        <f t="shared" si="8"/>
        <v>0</v>
      </c>
      <c r="D38" s="41"/>
      <c r="E38" s="41"/>
      <c r="F38" s="41"/>
      <c r="G38" s="41"/>
      <c r="H38" s="41"/>
      <c r="I38" s="41"/>
      <c r="J38" s="41"/>
      <c r="K38" s="41"/>
      <c r="L38" s="13">
        <f t="shared" si="9"/>
        <v>0</v>
      </c>
      <c r="M38" s="161"/>
      <c r="N38" s="74">
        <f t="shared" ref="N38:U41" si="14">D38*$C38</f>
        <v>0</v>
      </c>
      <c r="O38" s="74">
        <f t="shared" si="14"/>
        <v>0</v>
      </c>
      <c r="P38" s="74">
        <f t="shared" si="14"/>
        <v>0</v>
      </c>
      <c r="Q38" s="74">
        <f t="shared" si="14"/>
        <v>0</v>
      </c>
      <c r="R38" s="74">
        <f t="shared" si="14"/>
        <v>0</v>
      </c>
      <c r="S38" s="74">
        <f t="shared" si="14"/>
        <v>0</v>
      </c>
      <c r="T38" s="74">
        <f t="shared" si="14"/>
        <v>0</v>
      </c>
      <c r="U38" s="74">
        <f t="shared" si="14"/>
        <v>0</v>
      </c>
    </row>
    <row r="39" spans="1:21" hidden="1" x14ac:dyDescent="0.3">
      <c r="A39" s="565" t="str">
        <f t="shared" si="7"/>
        <v/>
      </c>
      <c r="B39" s="566"/>
      <c r="C39" s="110">
        <f t="shared" si="8"/>
        <v>0</v>
      </c>
      <c r="D39" s="41"/>
      <c r="E39" s="41"/>
      <c r="F39" s="41"/>
      <c r="G39" s="41"/>
      <c r="H39" s="41"/>
      <c r="I39" s="41"/>
      <c r="J39" s="41"/>
      <c r="K39" s="41"/>
      <c r="L39" s="13">
        <f t="shared" si="9"/>
        <v>0</v>
      </c>
      <c r="M39" s="161"/>
      <c r="N39" s="74">
        <f t="shared" si="14"/>
        <v>0</v>
      </c>
      <c r="O39" s="74">
        <f t="shared" si="14"/>
        <v>0</v>
      </c>
      <c r="P39" s="74">
        <f t="shared" si="14"/>
        <v>0</v>
      </c>
      <c r="Q39" s="74">
        <f t="shared" si="14"/>
        <v>0</v>
      </c>
      <c r="R39" s="74">
        <f t="shared" si="14"/>
        <v>0</v>
      </c>
      <c r="S39" s="74">
        <f t="shared" si="14"/>
        <v>0</v>
      </c>
      <c r="T39" s="74">
        <f t="shared" si="14"/>
        <v>0</v>
      </c>
      <c r="U39" s="74">
        <f t="shared" si="14"/>
        <v>0</v>
      </c>
    </row>
    <row r="40" spans="1:21" hidden="1" x14ac:dyDescent="0.3">
      <c r="A40" s="565" t="str">
        <f t="shared" si="7"/>
        <v/>
      </c>
      <c r="B40" s="566"/>
      <c r="C40" s="110">
        <f t="shared" si="8"/>
        <v>0</v>
      </c>
      <c r="D40" s="41"/>
      <c r="E40" s="41"/>
      <c r="F40" s="41"/>
      <c r="G40" s="41"/>
      <c r="H40" s="41"/>
      <c r="I40" s="41"/>
      <c r="J40" s="41"/>
      <c r="K40" s="41"/>
      <c r="L40" s="13">
        <f t="shared" si="9"/>
        <v>0</v>
      </c>
      <c r="M40" s="161"/>
      <c r="N40" s="74">
        <f t="shared" si="14"/>
        <v>0</v>
      </c>
      <c r="O40" s="74">
        <f t="shared" si="14"/>
        <v>0</v>
      </c>
      <c r="P40" s="74">
        <f t="shared" si="14"/>
        <v>0</v>
      </c>
      <c r="Q40" s="74">
        <f t="shared" si="14"/>
        <v>0</v>
      </c>
      <c r="R40" s="74">
        <f t="shared" si="14"/>
        <v>0</v>
      </c>
      <c r="S40" s="74">
        <f t="shared" si="14"/>
        <v>0</v>
      </c>
      <c r="T40" s="74">
        <f t="shared" si="14"/>
        <v>0</v>
      </c>
      <c r="U40" s="74">
        <f t="shared" si="14"/>
        <v>0</v>
      </c>
    </row>
    <row r="41" spans="1:21" hidden="1" x14ac:dyDescent="0.3">
      <c r="A41" s="565" t="str">
        <f t="shared" si="7"/>
        <v/>
      </c>
      <c r="B41" s="566"/>
      <c r="C41" s="110">
        <f t="shared" si="8"/>
        <v>0</v>
      </c>
      <c r="D41" s="41"/>
      <c r="E41" s="41"/>
      <c r="F41" s="41"/>
      <c r="G41" s="41"/>
      <c r="H41" s="41"/>
      <c r="I41" s="41"/>
      <c r="J41" s="41"/>
      <c r="K41" s="41"/>
      <c r="L41" s="13">
        <f t="shared" si="9"/>
        <v>0</v>
      </c>
      <c r="M41" s="161"/>
      <c r="N41" s="74">
        <f t="shared" si="14"/>
        <v>0</v>
      </c>
      <c r="O41" s="74">
        <f t="shared" si="14"/>
        <v>0</v>
      </c>
      <c r="P41" s="74">
        <f t="shared" si="14"/>
        <v>0</v>
      </c>
      <c r="Q41" s="74">
        <f t="shared" si="14"/>
        <v>0</v>
      </c>
      <c r="R41" s="74">
        <f t="shared" si="14"/>
        <v>0</v>
      </c>
      <c r="S41" s="74">
        <f t="shared" si="14"/>
        <v>0</v>
      </c>
      <c r="T41" s="74">
        <f t="shared" si="14"/>
        <v>0</v>
      </c>
      <c r="U41" s="74">
        <f t="shared" si="14"/>
        <v>0</v>
      </c>
    </row>
    <row r="42" spans="1:21" hidden="1" x14ac:dyDescent="0.3">
      <c r="A42" s="565" t="str">
        <f t="shared" ref="A42:A47" si="15">IF(A18="","",A18)</f>
        <v/>
      </c>
      <c r="B42" s="566"/>
      <c r="C42" s="110">
        <f t="shared" ref="C42:C47" si="16">E18</f>
        <v>0</v>
      </c>
      <c r="D42" s="41"/>
      <c r="E42" s="41"/>
      <c r="F42" s="41"/>
      <c r="G42" s="41"/>
      <c r="H42" s="41"/>
      <c r="I42" s="41"/>
      <c r="J42" s="41"/>
      <c r="K42" s="41"/>
      <c r="L42" s="13">
        <f t="shared" ref="L42:L48" si="17">SUM(D42:K42)</f>
        <v>0</v>
      </c>
      <c r="M42" s="161"/>
      <c r="N42" s="74">
        <f t="shared" ref="N42:N48" si="18">D42*$C42</f>
        <v>0</v>
      </c>
      <c r="O42" s="74">
        <f t="shared" ref="O42:O48" si="19">E42*$C42</f>
        <v>0</v>
      </c>
      <c r="P42" s="74">
        <f t="shared" ref="P42:P48" si="20">F42*$C42</f>
        <v>0</v>
      </c>
      <c r="Q42" s="74">
        <f t="shared" ref="Q42:Q48" si="21">G42*$C42</f>
        <v>0</v>
      </c>
      <c r="R42" s="74">
        <f t="shared" ref="R42:R48" si="22">H42*$C42</f>
        <v>0</v>
      </c>
      <c r="S42" s="74">
        <f t="shared" ref="S42:S48" si="23">I42*$C42</f>
        <v>0</v>
      </c>
      <c r="T42" s="74">
        <f t="shared" ref="T42:T48" si="24">J42*$C42</f>
        <v>0</v>
      </c>
      <c r="U42" s="74">
        <f t="shared" ref="U42:U48" si="25">K42*$C42</f>
        <v>0</v>
      </c>
    </row>
    <row r="43" spans="1:21" hidden="1" x14ac:dyDescent="0.3">
      <c r="A43" s="565" t="str">
        <f t="shared" si="15"/>
        <v/>
      </c>
      <c r="B43" s="566"/>
      <c r="C43" s="110">
        <f t="shared" si="16"/>
        <v>0</v>
      </c>
      <c r="D43" s="41"/>
      <c r="E43" s="41"/>
      <c r="F43" s="41"/>
      <c r="G43" s="41"/>
      <c r="H43" s="41"/>
      <c r="I43" s="41"/>
      <c r="J43" s="41"/>
      <c r="K43" s="41"/>
      <c r="L43" s="13">
        <f t="shared" si="17"/>
        <v>0</v>
      </c>
      <c r="M43" s="161"/>
      <c r="N43" s="74">
        <f t="shared" si="18"/>
        <v>0</v>
      </c>
      <c r="O43" s="74">
        <f t="shared" si="19"/>
        <v>0</v>
      </c>
      <c r="P43" s="74">
        <f t="shared" si="20"/>
        <v>0</v>
      </c>
      <c r="Q43" s="74">
        <f t="shared" si="21"/>
        <v>0</v>
      </c>
      <c r="R43" s="74">
        <f t="shared" si="22"/>
        <v>0</v>
      </c>
      <c r="S43" s="74">
        <f t="shared" si="23"/>
        <v>0</v>
      </c>
      <c r="T43" s="74">
        <f t="shared" si="24"/>
        <v>0</v>
      </c>
      <c r="U43" s="74">
        <f t="shared" si="25"/>
        <v>0</v>
      </c>
    </row>
    <row r="44" spans="1:21" hidden="1" x14ac:dyDescent="0.3">
      <c r="A44" s="565" t="str">
        <f t="shared" si="15"/>
        <v/>
      </c>
      <c r="B44" s="566"/>
      <c r="C44" s="110">
        <f t="shared" si="16"/>
        <v>0</v>
      </c>
      <c r="D44" s="41"/>
      <c r="E44" s="41"/>
      <c r="F44" s="41"/>
      <c r="G44" s="41"/>
      <c r="H44" s="41"/>
      <c r="I44" s="41"/>
      <c r="J44" s="41"/>
      <c r="K44" s="41"/>
      <c r="L44" s="13">
        <f t="shared" si="17"/>
        <v>0</v>
      </c>
      <c r="M44" s="161"/>
      <c r="N44" s="74">
        <f t="shared" si="18"/>
        <v>0</v>
      </c>
      <c r="O44" s="74">
        <f t="shared" si="19"/>
        <v>0</v>
      </c>
      <c r="P44" s="74">
        <f t="shared" si="20"/>
        <v>0</v>
      </c>
      <c r="Q44" s="74">
        <f t="shared" si="21"/>
        <v>0</v>
      </c>
      <c r="R44" s="74">
        <f t="shared" si="22"/>
        <v>0</v>
      </c>
      <c r="S44" s="74">
        <f t="shared" si="23"/>
        <v>0</v>
      </c>
      <c r="T44" s="74">
        <f t="shared" si="24"/>
        <v>0</v>
      </c>
      <c r="U44" s="74">
        <f t="shared" si="25"/>
        <v>0</v>
      </c>
    </row>
    <row r="45" spans="1:21" hidden="1" x14ac:dyDescent="0.3">
      <c r="A45" s="565" t="str">
        <f t="shared" si="15"/>
        <v/>
      </c>
      <c r="B45" s="566"/>
      <c r="C45" s="110">
        <f t="shared" si="16"/>
        <v>0</v>
      </c>
      <c r="D45" s="41"/>
      <c r="E45" s="41"/>
      <c r="F45" s="41"/>
      <c r="G45" s="41"/>
      <c r="H45" s="41"/>
      <c r="I45" s="41"/>
      <c r="J45" s="41"/>
      <c r="K45" s="41"/>
      <c r="L45" s="13">
        <f t="shared" si="17"/>
        <v>0</v>
      </c>
      <c r="M45" s="161"/>
      <c r="N45" s="74">
        <f t="shared" si="18"/>
        <v>0</v>
      </c>
      <c r="O45" s="74">
        <f t="shared" si="19"/>
        <v>0</v>
      </c>
      <c r="P45" s="74">
        <f t="shared" si="20"/>
        <v>0</v>
      </c>
      <c r="Q45" s="74">
        <f t="shared" si="21"/>
        <v>0</v>
      </c>
      <c r="R45" s="74">
        <f t="shared" si="22"/>
        <v>0</v>
      </c>
      <c r="S45" s="74">
        <f t="shared" si="23"/>
        <v>0</v>
      </c>
      <c r="T45" s="74">
        <f t="shared" si="24"/>
        <v>0</v>
      </c>
      <c r="U45" s="74">
        <f t="shared" si="25"/>
        <v>0</v>
      </c>
    </row>
    <row r="46" spans="1:21" hidden="1" x14ac:dyDescent="0.3">
      <c r="A46" s="565" t="str">
        <f t="shared" si="15"/>
        <v/>
      </c>
      <c r="B46" s="566"/>
      <c r="C46" s="110">
        <f t="shared" si="16"/>
        <v>0</v>
      </c>
      <c r="D46" s="41"/>
      <c r="E46" s="41"/>
      <c r="F46" s="41"/>
      <c r="G46" s="41"/>
      <c r="H46" s="41"/>
      <c r="I46" s="41"/>
      <c r="J46" s="41"/>
      <c r="K46" s="41"/>
      <c r="L46" s="13">
        <f t="shared" si="17"/>
        <v>0</v>
      </c>
      <c r="M46" s="161"/>
      <c r="N46" s="74">
        <f t="shared" si="18"/>
        <v>0</v>
      </c>
      <c r="O46" s="74">
        <f t="shared" si="19"/>
        <v>0</v>
      </c>
      <c r="P46" s="74">
        <f t="shared" si="20"/>
        <v>0</v>
      </c>
      <c r="Q46" s="74">
        <f t="shared" si="21"/>
        <v>0</v>
      </c>
      <c r="R46" s="74">
        <f t="shared" si="22"/>
        <v>0</v>
      </c>
      <c r="S46" s="74">
        <f t="shared" si="23"/>
        <v>0</v>
      </c>
      <c r="T46" s="74">
        <f t="shared" si="24"/>
        <v>0</v>
      </c>
      <c r="U46" s="74">
        <f t="shared" si="25"/>
        <v>0</v>
      </c>
    </row>
    <row r="47" spans="1:21" hidden="1" x14ac:dyDescent="0.3">
      <c r="A47" s="565" t="str">
        <f t="shared" si="15"/>
        <v/>
      </c>
      <c r="B47" s="566"/>
      <c r="C47" s="110">
        <f t="shared" si="16"/>
        <v>0</v>
      </c>
      <c r="D47" s="41"/>
      <c r="E47" s="41"/>
      <c r="F47" s="41"/>
      <c r="G47" s="41"/>
      <c r="H47" s="41"/>
      <c r="I47" s="41"/>
      <c r="J47" s="41"/>
      <c r="K47" s="41"/>
      <c r="L47" s="13">
        <f t="shared" si="17"/>
        <v>0</v>
      </c>
      <c r="M47" s="161"/>
      <c r="N47" s="74">
        <f t="shared" si="18"/>
        <v>0</v>
      </c>
      <c r="O47" s="74">
        <f t="shared" si="19"/>
        <v>0</v>
      </c>
      <c r="P47" s="74">
        <f t="shared" si="20"/>
        <v>0</v>
      </c>
      <c r="Q47" s="74">
        <f t="shared" si="21"/>
        <v>0</v>
      </c>
      <c r="R47" s="74">
        <f t="shared" si="22"/>
        <v>0</v>
      </c>
      <c r="S47" s="74">
        <f t="shared" si="23"/>
        <v>0</v>
      </c>
      <c r="T47" s="74">
        <f t="shared" si="24"/>
        <v>0</v>
      </c>
      <c r="U47" s="74">
        <f t="shared" si="25"/>
        <v>0</v>
      </c>
    </row>
    <row r="48" spans="1:21" hidden="1" x14ac:dyDescent="0.3">
      <c r="A48" s="565" t="str">
        <f>IF(A24="","",A24)</f>
        <v/>
      </c>
      <c r="B48" s="566"/>
      <c r="C48" s="110">
        <f>E24</f>
        <v>0</v>
      </c>
      <c r="D48" s="41"/>
      <c r="E48" s="41"/>
      <c r="F48" s="41"/>
      <c r="G48" s="41"/>
      <c r="H48" s="41"/>
      <c r="I48" s="41"/>
      <c r="J48" s="41"/>
      <c r="K48" s="41"/>
      <c r="L48" s="13">
        <f t="shared" si="17"/>
        <v>0</v>
      </c>
      <c r="M48" s="161"/>
      <c r="N48" s="74">
        <f t="shared" si="18"/>
        <v>0</v>
      </c>
      <c r="O48" s="74">
        <f t="shared" si="19"/>
        <v>0</v>
      </c>
      <c r="P48" s="74">
        <f t="shared" si="20"/>
        <v>0</v>
      </c>
      <c r="Q48" s="74">
        <f t="shared" si="21"/>
        <v>0</v>
      </c>
      <c r="R48" s="74">
        <f t="shared" si="22"/>
        <v>0</v>
      </c>
      <c r="S48" s="74">
        <f t="shared" si="23"/>
        <v>0</v>
      </c>
      <c r="T48" s="74">
        <f t="shared" si="24"/>
        <v>0</v>
      </c>
      <c r="U48" s="74">
        <f t="shared" si="25"/>
        <v>0</v>
      </c>
    </row>
    <row r="49" spans="1:26" ht="18" x14ac:dyDescent="0.3">
      <c r="A49" s="777" t="s">
        <v>679</v>
      </c>
      <c r="B49" s="777"/>
      <c r="C49" s="777"/>
      <c r="D49" s="482">
        <f t="shared" ref="D49:K49" si="26">N49-D534</f>
        <v>0</v>
      </c>
      <c r="E49" s="482">
        <f t="shared" si="26"/>
        <v>0</v>
      </c>
      <c r="F49" s="482">
        <f t="shared" si="26"/>
        <v>0</v>
      </c>
      <c r="G49" s="482">
        <f t="shared" si="26"/>
        <v>0</v>
      </c>
      <c r="H49" s="482">
        <f t="shared" si="26"/>
        <v>0</v>
      </c>
      <c r="I49" s="482">
        <f t="shared" si="26"/>
        <v>0</v>
      </c>
      <c r="J49" s="482">
        <f t="shared" si="26"/>
        <v>0</v>
      </c>
      <c r="K49" s="482">
        <f t="shared" si="26"/>
        <v>0</v>
      </c>
      <c r="L49" s="13">
        <f t="shared" ref="L49:U49" si="27">SUM(L31:L48)</f>
        <v>0</v>
      </c>
      <c r="M49" s="161"/>
      <c r="N49" s="74">
        <f t="shared" si="27"/>
        <v>0</v>
      </c>
      <c r="O49" s="74">
        <f t="shared" si="27"/>
        <v>0</v>
      </c>
      <c r="P49" s="74">
        <f t="shared" si="27"/>
        <v>0</v>
      </c>
      <c r="Q49" s="74">
        <f t="shared" si="27"/>
        <v>0</v>
      </c>
      <c r="R49" s="74">
        <f t="shared" si="27"/>
        <v>0</v>
      </c>
      <c r="S49" s="74">
        <f t="shared" si="27"/>
        <v>0</v>
      </c>
      <c r="T49" s="74">
        <f t="shared" si="27"/>
        <v>0</v>
      </c>
      <c r="U49" s="74">
        <f t="shared" si="27"/>
        <v>0</v>
      </c>
    </row>
    <row r="50" spans="1:26" ht="18" x14ac:dyDescent="0.3">
      <c r="A50" s="777" t="s">
        <v>835</v>
      </c>
      <c r="B50" s="777"/>
      <c r="C50" s="777"/>
      <c r="D50" s="482">
        <f t="shared" ref="D50:K50" si="28">D49-D92-D134</f>
        <v>0</v>
      </c>
      <c r="E50" s="482">
        <f t="shared" si="28"/>
        <v>0</v>
      </c>
      <c r="F50" s="482">
        <f t="shared" si="28"/>
        <v>0</v>
      </c>
      <c r="G50" s="482">
        <f t="shared" si="28"/>
        <v>0</v>
      </c>
      <c r="H50" s="482">
        <f t="shared" si="28"/>
        <v>0</v>
      </c>
      <c r="I50" s="482">
        <f t="shared" si="28"/>
        <v>0</v>
      </c>
      <c r="J50" s="482">
        <f t="shared" si="28"/>
        <v>0</v>
      </c>
      <c r="K50" s="482">
        <f t="shared" si="28"/>
        <v>0</v>
      </c>
      <c r="L50" s="13"/>
      <c r="M50" s="161"/>
      <c r="N50" s="74"/>
      <c r="O50" s="74"/>
      <c r="P50" s="74"/>
      <c r="Q50" s="74"/>
      <c r="R50" s="74"/>
      <c r="S50" s="74"/>
      <c r="T50" s="74"/>
      <c r="U50" s="74"/>
    </row>
    <row r="52" spans="1:26" ht="21" x14ac:dyDescent="0.4">
      <c r="A52" s="907" t="s">
        <v>628</v>
      </c>
      <c r="B52" s="907"/>
      <c r="C52" s="907"/>
      <c r="D52" s="907"/>
      <c r="E52" s="907"/>
      <c r="F52" s="907"/>
      <c r="G52" s="907"/>
      <c r="H52" s="907"/>
      <c r="I52" s="907"/>
      <c r="J52" s="19" t="s">
        <v>45</v>
      </c>
      <c r="K52" s="460">
        <v>1.4</v>
      </c>
      <c r="L52" s="25" t="s">
        <v>46</v>
      </c>
    </row>
    <row r="53" spans="1:26" ht="18" customHeight="1" x14ac:dyDescent="0.3">
      <c r="A53" s="594" t="s">
        <v>928</v>
      </c>
      <c r="B53" s="660" t="s">
        <v>24</v>
      </c>
      <c r="C53" s="661"/>
      <c r="D53" s="583" t="s">
        <v>23</v>
      </c>
      <c r="E53" s="584"/>
      <c r="F53" s="584"/>
      <c r="G53" s="584"/>
      <c r="H53" s="584"/>
      <c r="I53" s="584"/>
      <c r="J53" s="584"/>
      <c r="K53" s="584"/>
      <c r="L53" s="585"/>
      <c r="M53" s="314"/>
      <c r="X53" s="842" t="s">
        <v>26</v>
      </c>
    </row>
    <row r="54" spans="1:26" ht="18" customHeight="1" x14ac:dyDescent="0.3">
      <c r="A54" s="595"/>
      <c r="B54" s="136"/>
      <c r="C54" s="136"/>
      <c r="D54" s="38" t="s">
        <v>12</v>
      </c>
      <c r="E54" s="38" t="s">
        <v>11</v>
      </c>
      <c r="F54" s="38" t="s">
        <v>10</v>
      </c>
      <c r="G54" s="38" t="s">
        <v>17</v>
      </c>
      <c r="H54" s="38" t="s">
        <v>16</v>
      </c>
      <c r="I54" s="38" t="s">
        <v>15</v>
      </c>
      <c r="J54" s="38" t="s">
        <v>14</v>
      </c>
      <c r="K54" s="38" t="s">
        <v>13</v>
      </c>
      <c r="L54" s="38" t="s">
        <v>427</v>
      </c>
      <c r="M54" s="315"/>
      <c r="N54" s="307" t="s">
        <v>12</v>
      </c>
      <c r="O54" s="38" t="s">
        <v>11</v>
      </c>
      <c r="P54" s="38" t="s">
        <v>10</v>
      </c>
      <c r="Q54" s="38" t="s">
        <v>17</v>
      </c>
      <c r="R54" s="38" t="s">
        <v>16</v>
      </c>
      <c r="S54" s="38" t="s">
        <v>15</v>
      </c>
      <c r="T54" s="38" t="s">
        <v>14</v>
      </c>
      <c r="U54" s="38" t="s">
        <v>13</v>
      </c>
      <c r="V54" s="38" t="s">
        <v>428</v>
      </c>
      <c r="W54" s="842" t="s">
        <v>25</v>
      </c>
      <c r="X54" s="843"/>
    </row>
    <row r="55" spans="1:26" x14ac:dyDescent="0.3">
      <c r="A55" s="595"/>
      <c r="B55" s="38" t="s">
        <v>18</v>
      </c>
      <c r="C55" s="38" t="s">
        <v>19</v>
      </c>
      <c r="D55" s="38" t="s">
        <v>20</v>
      </c>
      <c r="E55" s="38" t="s">
        <v>20</v>
      </c>
      <c r="F55" s="38" t="s">
        <v>20</v>
      </c>
      <c r="G55" s="38" t="s">
        <v>20</v>
      </c>
      <c r="H55" s="38" t="s">
        <v>20</v>
      </c>
      <c r="I55" s="38" t="s">
        <v>20</v>
      </c>
      <c r="J55" s="38" t="s">
        <v>20</v>
      </c>
      <c r="K55" s="38" t="s">
        <v>20</v>
      </c>
      <c r="L55" s="38" t="s">
        <v>20</v>
      </c>
      <c r="M55" s="315"/>
      <c r="N55" s="307" t="s">
        <v>905</v>
      </c>
      <c r="O55" s="38" t="s">
        <v>905</v>
      </c>
      <c r="P55" s="38" t="s">
        <v>905</v>
      </c>
      <c r="Q55" s="38" t="s">
        <v>905</v>
      </c>
      <c r="R55" s="38" t="s">
        <v>905</v>
      </c>
      <c r="S55" s="38" t="s">
        <v>905</v>
      </c>
      <c r="T55" s="38" t="s">
        <v>905</v>
      </c>
      <c r="U55" s="38" t="s">
        <v>905</v>
      </c>
      <c r="V55" s="38" t="s">
        <v>905</v>
      </c>
      <c r="W55" s="844"/>
      <c r="X55" s="844"/>
    </row>
    <row r="56" spans="1:26" ht="18" x14ac:dyDescent="0.3">
      <c r="A56" s="102" t="s">
        <v>950</v>
      </c>
      <c r="B56" s="102" t="s">
        <v>883</v>
      </c>
      <c r="C56" s="102" t="s">
        <v>883</v>
      </c>
      <c r="D56" s="102" t="s">
        <v>21</v>
      </c>
      <c r="E56" s="102" t="s">
        <v>21</v>
      </c>
      <c r="F56" s="102" t="s">
        <v>21</v>
      </c>
      <c r="G56" s="102" t="s">
        <v>21</v>
      </c>
      <c r="H56" s="102" t="s">
        <v>21</v>
      </c>
      <c r="I56" s="102" t="s">
        <v>21</v>
      </c>
      <c r="J56" s="102" t="s">
        <v>21</v>
      </c>
      <c r="K56" s="102" t="s">
        <v>21</v>
      </c>
      <c r="L56" s="102" t="s">
        <v>21</v>
      </c>
      <c r="M56" s="316"/>
      <c r="N56" s="308" t="s">
        <v>27</v>
      </c>
      <c r="O56" s="102" t="s">
        <v>27</v>
      </c>
      <c r="P56" s="102" t="s">
        <v>27</v>
      </c>
      <c r="Q56" s="102" t="s">
        <v>27</v>
      </c>
      <c r="R56" s="102" t="s">
        <v>27</v>
      </c>
      <c r="S56" s="102" t="s">
        <v>27</v>
      </c>
      <c r="T56" s="102" t="s">
        <v>27</v>
      </c>
      <c r="U56" s="102" t="s">
        <v>27</v>
      </c>
      <c r="V56" s="102" t="s">
        <v>27</v>
      </c>
      <c r="W56" s="98" t="s">
        <v>907</v>
      </c>
      <c r="X56" s="98" t="s">
        <v>22</v>
      </c>
    </row>
    <row r="57" spans="1:26" x14ac:dyDescent="0.3">
      <c r="A57" s="98">
        <v>1</v>
      </c>
      <c r="B57" s="42"/>
      <c r="C57" s="42"/>
      <c r="D57" s="104"/>
      <c r="E57" s="104"/>
      <c r="F57" s="104"/>
      <c r="G57" s="104"/>
      <c r="H57" s="104"/>
      <c r="I57" s="104"/>
      <c r="J57" s="104"/>
      <c r="K57" s="104"/>
      <c r="L57" s="104"/>
      <c r="M57" s="317"/>
      <c r="N57" s="309">
        <f>$B57*$C57*D57</f>
        <v>0</v>
      </c>
      <c r="O57" s="98">
        <f t="shared" ref="O57:V57" si="29">$B57*$C57*E57</f>
        <v>0</v>
      </c>
      <c r="P57" s="98">
        <f t="shared" si="29"/>
        <v>0</v>
      </c>
      <c r="Q57" s="98">
        <f t="shared" si="29"/>
        <v>0</v>
      </c>
      <c r="R57" s="98">
        <f t="shared" si="29"/>
        <v>0</v>
      </c>
      <c r="S57" s="98">
        <f t="shared" si="29"/>
        <v>0</v>
      </c>
      <c r="T57" s="98">
        <f t="shared" si="29"/>
        <v>0</v>
      </c>
      <c r="U57" s="98">
        <f t="shared" si="29"/>
        <v>0</v>
      </c>
      <c r="V57" s="98">
        <f t="shared" si="29"/>
        <v>0</v>
      </c>
      <c r="W57" s="98">
        <f>SUM(D57:L57)*C57*B57</f>
        <v>0</v>
      </c>
      <c r="X57" s="98">
        <f>(B57+C57)*2*SUM(D57:L57)</f>
        <v>0</v>
      </c>
      <c r="Y57" s="1" t="b">
        <f>AND(B57&lt;&gt;0,C57&lt;&gt;0)</f>
        <v>0</v>
      </c>
      <c r="Z57" s="1" t="e">
        <f>OR(D57:L57)</f>
        <v>#VALUE!</v>
      </c>
    </row>
    <row r="58" spans="1:26" x14ac:dyDescent="0.3">
      <c r="A58" s="98">
        <v>2</v>
      </c>
      <c r="B58" s="42"/>
      <c r="C58" s="42"/>
      <c r="D58" s="104"/>
      <c r="E58" s="104"/>
      <c r="F58" s="104"/>
      <c r="G58" s="104"/>
      <c r="H58" s="104"/>
      <c r="I58" s="104"/>
      <c r="J58" s="104"/>
      <c r="K58" s="104"/>
      <c r="L58" s="104"/>
      <c r="M58" s="317"/>
      <c r="N58" s="309">
        <f t="shared" ref="N58:N63" si="30">$B58*$C58*D58</f>
        <v>0</v>
      </c>
      <c r="O58" s="98">
        <f t="shared" ref="O58:O63" si="31">$B58*$C58*E58</f>
        <v>0</v>
      </c>
      <c r="P58" s="98">
        <f t="shared" ref="P58:P63" si="32">$B58*$C58*F58</f>
        <v>0</v>
      </c>
      <c r="Q58" s="98">
        <f t="shared" ref="Q58:Q63" si="33">$B58*$C58*G58</f>
        <v>0</v>
      </c>
      <c r="R58" s="98">
        <f t="shared" ref="R58:R63" si="34">$B58*$C58*H58</f>
        <v>0</v>
      </c>
      <c r="S58" s="98">
        <f t="shared" ref="S58:S63" si="35">$B58*$C58*I58</f>
        <v>0</v>
      </c>
      <c r="T58" s="98">
        <f t="shared" ref="T58:T63" si="36">$B58*$C58*J58</f>
        <v>0</v>
      </c>
      <c r="U58" s="98">
        <f t="shared" ref="U58:U63" si="37">$B58*$C58*K58</f>
        <v>0</v>
      </c>
      <c r="V58" s="98">
        <f t="shared" ref="V58:V63" si="38">$B58*$C58*L58</f>
        <v>0</v>
      </c>
      <c r="W58" s="98">
        <f t="shared" ref="W58:W63" si="39">SUM(D58:L58)*C58*B58</f>
        <v>0</v>
      </c>
      <c r="X58" s="98">
        <f t="shared" ref="X58:X63" si="40">(B58+C58)*2*SUM(D58:L58)</f>
        <v>0</v>
      </c>
      <c r="Y58" s="1" t="b">
        <f t="shared" ref="Y58:Y91" si="41">AND(B58&lt;&gt;0,C58&lt;&gt;0)</f>
        <v>0</v>
      </c>
      <c r="Z58" s="1" t="e">
        <f t="shared" ref="Z58:Z91" si="42">OR(D58:L58)</f>
        <v>#VALUE!</v>
      </c>
    </row>
    <row r="59" spans="1:26" x14ac:dyDescent="0.3">
      <c r="A59" s="98">
        <v>3</v>
      </c>
      <c r="B59" s="42"/>
      <c r="C59" s="42"/>
      <c r="D59" s="104"/>
      <c r="E59" s="104"/>
      <c r="F59" s="104"/>
      <c r="G59" s="104"/>
      <c r="H59" s="104"/>
      <c r="I59" s="104"/>
      <c r="J59" s="104"/>
      <c r="K59" s="104"/>
      <c r="L59" s="104"/>
      <c r="M59" s="317"/>
      <c r="N59" s="309">
        <f t="shared" si="30"/>
        <v>0</v>
      </c>
      <c r="O59" s="98">
        <f t="shared" si="31"/>
        <v>0</v>
      </c>
      <c r="P59" s="98">
        <f t="shared" si="32"/>
        <v>0</v>
      </c>
      <c r="Q59" s="98">
        <f t="shared" si="33"/>
        <v>0</v>
      </c>
      <c r="R59" s="98">
        <f t="shared" si="34"/>
        <v>0</v>
      </c>
      <c r="S59" s="98">
        <f t="shared" si="35"/>
        <v>0</v>
      </c>
      <c r="T59" s="98">
        <f t="shared" si="36"/>
        <v>0</v>
      </c>
      <c r="U59" s="98">
        <f t="shared" si="37"/>
        <v>0</v>
      </c>
      <c r="V59" s="98">
        <f t="shared" si="38"/>
        <v>0</v>
      </c>
      <c r="W59" s="98">
        <f t="shared" si="39"/>
        <v>0</v>
      </c>
      <c r="X59" s="98">
        <f t="shared" si="40"/>
        <v>0</v>
      </c>
      <c r="Y59" s="1" t="b">
        <f t="shared" si="41"/>
        <v>0</v>
      </c>
      <c r="Z59" s="1" t="e">
        <f t="shared" si="42"/>
        <v>#VALUE!</v>
      </c>
    </row>
    <row r="60" spans="1:26" x14ac:dyDescent="0.3">
      <c r="A60" s="98">
        <v>4</v>
      </c>
      <c r="B60" s="42"/>
      <c r="C60" s="42"/>
      <c r="D60" s="104"/>
      <c r="E60" s="104"/>
      <c r="F60" s="104"/>
      <c r="G60" s="104"/>
      <c r="H60" s="104"/>
      <c r="I60" s="104"/>
      <c r="J60" s="104"/>
      <c r="K60" s="104"/>
      <c r="L60" s="104"/>
      <c r="M60" s="317"/>
      <c r="N60" s="309">
        <f t="shared" si="30"/>
        <v>0</v>
      </c>
      <c r="O60" s="98">
        <f t="shared" si="31"/>
        <v>0</v>
      </c>
      <c r="P60" s="98">
        <f t="shared" si="32"/>
        <v>0</v>
      </c>
      <c r="Q60" s="98">
        <f t="shared" si="33"/>
        <v>0</v>
      </c>
      <c r="R60" s="98">
        <f t="shared" si="34"/>
        <v>0</v>
      </c>
      <c r="S60" s="98">
        <f t="shared" si="35"/>
        <v>0</v>
      </c>
      <c r="T60" s="98">
        <f t="shared" si="36"/>
        <v>0</v>
      </c>
      <c r="U60" s="98">
        <f t="shared" si="37"/>
        <v>0</v>
      </c>
      <c r="V60" s="98">
        <f t="shared" si="38"/>
        <v>0</v>
      </c>
      <c r="W60" s="98">
        <f t="shared" si="39"/>
        <v>0</v>
      </c>
      <c r="X60" s="98">
        <f t="shared" si="40"/>
        <v>0</v>
      </c>
      <c r="Y60" s="1" t="b">
        <f t="shared" si="41"/>
        <v>0</v>
      </c>
      <c r="Z60" s="1" t="e">
        <f t="shared" si="42"/>
        <v>#VALUE!</v>
      </c>
    </row>
    <row r="61" spans="1:26" x14ac:dyDescent="0.3">
      <c r="A61" s="98">
        <v>5</v>
      </c>
      <c r="B61" s="42"/>
      <c r="C61" s="42"/>
      <c r="D61" s="104"/>
      <c r="E61" s="104"/>
      <c r="F61" s="104"/>
      <c r="G61" s="104"/>
      <c r="H61" s="104"/>
      <c r="I61" s="104"/>
      <c r="J61" s="104"/>
      <c r="K61" s="104"/>
      <c r="L61" s="104"/>
      <c r="M61" s="317"/>
      <c r="N61" s="309">
        <f t="shared" si="30"/>
        <v>0</v>
      </c>
      <c r="O61" s="98">
        <f t="shared" si="31"/>
        <v>0</v>
      </c>
      <c r="P61" s="98">
        <f t="shared" si="32"/>
        <v>0</v>
      </c>
      <c r="Q61" s="98">
        <f t="shared" si="33"/>
        <v>0</v>
      </c>
      <c r="R61" s="98">
        <f t="shared" si="34"/>
        <v>0</v>
      </c>
      <c r="S61" s="98">
        <f t="shared" si="35"/>
        <v>0</v>
      </c>
      <c r="T61" s="98">
        <f t="shared" si="36"/>
        <v>0</v>
      </c>
      <c r="U61" s="98">
        <f t="shared" si="37"/>
        <v>0</v>
      </c>
      <c r="V61" s="98">
        <f t="shared" si="38"/>
        <v>0</v>
      </c>
      <c r="W61" s="98">
        <f t="shared" si="39"/>
        <v>0</v>
      </c>
      <c r="X61" s="98">
        <f t="shared" si="40"/>
        <v>0</v>
      </c>
      <c r="Y61" s="1" t="b">
        <f t="shared" si="41"/>
        <v>0</v>
      </c>
      <c r="Z61" s="1" t="e">
        <f t="shared" si="42"/>
        <v>#VALUE!</v>
      </c>
    </row>
    <row r="62" spans="1:26" x14ac:dyDescent="0.3">
      <c r="A62" s="98">
        <v>6</v>
      </c>
      <c r="B62" s="42"/>
      <c r="C62" s="42"/>
      <c r="D62" s="104"/>
      <c r="E62" s="104"/>
      <c r="F62" s="104"/>
      <c r="G62" s="104"/>
      <c r="H62" s="104"/>
      <c r="I62" s="104"/>
      <c r="J62" s="104"/>
      <c r="K62" s="104"/>
      <c r="L62" s="104"/>
      <c r="M62" s="317"/>
      <c r="N62" s="309">
        <f t="shared" si="30"/>
        <v>0</v>
      </c>
      <c r="O62" s="98">
        <f t="shared" si="31"/>
        <v>0</v>
      </c>
      <c r="P62" s="98">
        <f t="shared" si="32"/>
        <v>0</v>
      </c>
      <c r="Q62" s="98">
        <f t="shared" si="33"/>
        <v>0</v>
      </c>
      <c r="R62" s="98">
        <f t="shared" si="34"/>
        <v>0</v>
      </c>
      <c r="S62" s="98">
        <f t="shared" si="35"/>
        <v>0</v>
      </c>
      <c r="T62" s="98">
        <f t="shared" si="36"/>
        <v>0</v>
      </c>
      <c r="U62" s="98">
        <f t="shared" si="37"/>
        <v>0</v>
      </c>
      <c r="V62" s="98">
        <f t="shared" si="38"/>
        <v>0</v>
      </c>
      <c r="W62" s="98">
        <f t="shared" si="39"/>
        <v>0</v>
      </c>
      <c r="X62" s="98">
        <f t="shared" si="40"/>
        <v>0</v>
      </c>
      <c r="Y62" s="1" t="b">
        <f t="shared" si="41"/>
        <v>0</v>
      </c>
      <c r="Z62" s="1" t="e">
        <f t="shared" si="42"/>
        <v>#VALUE!</v>
      </c>
    </row>
    <row r="63" spans="1:26" x14ac:dyDescent="0.3">
      <c r="A63" s="98">
        <v>7</v>
      </c>
      <c r="B63" s="42"/>
      <c r="C63" s="42"/>
      <c r="D63" s="104"/>
      <c r="E63" s="104"/>
      <c r="F63" s="104"/>
      <c r="G63" s="104"/>
      <c r="H63" s="104"/>
      <c r="I63" s="104"/>
      <c r="J63" s="104"/>
      <c r="K63" s="104"/>
      <c r="L63" s="104"/>
      <c r="M63" s="317"/>
      <c r="N63" s="309">
        <f t="shared" si="30"/>
        <v>0</v>
      </c>
      <c r="O63" s="98">
        <f t="shared" si="31"/>
        <v>0</v>
      </c>
      <c r="P63" s="98">
        <f t="shared" si="32"/>
        <v>0</v>
      </c>
      <c r="Q63" s="98">
        <f t="shared" si="33"/>
        <v>0</v>
      </c>
      <c r="R63" s="98">
        <f t="shared" si="34"/>
        <v>0</v>
      </c>
      <c r="S63" s="98">
        <f t="shared" si="35"/>
        <v>0</v>
      </c>
      <c r="T63" s="98">
        <f t="shared" si="36"/>
        <v>0</v>
      </c>
      <c r="U63" s="98">
        <f t="shared" si="37"/>
        <v>0</v>
      </c>
      <c r="V63" s="98">
        <f t="shared" si="38"/>
        <v>0</v>
      </c>
      <c r="W63" s="98">
        <f t="shared" si="39"/>
        <v>0</v>
      </c>
      <c r="X63" s="98">
        <f t="shared" si="40"/>
        <v>0</v>
      </c>
      <c r="Y63" s="1" t="b">
        <f t="shared" si="41"/>
        <v>0</v>
      </c>
      <c r="Z63" s="1" t="e">
        <f t="shared" si="42"/>
        <v>#VALUE!</v>
      </c>
    </row>
    <row r="64" spans="1:26" x14ac:dyDescent="0.3">
      <c r="A64" s="98">
        <v>8</v>
      </c>
      <c r="B64" s="42"/>
      <c r="C64" s="42"/>
      <c r="D64" s="104"/>
      <c r="E64" s="104"/>
      <c r="F64" s="104"/>
      <c r="G64" s="104"/>
      <c r="H64" s="104"/>
      <c r="I64" s="104"/>
      <c r="J64" s="104"/>
      <c r="K64" s="104"/>
      <c r="L64" s="104"/>
      <c r="M64" s="317"/>
      <c r="N64" s="309">
        <f t="shared" ref="N64:V67" si="43">$B64*$C64*D64</f>
        <v>0</v>
      </c>
      <c r="O64" s="98">
        <f t="shared" si="43"/>
        <v>0</v>
      </c>
      <c r="P64" s="98">
        <f t="shared" si="43"/>
        <v>0</v>
      </c>
      <c r="Q64" s="98">
        <f t="shared" si="43"/>
        <v>0</v>
      </c>
      <c r="R64" s="98">
        <f t="shared" si="43"/>
        <v>0</v>
      </c>
      <c r="S64" s="98">
        <f t="shared" si="43"/>
        <v>0</v>
      </c>
      <c r="T64" s="98">
        <f t="shared" si="43"/>
        <v>0</v>
      </c>
      <c r="U64" s="98">
        <f t="shared" si="43"/>
        <v>0</v>
      </c>
      <c r="V64" s="98">
        <f t="shared" si="43"/>
        <v>0</v>
      </c>
      <c r="W64" s="98">
        <f>SUM(D64:L64)*C64*B64</f>
        <v>0</v>
      </c>
      <c r="X64" s="98">
        <f>(B64+C64)*2*SUM(D64:L64)</f>
        <v>0</v>
      </c>
      <c r="Y64" s="1" t="b">
        <f t="shared" si="41"/>
        <v>0</v>
      </c>
      <c r="Z64" s="1" t="e">
        <f t="shared" si="42"/>
        <v>#VALUE!</v>
      </c>
    </row>
    <row r="65" spans="1:26" x14ac:dyDescent="0.3">
      <c r="A65" s="98">
        <v>9</v>
      </c>
      <c r="B65" s="42"/>
      <c r="C65" s="42"/>
      <c r="D65" s="104"/>
      <c r="E65" s="104"/>
      <c r="F65" s="104"/>
      <c r="G65" s="104"/>
      <c r="H65" s="104"/>
      <c r="I65" s="104"/>
      <c r="J65" s="104"/>
      <c r="K65" s="104"/>
      <c r="L65" s="104"/>
      <c r="M65" s="317"/>
      <c r="N65" s="309">
        <f t="shared" si="43"/>
        <v>0</v>
      </c>
      <c r="O65" s="98">
        <f t="shared" si="43"/>
        <v>0</v>
      </c>
      <c r="P65" s="98">
        <f t="shared" si="43"/>
        <v>0</v>
      </c>
      <c r="Q65" s="98">
        <f t="shared" si="43"/>
        <v>0</v>
      </c>
      <c r="R65" s="98">
        <f t="shared" si="43"/>
        <v>0</v>
      </c>
      <c r="S65" s="98">
        <f t="shared" si="43"/>
        <v>0</v>
      </c>
      <c r="T65" s="98">
        <f t="shared" si="43"/>
        <v>0</v>
      </c>
      <c r="U65" s="98">
        <f t="shared" si="43"/>
        <v>0</v>
      </c>
      <c r="V65" s="98">
        <f t="shared" si="43"/>
        <v>0</v>
      </c>
      <c r="W65" s="98">
        <f>SUM(D65:L65)*C65*B65</f>
        <v>0</v>
      </c>
      <c r="X65" s="98">
        <f>(B65+C65)*2*SUM(D65:L65)</f>
        <v>0</v>
      </c>
      <c r="Y65" s="1" t="b">
        <f t="shared" si="41"/>
        <v>0</v>
      </c>
      <c r="Z65" s="1" t="e">
        <f t="shared" si="42"/>
        <v>#VALUE!</v>
      </c>
    </row>
    <row r="66" spans="1:26" x14ac:dyDescent="0.3">
      <c r="A66" s="98">
        <v>10</v>
      </c>
      <c r="B66" s="42"/>
      <c r="C66" s="42"/>
      <c r="D66" s="104"/>
      <c r="E66" s="104"/>
      <c r="F66" s="104"/>
      <c r="G66" s="104"/>
      <c r="H66" s="104"/>
      <c r="I66" s="104"/>
      <c r="J66" s="104"/>
      <c r="K66" s="104"/>
      <c r="L66" s="104"/>
      <c r="M66" s="317"/>
      <c r="N66" s="309">
        <f t="shared" si="43"/>
        <v>0</v>
      </c>
      <c r="O66" s="98">
        <f t="shared" si="43"/>
        <v>0</v>
      </c>
      <c r="P66" s="98">
        <f t="shared" si="43"/>
        <v>0</v>
      </c>
      <c r="Q66" s="98">
        <f t="shared" si="43"/>
        <v>0</v>
      </c>
      <c r="R66" s="98">
        <f t="shared" si="43"/>
        <v>0</v>
      </c>
      <c r="S66" s="98">
        <f t="shared" si="43"/>
        <v>0</v>
      </c>
      <c r="T66" s="98">
        <f t="shared" si="43"/>
        <v>0</v>
      </c>
      <c r="U66" s="98">
        <f t="shared" si="43"/>
        <v>0</v>
      </c>
      <c r="V66" s="98">
        <f t="shared" si="43"/>
        <v>0</v>
      </c>
      <c r="W66" s="98">
        <f>SUM(D66:L66)*C66*B66</f>
        <v>0</v>
      </c>
      <c r="X66" s="98">
        <f>(B66+C66)*2*SUM(D66:L66)</f>
        <v>0</v>
      </c>
      <c r="Y66" s="1" t="b">
        <f t="shared" si="41"/>
        <v>0</v>
      </c>
      <c r="Z66" s="1" t="e">
        <f t="shared" si="42"/>
        <v>#VALUE!</v>
      </c>
    </row>
    <row r="67" spans="1:26" x14ac:dyDescent="0.3">
      <c r="A67" s="98">
        <v>11</v>
      </c>
      <c r="B67" s="42"/>
      <c r="C67" s="42"/>
      <c r="D67" s="104"/>
      <c r="E67" s="104"/>
      <c r="F67" s="104"/>
      <c r="G67" s="104"/>
      <c r="H67" s="104"/>
      <c r="I67" s="104"/>
      <c r="J67" s="104"/>
      <c r="K67" s="104"/>
      <c r="L67" s="104"/>
      <c r="M67" s="317"/>
      <c r="N67" s="309">
        <f t="shared" si="43"/>
        <v>0</v>
      </c>
      <c r="O67" s="98">
        <f t="shared" si="43"/>
        <v>0</v>
      </c>
      <c r="P67" s="98">
        <f t="shared" si="43"/>
        <v>0</v>
      </c>
      <c r="Q67" s="98">
        <f t="shared" si="43"/>
        <v>0</v>
      </c>
      <c r="R67" s="98">
        <f t="shared" si="43"/>
        <v>0</v>
      </c>
      <c r="S67" s="98">
        <f t="shared" si="43"/>
        <v>0</v>
      </c>
      <c r="T67" s="98">
        <f t="shared" si="43"/>
        <v>0</v>
      </c>
      <c r="U67" s="98">
        <f t="shared" si="43"/>
        <v>0</v>
      </c>
      <c r="V67" s="98">
        <f t="shared" si="43"/>
        <v>0</v>
      </c>
      <c r="W67" s="98">
        <f>SUM(D67:L67)*C67*B67</f>
        <v>0</v>
      </c>
      <c r="X67" s="98">
        <f>(B67+C67)*2*SUM(D67:L67)</f>
        <v>0</v>
      </c>
      <c r="Y67" s="1" t="b">
        <f t="shared" si="41"/>
        <v>0</v>
      </c>
      <c r="Z67" s="1" t="e">
        <f t="shared" si="42"/>
        <v>#VALUE!</v>
      </c>
    </row>
    <row r="68" spans="1:26" x14ac:dyDescent="0.3">
      <c r="A68" s="98">
        <v>12</v>
      </c>
      <c r="B68" s="42"/>
      <c r="C68" s="42"/>
      <c r="D68" s="104"/>
      <c r="E68" s="104"/>
      <c r="F68" s="104"/>
      <c r="G68" s="104"/>
      <c r="H68" s="104"/>
      <c r="I68" s="104"/>
      <c r="J68" s="104"/>
      <c r="K68" s="104"/>
      <c r="L68" s="104"/>
      <c r="M68" s="317"/>
      <c r="N68" s="309">
        <f t="shared" ref="N68:N91" si="44">$B68*$C68*D68</f>
        <v>0</v>
      </c>
      <c r="O68" s="98">
        <f t="shared" ref="O68:O91" si="45">$B68*$C68*E68</f>
        <v>0</v>
      </c>
      <c r="P68" s="98">
        <f t="shared" ref="P68:P91" si="46">$B68*$C68*F68</f>
        <v>0</v>
      </c>
      <c r="Q68" s="98">
        <f t="shared" ref="Q68:Q91" si="47">$B68*$C68*G68</f>
        <v>0</v>
      </c>
      <c r="R68" s="98">
        <f t="shared" ref="R68:R91" si="48">$B68*$C68*H68</f>
        <v>0</v>
      </c>
      <c r="S68" s="98">
        <f t="shared" ref="S68:S91" si="49">$B68*$C68*I68</f>
        <v>0</v>
      </c>
      <c r="T68" s="98">
        <f t="shared" ref="T68:T91" si="50">$B68*$C68*J68</f>
        <v>0</v>
      </c>
      <c r="U68" s="98">
        <f t="shared" ref="U68:U91" si="51">$B68*$C68*K68</f>
        <v>0</v>
      </c>
      <c r="V68" s="98">
        <f t="shared" ref="V68:V91" si="52">$B68*$C68*L68</f>
        <v>0</v>
      </c>
      <c r="W68" s="98">
        <f t="shared" ref="W68:W91" si="53">SUM(D68:L68)*C68*B68</f>
        <v>0</v>
      </c>
      <c r="X68" s="98">
        <f t="shared" ref="X68:X91" si="54">(B68+C68)*2*SUM(D68:L68)</f>
        <v>0</v>
      </c>
      <c r="Y68" s="1" t="b">
        <f t="shared" si="41"/>
        <v>0</v>
      </c>
      <c r="Z68" s="1" t="e">
        <f t="shared" si="42"/>
        <v>#VALUE!</v>
      </c>
    </row>
    <row r="69" spans="1:26" x14ac:dyDescent="0.3">
      <c r="A69" s="98">
        <v>13</v>
      </c>
      <c r="B69" s="42"/>
      <c r="C69" s="42"/>
      <c r="D69" s="104"/>
      <c r="E69" s="104"/>
      <c r="F69" s="104"/>
      <c r="G69" s="104"/>
      <c r="H69" s="104"/>
      <c r="I69" s="104"/>
      <c r="J69" s="104"/>
      <c r="K69" s="104"/>
      <c r="L69" s="104"/>
      <c r="M69" s="317"/>
      <c r="N69" s="309">
        <f t="shared" si="44"/>
        <v>0</v>
      </c>
      <c r="O69" s="98">
        <f t="shared" si="45"/>
        <v>0</v>
      </c>
      <c r="P69" s="98">
        <f t="shared" si="46"/>
        <v>0</v>
      </c>
      <c r="Q69" s="98">
        <f t="shared" si="47"/>
        <v>0</v>
      </c>
      <c r="R69" s="98">
        <f t="shared" si="48"/>
        <v>0</v>
      </c>
      <c r="S69" s="98">
        <f t="shared" si="49"/>
        <v>0</v>
      </c>
      <c r="T69" s="98">
        <f t="shared" si="50"/>
        <v>0</v>
      </c>
      <c r="U69" s="98">
        <f t="shared" si="51"/>
        <v>0</v>
      </c>
      <c r="V69" s="98">
        <f t="shared" si="52"/>
        <v>0</v>
      </c>
      <c r="W69" s="98">
        <f t="shared" si="53"/>
        <v>0</v>
      </c>
      <c r="X69" s="98">
        <f t="shared" si="54"/>
        <v>0</v>
      </c>
      <c r="Y69" s="1" t="b">
        <f t="shared" si="41"/>
        <v>0</v>
      </c>
      <c r="Z69" s="1" t="e">
        <f t="shared" si="42"/>
        <v>#VALUE!</v>
      </c>
    </row>
    <row r="70" spans="1:26" x14ac:dyDescent="0.3">
      <c r="A70" s="98">
        <v>14</v>
      </c>
      <c r="B70" s="42"/>
      <c r="C70" s="42"/>
      <c r="D70" s="104"/>
      <c r="E70" s="104"/>
      <c r="F70" s="104"/>
      <c r="G70" s="104"/>
      <c r="H70" s="104"/>
      <c r="I70" s="104"/>
      <c r="J70" s="104"/>
      <c r="K70" s="104"/>
      <c r="L70" s="104"/>
      <c r="M70" s="317"/>
      <c r="N70" s="309">
        <f t="shared" si="44"/>
        <v>0</v>
      </c>
      <c r="O70" s="98">
        <f t="shared" si="45"/>
        <v>0</v>
      </c>
      <c r="P70" s="98">
        <f t="shared" si="46"/>
        <v>0</v>
      </c>
      <c r="Q70" s="98">
        <f t="shared" si="47"/>
        <v>0</v>
      </c>
      <c r="R70" s="98">
        <f t="shared" si="48"/>
        <v>0</v>
      </c>
      <c r="S70" s="98">
        <f t="shared" si="49"/>
        <v>0</v>
      </c>
      <c r="T70" s="98">
        <f t="shared" si="50"/>
        <v>0</v>
      </c>
      <c r="U70" s="98">
        <f t="shared" si="51"/>
        <v>0</v>
      </c>
      <c r="V70" s="98">
        <f t="shared" si="52"/>
        <v>0</v>
      </c>
      <c r="W70" s="98">
        <f t="shared" si="53"/>
        <v>0</v>
      </c>
      <c r="X70" s="98">
        <f t="shared" si="54"/>
        <v>0</v>
      </c>
      <c r="Y70" s="1" t="b">
        <f t="shared" si="41"/>
        <v>0</v>
      </c>
      <c r="Z70" s="1" t="e">
        <f t="shared" si="42"/>
        <v>#VALUE!</v>
      </c>
    </row>
    <row r="71" spans="1:26" x14ac:dyDescent="0.3">
      <c r="A71" s="98">
        <v>15</v>
      </c>
      <c r="B71" s="42"/>
      <c r="C71" s="42"/>
      <c r="D71" s="104"/>
      <c r="E71" s="104"/>
      <c r="F71" s="104"/>
      <c r="G71" s="104"/>
      <c r="H71" s="104"/>
      <c r="I71" s="104"/>
      <c r="J71" s="104"/>
      <c r="K71" s="104"/>
      <c r="L71" s="104"/>
      <c r="M71" s="317"/>
      <c r="N71" s="309">
        <f t="shared" si="44"/>
        <v>0</v>
      </c>
      <c r="O71" s="98">
        <f t="shared" si="45"/>
        <v>0</v>
      </c>
      <c r="P71" s="98">
        <f t="shared" si="46"/>
        <v>0</v>
      </c>
      <c r="Q71" s="98">
        <f t="shared" si="47"/>
        <v>0</v>
      </c>
      <c r="R71" s="98">
        <f t="shared" si="48"/>
        <v>0</v>
      </c>
      <c r="S71" s="98">
        <f t="shared" si="49"/>
        <v>0</v>
      </c>
      <c r="T71" s="98">
        <f t="shared" si="50"/>
        <v>0</v>
      </c>
      <c r="U71" s="98">
        <f t="shared" si="51"/>
        <v>0</v>
      </c>
      <c r="V71" s="98">
        <f t="shared" si="52"/>
        <v>0</v>
      </c>
      <c r="W71" s="98">
        <f t="shared" si="53"/>
        <v>0</v>
      </c>
      <c r="X71" s="98">
        <f t="shared" si="54"/>
        <v>0</v>
      </c>
      <c r="Y71" s="1" t="b">
        <f t="shared" si="41"/>
        <v>0</v>
      </c>
      <c r="Z71" s="1" t="e">
        <f t="shared" si="42"/>
        <v>#VALUE!</v>
      </c>
    </row>
    <row r="72" spans="1:26" x14ac:dyDescent="0.3">
      <c r="A72" s="98">
        <v>16</v>
      </c>
      <c r="B72" s="42"/>
      <c r="C72" s="42"/>
      <c r="D72" s="104"/>
      <c r="E72" s="104"/>
      <c r="F72" s="104"/>
      <c r="G72" s="104"/>
      <c r="H72" s="104"/>
      <c r="I72" s="104"/>
      <c r="J72" s="104"/>
      <c r="K72" s="104"/>
      <c r="L72" s="104"/>
      <c r="M72" s="317"/>
      <c r="N72" s="309">
        <f t="shared" si="44"/>
        <v>0</v>
      </c>
      <c r="O72" s="98">
        <f t="shared" si="45"/>
        <v>0</v>
      </c>
      <c r="P72" s="98">
        <f t="shared" si="46"/>
        <v>0</v>
      </c>
      <c r="Q72" s="98">
        <f t="shared" si="47"/>
        <v>0</v>
      </c>
      <c r="R72" s="98">
        <f t="shared" si="48"/>
        <v>0</v>
      </c>
      <c r="S72" s="98">
        <f t="shared" si="49"/>
        <v>0</v>
      </c>
      <c r="T72" s="98">
        <f t="shared" si="50"/>
        <v>0</v>
      </c>
      <c r="U72" s="98">
        <f t="shared" si="51"/>
        <v>0</v>
      </c>
      <c r="V72" s="98">
        <f t="shared" si="52"/>
        <v>0</v>
      </c>
      <c r="W72" s="98">
        <f t="shared" si="53"/>
        <v>0</v>
      </c>
      <c r="X72" s="98">
        <f t="shared" si="54"/>
        <v>0</v>
      </c>
      <c r="Y72" s="1" t="b">
        <f t="shared" si="41"/>
        <v>0</v>
      </c>
      <c r="Z72" s="1" t="e">
        <f t="shared" si="42"/>
        <v>#VALUE!</v>
      </c>
    </row>
    <row r="73" spans="1:26" x14ac:dyDescent="0.3">
      <c r="A73" s="98">
        <v>17</v>
      </c>
      <c r="B73" s="42"/>
      <c r="C73" s="42"/>
      <c r="D73" s="104"/>
      <c r="E73" s="104"/>
      <c r="F73" s="104"/>
      <c r="G73" s="104"/>
      <c r="H73" s="104"/>
      <c r="I73" s="104"/>
      <c r="J73" s="104"/>
      <c r="K73" s="104"/>
      <c r="L73" s="104"/>
      <c r="M73" s="317"/>
      <c r="N73" s="309">
        <f t="shared" si="44"/>
        <v>0</v>
      </c>
      <c r="O73" s="98">
        <f t="shared" si="45"/>
        <v>0</v>
      </c>
      <c r="P73" s="98">
        <f t="shared" si="46"/>
        <v>0</v>
      </c>
      <c r="Q73" s="98">
        <f t="shared" si="47"/>
        <v>0</v>
      </c>
      <c r="R73" s="98">
        <f t="shared" si="48"/>
        <v>0</v>
      </c>
      <c r="S73" s="98">
        <f t="shared" si="49"/>
        <v>0</v>
      </c>
      <c r="T73" s="98">
        <f t="shared" si="50"/>
        <v>0</v>
      </c>
      <c r="U73" s="98">
        <f t="shared" si="51"/>
        <v>0</v>
      </c>
      <c r="V73" s="98">
        <f t="shared" si="52"/>
        <v>0</v>
      </c>
      <c r="W73" s="98">
        <f t="shared" si="53"/>
        <v>0</v>
      </c>
      <c r="X73" s="98">
        <f t="shared" si="54"/>
        <v>0</v>
      </c>
      <c r="Y73" s="1" t="b">
        <f t="shared" si="41"/>
        <v>0</v>
      </c>
      <c r="Z73" s="1" t="e">
        <f t="shared" si="42"/>
        <v>#VALUE!</v>
      </c>
    </row>
    <row r="74" spans="1:26" x14ac:dyDescent="0.3">
      <c r="A74" s="98">
        <v>18</v>
      </c>
      <c r="B74" s="42"/>
      <c r="C74" s="42"/>
      <c r="D74" s="104"/>
      <c r="E74" s="104"/>
      <c r="F74" s="104"/>
      <c r="G74" s="104"/>
      <c r="H74" s="104"/>
      <c r="I74" s="104"/>
      <c r="J74" s="104"/>
      <c r="K74" s="104"/>
      <c r="L74" s="104"/>
      <c r="M74" s="317"/>
      <c r="N74" s="309">
        <f t="shared" si="44"/>
        <v>0</v>
      </c>
      <c r="O74" s="98">
        <f t="shared" si="45"/>
        <v>0</v>
      </c>
      <c r="P74" s="98">
        <f t="shared" si="46"/>
        <v>0</v>
      </c>
      <c r="Q74" s="98">
        <f t="shared" si="47"/>
        <v>0</v>
      </c>
      <c r="R74" s="98">
        <f t="shared" si="48"/>
        <v>0</v>
      </c>
      <c r="S74" s="98">
        <f t="shared" si="49"/>
        <v>0</v>
      </c>
      <c r="T74" s="98">
        <f t="shared" si="50"/>
        <v>0</v>
      </c>
      <c r="U74" s="98">
        <f t="shared" si="51"/>
        <v>0</v>
      </c>
      <c r="V74" s="98">
        <f t="shared" si="52"/>
        <v>0</v>
      </c>
      <c r="W74" s="98">
        <f t="shared" si="53"/>
        <v>0</v>
      </c>
      <c r="X74" s="98">
        <f t="shared" si="54"/>
        <v>0</v>
      </c>
      <c r="Y74" s="1" t="b">
        <f t="shared" si="41"/>
        <v>0</v>
      </c>
      <c r="Z74" s="1" t="e">
        <f t="shared" si="42"/>
        <v>#VALUE!</v>
      </c>
    </row>
    <row r="75" spans="1:26" x14ac:dyDescent="0.3">
      <c r="A75" s="98">
        <v>19</v>
      </c>
      <c r="B75" s="42"/>
      <c r="C75" s="42"/>
      <c r="D75" s="104"/>
      <c r="E75" s="104"/>
      <c r="F75" s="104"/>
      <c r="G75" s="104"/>
      <c r="H75" s="104"/>
      <c r="I75" s="104"/>
      <c r="J75" s="104"/>
      <c r="K75" s="104"/>
      <c r="L75" s="104"/>
      <c r="M75" s="317"/>
      <c r="N75" s="309">
        <f t="shared" si="44"/>
        <v>0</v>
      </c>
      <c r="O75" s="98">
        <f t="shared" si="45"/>
        <v>0</v>
      </c>
      <c r="P75" s="98">
        <f t="shared" si="46"/>
        <v>0</v>
      </c>
      <c r="Q75" s="98">
        <f t="shared" si="47"/>
        <v>0</v>
      </c>
      <c r="R75" s="98">
        <f t="shared" si="48"/>
        <v>0</v>
      </c>
      <c r="S75" s="98">
        <f t="shared" si="49"/>
        <v>0</v>
      </c>
      <c r="T75" s="98">
        <f t="shared" si="50"/>
        <v>0</v>
      </c>
      <c r="U75" s="98">
        <f t="shared" si="51"/>
        <v>0</v>
      </c>
      <c r="V75" s="98">
        <f t="shared" si="52"/>
        <v>0</v>
      </c>
      <c r="W75" s="98">
        <f t="shared" si="53"/>
        <v>0</v>
      </c>
      <c r="X75" s="98">
        <f t="shared" si="54"/>
        <v>0</v>
      </c>
      <c r="Y75" s="1" t="b">
        <f t="shared" si="41"/>
        <v>0</v>
      </c>
      <c r="Z75" s="1" t="e">
        <f t="shared" si="42"/>
        <v>#VALUE!</v>
      </c>
    </row>
    <row r="76" spans="1:26" x14ac:dyDescent="0.3">
      <c r="A76" s="98">
        <v>20</v>
      </c>
      <c r="B76" s="42"/>
      <c r="C76" s="42"/>
      <c r="D76" s="104"/>
      <c r="E76" s="104"/>
      <c r="F76" s="104"/>
      <c r="G76" s="104"/>
      <c r="H76" s="104"/>
      <c r="I76" s="104"/>
      <c r="J76" s="104"/>
      <c r="K76" s="104"/>
      <c r="L76" s="104"/>
      <c r="M76" s="317"/>
      <c r="N76" s="309">
        <f t="shared" si="44"/>
        <v>0</v>
      </c>
      <c r="O76" s="98">
        <f t="shared" si="45"/>
        <v>0</v>
      </c>
      <c r="P76" s="98">
        <f t="shared" si="46"/>
        <v>0</v>
      </c>
      <c r="Q76" s="98">
        <f t="shared" si="47"/>
        <v>0</v>
      </c>
      <c r="R76" s="98">
        <f t="shared" si="48"/>
        <v>0</v>
      </c>
      <c r="S76" s="98">
        <f t="shared" si="49"/>
        <v>0</v>
      </c>
      <c r="T76" s="98">
        <f t="shared" si="50"/>
        <v>0</v>
      </c>
      <c r="U76" s="98">
        <f t="shared" si="51"/>
        <v>0</v>
      </c>
      <c r="V76" s="98">
        <f t="shared" si="52"/>
        <v>0</v>
      </c>
      <c r="W76" s="98">
        <f t="shared" si="53"/>
        <v>0</v>
      </c>
      <c r="X76" s="98">
        <f t="shared" si="54"/>
        <v>0</v>
      </c>
      <c r="Y76" s="1" t="b">
        <f t="shared" si="41"/>
        <v>0</v>
      </c>
      <c r="Z76" s="1" t="e">
        <f t="shared" si="42"/>
        <v>#VALUE!</v>
      </c>
    </row>
    <row r="77" spans="1:26" x14ac:dyDescent="0.3">
      <c r="A77" s="98">
        <v>21</v>
      </c>
      <c r="B77" s="42"/>
      <c r="C77" s="42"/>
      <c r="D77" s="104"/>
      <c r="E77" s="104"/>
      <c r="F77" s="104"/>
      <c r="G77" s="104"/>
      <c r="H77" s="104"/>
      <c r="I77" s="104"/>
      <c r="J77" s="104"/>
      <c r="K77" s="104"/>
      <c r="L77" s="104"/>
      <c r="M77" s="317"/>
      <c r="N77" s="309">
        <f t="shared" si="44"/>
        <v>0</v>
      </c>
      <c r="O77" s="98">
        <f t="shared" si="45"/>
        <v>0</v>
      </c>
      <c r="P77" s="98">
        <f t="shared" si="46"/>
        <v>0</v>
      </c>
      <c r="Q77" s="98">
        <f t="shared" si="47"/>
        <v>0</v>
      </c>
      <c r="R77" s="98">
        <f t="shared" si="48"/>
        <v>0</v>
      </c>
      <c r="S77" s="98">
        <f t="shared" si="49"/>
        <v>0</v>
      </c>
      <c r="T77" s="98">
        <f t="shared" si="50"/>
        <v>0</v>
      </c>
      <c r="U77" s="98">
        <f t="shared" si="51"/>
        <v>0</v>
      </c>
      <c r="V77" s="98">
        <f t="shared" si="52"/>
        <v>0</v>
      </c>
      <c r="W77" s="98">
        <f t="shared" si="53"/>
        <v>0</v>
      </c>
      <c r="X77" s="98">
        <f t="shared" si="54"/>
        <v>0</v>
      </c>
      <c r="Y77" s="1" t="b">
        <f t="shared" si="41"/>
        <v>0</v>
      </c>
      <c r="Z77" s="1" t="e">
        <f t="shared" si="42"/>
        <v>#VALUE!</v>
      </c>
    </row>
    <row r="78" spans="1:26" x14ac:dyDescent="0.3">
      <c r="A78" s="98">
        <v>22</v>
      </c>
      <c r="B78" s="42"/>
      <c r="C78" s="42"/>
      <c r="D78" s="104"/>
      <c r="E78" s="104"/>
      <c r="F78" s="104"/>
      <c r="G78" s="104"/>
      <c r="H78" s="104"/>
      <c r="I78" s="104"/>
      <c r="J78" s="104"/>
      <c r="K78" s="104"/>
      <c r="L78" s="104"/>
      <c r="M78" s="317"/>
      <c r="N78" s="309">
        <f t="shared" si="44"/>
        <v>0</v>
      </c>
      <c r="O78" s="98">
        <f t="shared" si="45"/>
        <v>0</v>
      </c>
      <c r="P78" s="98">
        <f t="shared" si="46"/>
        <v>0</v>
      </c>
      <c r="Q78" s="98">
        <f t="shared" si="47"/>
        <v>0</v>
      </c>
      <c r="R78" s="98">
        <f t="shared" si="48"/>
        <v>0</v>
      </c>
      <c r="S78" s="98">
        <f t="shared" si="49"/>
        <v>0</v>
      </c>
      <c r="T78" s="98">
        <f t="shared" si="50"/>
        <v>0</v>
      </c>
      <c r="U78" s="98">
        <f t="shared" si="51"/>
        <v>0</v>
      </c>
      <c r="V78" s="98">
        <f t="shared" si="52"/>
        <v>0</v>
      </c>
      <c r="W78" s="98">
        <f t="shared" si="53"/>
        <v>0</v>
      </c>
      <c r="X78" s="98">
        <f t="shared" si="54"/>
        <v>0</v>
      </c>
      <c r="Y78" s="1" t="b">
        <f t="shared" si="41"/>
        <v>0</v>
      </c>
      <c r="Z78" s="1" t="e">
        <f t="shared" si="42"/>
        <v>#VALUE!</v>
      </c>
    </row>
    <row r="79" spans="1:26" x14ac:dyDescent="0.3">
      <c r="A79" s="98">
        <v>23</v>
      </c>
      <c r="B79" s="42"/>
      <c r="C79" s="42"/>
      <c r="D79" s="104"/>
      <c r="E79" s="104"/>
      <c r="F79" s="104"/>
      <c r="G79" s="104"/>
      <c r="H79" s="104"/>
      <c r="I79" s="104"/>
      <c r="J79" s="104"/>
      <c r="K79" s="104"/>
      <c r="L79" s="104"/>
      <c r="M79" s="317"/>
      <c r="N79" s="309">
        <f t="shared" si="44"/>
        <v>0</v>
      </c>
      <c r="O79" s="98">
        <f t="shared" si="45"/>
        <v>0</v>
      </c>
      <c r="P79" s="98">
        <f t="shared" si="46"/>
        <v>0</v>
      </c>
      <c r="Q79" s="98">
        <f t="shared" si="47"/>
        <v>0</v>
      </c>
      <c r="R79" s="98">
        <f t="shared" si="48"/>
        <v>0</v>
      </c>
      <c r="S79" s="98">
        <f t="shared" si="49"/>
        <v>0</v>
      </c>
      <c r="T79" s="98">
        <f t="shared" si="50"/>
        <v>0</v>
      </c>
      <c r="U79" s="98">
        <f t="shared" si="51"/>
        <v>0</v>
      </c>
      <c r="V79" s="98">
        <f t="shared" si="52"/>
        <v>0</v>
      </c>
      <c r="W79" s="98">
        <f t="shared" si="53"/>
        <v>0</v>
      </c>
      <c r="X79" s="98">
        <f t="shared" si="54"/>
        <v>0</v>
      </c>
      <c r="Y79" s="1" t="b">
        <f t="shared" si="41"/>
        <v>0</v>
      </c>
      <c r="Z79" s="1" t="e">
        <f t="shared" si="42"/>
        <v>#VALUE!</v>
      </c>
    </row>
    <row r="80" spans="1:26" x14ac:dyDescent="0.3">
      <c r="A80" s="98">
        <v>24</v>
      </c>
      <c r="B80" s="42"/>
      <c r="C80" s="42"/>
      <c r="D80" s="104"/>
      <c r="E80" s="104"/>
      <c r="F80" s="104"/>
      <c r="G80" s="104"/>
      <c r="H80" s="104"/>
      <c r="I80" s="104"/>
      <c r="J80" s="104"/>
      <c r="K80" s="104"/>
      <c r="L80" s="104"/>
      <c r="M80" s="317"/>
      <c r="N80" s="309">
        <f t="shared" si="44"/>
        <v>0</v>
      </c>
      <c r="O80" s="98">
        <f t="shared" si="45"/>
        <v>0</v>
      </c>
      <c r="P80" s="98">
        <f t="shared" si="46"/>
        <v>0</v>
      </c>
      <c r="Q80" s="98">
        <f t="shared" si="47"/>
        <v>0</v>
      </c>
      <c r="R80" s="98">
        <f t="shared" si="48"/>
        <v>0</v>
      </c>
      <c r="S80" s="98">
        <f t="shared" si="49"/>
        <v>0</v>
      </c>
      <c r="T80" s="98">
        <f t="shared" si="50"/>
        <v>0</v>
      </c>
      <c r="U80" s="98">
        <f t="shared" si="51"/>
        <v>0</v>
      </c>
      <c r="V80" s="98">
        <f t="shared" si="52"/>
        <v>0</v>
      </c>
      <c r="W80" s="98">
        <f t="shared" si="53"/>
        <v>0</v>
      </c>
      <c r="X80" s="98">
        <f t="shared" si="54"/>
        <v>0</v>
      </c>
      <c r="Y80" s="1" t="b">
        <f t="shared" si="41"/>
        <v>0</v>
      </c>
      <c r="Z80" s="1" t="e">
        <f t="shared" si="42"/>
        <v>#VALUE!</v>
      </c>
    </row>
    <row r="81" spans="1:26" x14ac:dyDescent="0.3">
      <c r="A81" s="98">
        <v>25</v>
      </c>
      <c r="B81" s="42"/>
      <c r="C81" s="42"/>
      <c r="D81" s="104"/>
      <c r="E81" s="104"/>
      <c r="F81" s="104"/>
      <c r="G81" s="104"/>
      <c r="H81" s="104"/>
      <c r="I81" s="104"/>
      <c r="J81" s="104"/>
      <c r="K81" s="104"/>
      <c r="L81" s="104"/>
      <c r="M81" s="317"/>
      <c r="N81" s="309">
        <f t="shared" si="44"/>
        <v>0</v>
      </c>
      <c r="O81" s="98">
        <f t="shared" si="45"/>
        <v>0</v>
      </c>
      <c r="P81" s="98">
        <f t="shared" si="46"/>
        <v>0</v>
      </c>
      <c r="Q81" s="98">
        <f t="shared" si="47"/>
        <v>0</v>
      </c>
      <c r="R81" s="98">
        <f t="shared" si="48"/>
        <v>0</v>
      </c>
      <c r="S81" s="98">
        <f t="shared" si="49"/>
        <v>0</v>
      </c>
      <c r="T81" s="98">
        <f t="shared" si="50"/>
        <v>0</v>
      </c>
      <c r="U81" s="98">
        <f t="shared" si="51"/>
        <v>0</v>
      </c>
      <c r="V81" s="98">
        <f t="shared" si="52"/>
        <v>0</v>
      </c>
      <c r="W81" s="98">
        <f t="shared" si="53"/>
        <v>0</v>
      </c>
      <c r="X81" s="98">
        <f t="shared" si="54"/>
        <v>0</v>
      </c>
      <c r="Y81" s="1" t="b">
        <f t="shared" si="41"/>
        <v>0</v>
      </c>
      <c r="Z81" s="1" t="e">
        <f t="shared" si="42"/>
        <v>#VALUE!</v>
      </c>
    </row>
    <row r="82" spans="1:26" x14ac:dyDescent="0.3">
      <c r="A82" s="98">
        <v>26</v>
      </c>
      <c r="B82" s="42"/>
      <c r="C82" s="42"/>
      <c r="D82" s="104"/>
      <c r="E82" s="104"/>
      <c r="F82" s="104"/>
      <c r="G82" s="104"/>
      <c r="H82" s="104"/>
      <c r="I82" s="104"/>
      <c r="J82" s="104"/>
      <c r="K82" s="104"/>
      <c r="L82" s="104"/>
      <c r="M82" s="317"/>
      <c r="N82" s="309">
        <f t="shared" si="44"/>
        <v>0</v>
      </c>
      <c r="O82" s="98">
        <f t="shared" si="45"/>
        <v>0</v>
      </c>
      <c r="P82" s="98">
        <f t="shared" si="46"/>
        <v>0</v>
      </c>
      <c r="Q82" s="98">
        <f t="shared" si="47"/>
        <v>0</v>
      </c>
      <c r="R82" s="98">
        <f t="shared" si="48"/>
        <v>0</v>
      </c>
      <c r="S82" s="98">
        <f t="shared" si="49"/>
        <v>0</v>
      </c>
      <c r="T82" s="98">
        <f t="shared" si="50"/>
        <v>0</v>
      </c>
      <c r="U82" s="98">
        <f t="shared" si="51"/>
        <v>0</v>
      </c>
      <c r="V82" s="98">
        <f t="shared" si="52"/>
        <v>0</v>
      </c>
      <c r="W82" s="98">
        <f t="shared" si="53"/>
        <v>0</v>
      </c>
      <c r="X82" s="98">
        <f t="shared" si="54"/>
        <v>0</v>
      </c>
      <c r="Y82" s="1" t="b">
        <f t="shared" si="41"/>
        <v>0</v>
      </c>
      <c r="Z82" s="1" t="e">
        <f t="shared" si="42"/>
        <v>#VALUE!</v>
      </c>
    </row>
    <row r="83" spans="1:26" x14ac:dyDescent="0.3">
      <c r="A83" s="98">
        <v>27</v>
      </c>
      <c r="B83" s="42"/>
      <c r="C83" s="42"/>
      <c r="D83" s="104"/>
      <c r="E83" s="104"/>
      <c r="F83" s="104"/>
      <c r="G83" s="104"/>
      <c r="H83" s="104"/>
      <c r="I83" s="104"/>
      <c r="J83" s="104"/>
      <c r="K83" s="104"/>
      <c r="L83" s="104"/>
      <c r="M83" s="317"/>
      <c r="N83" s="309">
        <f t="shared" si="44"/>
        <v>0</v>
      </c>
      <c r="O83" s="98">
        <f t="shared" si="45"/>
        <v>0</v>
      </c>
      <c r="P83" s="98">
        <f t="shared" si="46"/>
        <v>0</v>
      </c>
      <c r="Q83" s="98">
        <f t="shared" si="47"/>
        <v>0</v>
      </c>
      <c r="R83" s="98">
        <f t="shared" si="48"/>
        <v>0</v>
      </c>
      <c r="S83" s="98">
        <f t="shared" si="49"/>
        <v>0</v>
      </c>
      <c r="T83" s="98">
        <f t="shared" si="50"/>
        <v>0</v>
      </c>
      <c r="U83" s="98">
        <f t="shared" si="51"/>
        <v>0</v>
      </c>
      <c r="V83" s="98">
        <f t="shared" si="52"/>
        <v>0</v>
      </c>
      <c r="W83" s="98">
        <f t="shared" si="53"/>
        <v>0</v>
      </c>
      <c r="X83" s="98">
        <f t="shared" si="54"/>
        <v>0</v>
      </c>
      <c r="Y83" s="1" t="b">
        <f t="shared" si="41"/>
        <v>0</v>
      </c>
      <c r="Z83" s="1" t="e">
        <f t="shared" si="42"/>
        <v>#VALUE!</v>
      </c>
    </row>
    <row r="84" spans="1:26" x14ac:dyDescent="0.3">
      <c r="A84" s="98">
        <v>28</v>
      </c>
      <c r="B84" s="42"/>
      <c r="C84" s="42"/>
      <c r="D84" s="104"/>
      <c r="E84" s="104"/>
      <c r="F84" s="104"/>
      <c r="G84" s="104"/>
      <c r="H84" s="104"/>
      <c r="I84" s="104"/>
      <c r="J84" s="104"/>
      <c r="K84" s="104"/>
      <c r="L84" s="104"/>
      <c r="M84" s="317"/>
      <c r="N84" s="309">
        <f t="shared" si="44"/>
        <v>0</v>
      </c>
      <c r="O84" s="98">
        <f t="shared" si="45"/>
        <v>0</v>
      </c>
      <c r="P84" s="98">
        <f t="shared" si="46"/>
        <v>0</v>
      </c>
      <c r="Q84" s="98">
        <f t="shared" si="47"/>
        <v>0</v>
      </c>
      <c r="R84" s="98">
        <f t="shared" si="48"/>
        <v>0</v>
      </c>
      <c r="S84" s="98">
        <f t="shared" si="49"/>
        <v>0</v>
      </c>
      <c r="T84" s="98">
        <f t="shared" si="50"/>
        <v>0</v>
      </c>
      <c r="U84" s="98">
        <f t="shared" si="51"/>
        <v>0</v>
      </c>
      <c r="V84" s="98">
        <f t="shared" si="52"/>
        <v>0</v>
      </c>
      <c r="W84" s="98">
        <f t="shared" si="53"/>
        <v>0</v>
      </c>
      <c r="X84" s="98">
        <f t="shared" si="54"/>
        <v>0</v>
      </c>
      <c r="Y84" s="1" t="b">
        <f t="shared" si="41"/>
        <v>0</v>
      </c>
      <c r="Z84" s="1" t="e">
        <f t="shared" si="42"/>
        <v>#VALUE!</v>
      </c>
    </row>
    <row r="85" spans="1:26" x14ac:dyDescent="0.3">
      <c r="A85" s="98">
        <v>29</v>
      </c>
      <c r="B85" s="42"/>
      <c r="C85" s="42"/>
      <c r="D85" s="104"/>
      <c r="E85" s="104"/>
      <c r="F85" s="104"/>
      <c r="G85" s="104"/>
      <c r="H85" s="104"/>
      <c r="I85" s="104"/>
      <c r="J85" s="104"/>
      <c r="K85" s="104"/>
      <c r="L85" s="104"/>
      <c r="M85" s="317"/>
      <c r="N85" s="309">
        <f t="shared" si="44"/>
        <v>0</v>
      </c>
      <c r="O85" s="98">
        <f t="shared" si="45"/>
        <v>0</v>
      </c>
      <c r="P85" s="98">
        <f t="shared" si="46"/>
        <v>0</v>
      </c>
      <c r="Q85" s="98">
        <f t="shared" si="47"/>
        <v>0</v>
      </c>
      <c r="R85" s="98">
        <f t="shared" si="48"/>
        <v>0</v>
      </c>
      <c r="S85" s="98">
        <f t="shared" si="49"/>
        <v>0</v>
      </c>
      <c r="T85" s="98">
        <f t="shared" si="50"/>
        <v>0</v>
      </c>
      <c r="U85" s="98">
        <f t="shared" si="51"/>
        <v>0</v>
      </c>
      <c r="V85" s="98">
        <f t="shared" si="52"/>
        <v>0</v>
      </c>
      <c r="W85" s="98">
        <f t="shared" si="53"/>
        <v>0</v>
      </c>
      <c r="X85" s="98">
        <f t="shared" si="54"/>
        <v>0</v>
      </c>
      <c r="Y85" s="1" t="b">
        <f t="shared" si="41"/>
        <v>0</v>
      </c>
      <c r="Z85" s="1" t="e">
        <f t="shared" si="42"/>
        <v>#VALUE!</v>
      </c>
    </row>
    <row r="86" spans="1:26" x14ac:dyDescent="0.3">
      <c r="A86" s="98">
        <v>30</v>
      </c>
      <c r="B86" s="42"/>
      <c r="C86" s="42"/>
      <c r="D86" s="104"/>
      <c r="E86" s="104"/>
      <c r="F86" s="104"/>
      <c r="G86" s="104"/>
      <c r="H86" s="104"/>
      <c r="I86" s="104"/>
      <c r="J86" s="104"/>
      <c r="K86" s="104"/>
      <c r="L86" s="104"/>
      <c r="M86" s="317"/>
      <c r="N86" s="309">
        <f t="shared" si="44"/>
        <v>0</v>
      </c>
      <c r="O86" s="98">
        <f t="shared" si="45"/>
        <v>0</v>
      </c>
      <c r="P86" s="98">
        <f t="shared" si="46"/>
        <v>0</v>
      </c>
      <c r="Q86" s="98">
        <f t="shared" si="47"/>
        <v>0</v>
      </c>
      <c r="R86" s="98">
        <f t="shared" si="48"/>
        <v>0</v>
      </c>
      <c r="S86" s="98">
        <f t="shared" si="49"/>
        <v>0</v>
      </c>
      <c r="T86" s="98">
        <f t="shared" si="50"/>
        <v>0</v>
      </c>
      <c r="U86" s="98">
        <f t="shared" si="51"/>
        <v>0</v>
      </c>
      <c r="V86" s="98">
        <f t="shared" si="52"/>
        <v>0</v>
      </c>
      <c r="W86" s="98">
        <f t="shared" si="53"/>
        <v>0</v>
      </c>
      <c r="X86" s="98">
        <f t="shared" si="54"/>
        <v>0</v>
      </c>
      <c r="Y86" s="1" t="b">
        <f t="shared" si="41"/>
        <v>0</v>
      </c>
      <c r="Z86" s="1" t="e">
        <f t="shared" si="42"/>
        <v>#VALUE!</v>
      </c>
    </row>
    <row r="87" spans="1:26" x14ac:dyDescent="0.3">
      <c r="A87" s="98">
        <v>31</v>
      </c>
      <c r="B87" s="42"/>
      <c r="C87" s="42"/>
      <c r="D87" s="104"/>
      <c r="E87" s="104"/>
      <c r="F87" s="104"/>
      <c r="G87" s="104"/>
      <c r="H87" s="104"/>
      <c r="I87" s="104"/>
      <c r="J87" s="104"/>
      <c r="K87" s="104"/>
      <c r="L87" s="104"/>
      <c r="M87" s="317"/>
      <c r="N87" s="309">
        <f t="shared" si="44"/>
        <v>0</v>
      </c>
      <c r="O87" s="98">
        <f t="shared" si="45"/>
        <v>0</v>
      </c>
      <c r="P87" s="98">
        <f t="shared" si="46"/>
        <v>0</v>
      </c>
      <c r="Q87" s="98">
        <f t="shared" si="47"/>
        <v>0</v>
      </c>
      <c r="R87" s="98">
        <f t="shared" si="48"/>
        <v>0</v>
      </c>
      <c r="S87" s="98">
        <f t="shared" si="49"/>
        <v>0</v>
      </c>
      <c r="T87" s="98">
        <f t="shared" si="50"/>
        <v>0</v>
      </c>
      <c r="U87" s="98">
        <f t="shared" si="51"/>
        <v>0</v>
      </c>
      <c r="V87" s="98">
        <f t="shared" si="52"/>
        <v>0</v>
      </c>
      <c r="W87" s="98">
        <f t="shared" si="53"/>
        <v>0</v>
      </c>
      <c r="X87" s="98">
        <f t="shared" si="54"/>
        <v>0</v>
      </c>
      <c r="Y87" s="1" t="b">
        <f t="shared" si="41"/>
        <v>0</v>
      </c>
      <c r="Z87" s="1" t="e">
        <f t="shared" si="42"/>
        <v>#VALUE!</v>
      </c>
    </row>
    <row r="88" spans="1:26" x14ac:dyDescent="0.3">
      <c r="A88" s="98">
        <v>32</v>
      </c>
      <c r="B88" s="42"/>
      <c r="C88" s="42"/>
      <c r="D88" s="104"/>
      <c r="E88" s="104"/>
      <c r="F88" s="104"/>
      <c r="G88" s="104"/>
      <c r="H88" s="104"/>
      <c r="I88" s="104"/>
      <c r="J88" s="104"/>
      <c r="K88" s="104"/>
      <c r="L88" s="104"/>
      <c r="M88" s="317"/>
      <c r="N88" s="309">
        <f t="shared" si="44"/>
        <v>0</v>
      </c>
      <c r="O88" s="98">
        <f t="shared" si="45"/>
        <v>0</v>
      </c>
      <c r="P88" s="98">
        <f t="shared" si="46"/>
        <v>0</v>
      </c>
      <c r="Q88" s="98">
        <f t="shared" si="47"/>
        <v>0</v>
      </c>
      <c r="R88" s="98">
        <f t="shared" si="48"/>
        <v>0</v>
      </c>
      <c r="S88" s="98">
        <f t="shared" si="49"/>
        <v>0</v>
      </c>
      <c r="T88" s="98">
        <f t="shared" si="50"/>
        <v>0</v>
      </c>
      <c r="U88" s="98">
        <f t="shared" si="51"/>
        <v>0</v>
      </c>
      <c r="V88" s="98">
        <f t="shared" si="52"/>
        <v>0</v>
      </c>
      <c r="W88" s="98">
        <f t="shared" si="53"/>
        <v>0</v>
      </c>
      <c r="X88" s="98">
        <f t="shared" si="54"/>
        <v>0</v>
      </c>
      <c r="Y88" s="1" t="b">
        <f t="shared" si="41"/>
        <v>0</v>
      </c>
      <c r="Z88" s="1" t="e">
        <f t="shared" si="42"/>
        <v>#VALUE!</v>
      </c>
    </row>
    <row r="89" spans="1:26" x14ac:dyDescent="0.3">
      <c r="A89" s="98">
        <v>33</v>
      </c>
      <c r="B89" s="42"/>
      <c r="C89" s="42"/>
      <c r="D89" s="104"/>
      <c r="E89" s="104"/>
      <c r="F89" s="104"/>
      <c r="G89" s="104"/>
      <c r="H89" s="104"/>
      <c r="I89" s="104"/>
      <c r="J89" s="104"/>
      <c r="K89" s="104"/>
      <c r="L89" s="104"/>
      <c r="M89" s="317"/>
      <c r="N89" s="309">
        <f t="shared" si="44"/>
        <v>0</v>
      </c>
      <c r="O89" s="98">
        <f t="shared" si="45"/>
        <v>0</v>
      </c>
      <c r="P89" s="98">
        <f t="shared" si="46"/>
        <v>0</v>
      </c>
      <c r="Q89" s="98">
        <f t="shared" si="47"/>
        <v>0</v>
      </c>
      <c r="R89" s="98">
        <f t="shared" si="48"/>
        <v>0</v>
      </c>
      <c r="S89" s="98">
        <f t="shared" si="49"/>
        <v>0</v>
      </c>
      <c r="T89" s="98">
        <f t="shared" si="50"/>
        <v>0</v>
      </c>
      <c r="U89" s="98">
        <f t="shared" si="51"/>
        <v>0</v>
      </c>
      <c r="V89" s="98">
        <f t="shared" si="52"/>
        <v>0</v>
      </c>
      <c r="W89" s="98">
        <f t="shared" si="53"/>
        <v>0</v>
      </c>
      <c r="X89" s="98">
        <f t="shared" si="54"/>
        <v>0</v>
      </c>
      <c r="Y89" s="1" t="b">
        <f t="shared" si="41"/>
        <v>0</v>
      </c>
      <c r="Z89" s="1" t="e">
        <f t="shared" si="42"/>
        <v>#VALUE!</v>
      </c>
    </row>
    <row r="90" spans="1:26" x14ac:dyDescent="0.3">
      <c r="A90" s="98">
        <v>34</v>
      </c>
      <c r="B90" s="42"/>
      <c r="C90" s="42"/>
      <c r="D90" s="104"/>
      <c r="E90" s="104"/>
      <c r="F90" s="104"/>
      <c r="G90" s="104"/>
      <c r="H90" s="104"/>
      <c r="I90" s="104"/>
      <c r="J90" s="104"/>
      <c r="K90" s="104"/>
      <c r="L90" s="104"/>
      <c r="M90" s="317"/>
      <c r="N90" s="309">
        <f t="shared" si="44"/>
        <v>0</v>
      </c>
      <c r="O90" s="98">
        <f t="shared" si="45"/>
        <v>0</v>
      </c>
      <c r="P90" s="98">
        <f t="shared" si="46"/>
        <v>0</v>
      </c>
      <c r="Q90" s="98">
        <f t="shared" si="47"/>
        <v>0</v>
      </c>
      <c r="R90" s="98">
        <f t="shared" si="48"/>
        <v>0</v>
      </c>
      <c r="S90" s="98">
        <f t="shared" si="49"/>
        <v>0</v>
      </c>
      <c r="T90" s="98">
        <f t="shared" si="50"/>
        <v>0</v>
      </c>
      <c r="U90" s="98">
        <f t="shared" si="51"/>
        <v>0</v>
      </c>
      <c r="V90" s="98">
        <f t="shared" si="52"/>
        <v>0</v>
      </c>
      <c r="W90" s="98">
        <f t="shared" si="53"/>
        <v>0</v>
      </c>
      <c r="X90" s="98">
        <f t="shared" si="54"/>
        <v>0</v>
      </c>
      <c r="Y90" s="1" t="b">
        <f t="shared" si="41"/>
        <v>0</v>
      </c>
      <c r="Z90" s="1" t="e">
        <f t="shared" si="42"/>
        <v>#VALUE!</v>
      </c>
    </row>
    <row r="91" spans="1:26" x14ac:dyDescent="0.3">
      <c r="A91" s="98">
        <v>35</v>
      </c>
      <c r="B91" s="42"/>
      <c r="C91" s="42"/>
      <c r="D91" s="104"/>
      <c r="E91" s="104"/>
      <c r="F91" s="104"/>
      <c r="G91" s="104"/>
      <c r="H91" s="104"/>
      <c r="I91" s="104"/>
      <c r="J91" s="104"/>
      <c r="K91" s="104"/>
      <c r="L91" s="104"/>
      <c r="M91" s="317"/>
      <c r="N91" s="309">
        <f t="shared" si="44"/>
        <v>0</v>
      </c>
      <c r="O91" s="98">
        <f t="shared" si="45"/>
        <v>0</v>
      </c>
      <c r="P91" s="98">
        <f t="shared" si="46"/>
        <v>0</v>
      </c>
      <c r="Q91" s="98">
        <f t="shared" si="47"/>
        <v>0</v>
      </c>
      <c r="R91" s="98">
        <f t="shared" si="48"/>
        <v>0</v>
      </c>
      <c r="S91" s="98">
        <f t="shared" si="49"/>
        <v>0</v>
      </c>
      <c r="T91" s="98">
        <f t="shared" si="50"/>
        <v>0</v>
      </c>
      <c r="U91" s="98">
        <f t="shared" si="51"/>
        <v>0</v>
      </c>
      <c r="V91" s="98">
        <f t="shared" si="52"/>
        <v>0</v>
      </c>
      <c r="W91" s="98">
        <f t="shared" si="53"/>
        <v>0</v>
      </c>
      <c r="X91" s="98">
        <f t="shared" si="54"/>
        <v>0</v>
      </c>
      <c r="Y91" s="1" t="b">
        <f t="shared" si="41"/>
        <v>0</v>
      </c>
      <c r="Z91" s="1" t="e">
        <f t="shared" si="42"/>
        <v>#VALUE!</v>
      </c>
    </row>
    <row r="92" spans="1:26" x14ac:dyDescent="0.3">
      <c r="A92" s="911" t="s">
        <v>678</v>
      </c>
      <c r="B92" s="911"/>
      <c r="C92" s="911"/>
      <c r="D92" s="483">
        <f t="shared" ref="D92:L92" si="55">SUM(N57:N91)</f>
        <v>0</v>
      </c>
      <c r="E92" s="483">
        <f t="shared" si="55"/>
        <v>0</v>
      </c>
      <c r="F92" s="483">
        <f t="shared" si="55"/>
        <v>0</v>
      </c>
      <c r="G92" s="483">
        <f t="shared" si="55"/>
        <v>0</v>
      </c>
      <c r="H92" s="483">
        <f t="shared" si="55"/>
        <v>0</v>
      </c>
      <c r="I92" s="483">
        <f t="shared" si="55"/>
        <v>0</v>
      </c>
      <c r="J92" s="483">
        <f t="shared" si="55"/>
        <v>0</v>
      </c>
      <c r="K92" s="483">
        <f t="shared" si="55"/>
        <v>0</v>
      </c>
      <c r="L92" s="483">
        <f t="shared" si="55"/>
        <v>0</v>
      </c>
      <c r="M92" s="305"/>
      <c r="Y92" s="1">
        <f>COUNTIF(Y57:Y91,TRUE)</f>
        <v>0</v>
      </c>
      <c r="Z92" s="1">
        <f>COUNTIF(Z57:Z91,TRUE)</f>
        <v>0</v>
      </c>
    </row>
    <row r="93" spans="1:26" x14ac:dyDescent="0.3">
      <c r="A93" s="99"/>
      <c r="B93" s="99"/>
      <c r="C93" s="99"/>
      <c r="D93" s="99"/>
      <c r="E93" s="99"/>
      <c r="F93" s="99"/>
      <c r="G93" s="99"/>
      <c r="H93" s="99"/>
      <c r="I93" s="99"/>
      <c r="J93" s="100"/>
      <c r="K93" s="100"/>
      <c r="L93" s="101"/>
      <c r="M93" s="101"/>
      <c r="N93" s="910" t="str">
        <f>IF(Y92=Z92,"правилно въведени прозорци","грешно въведени прозорци")</f>
        <v>правилно въведени прозорци</v>
      </c>
      <c r="O93" s="589"/>
      <c r="P93" s="589"/>
      <c r="Q93" s="589"/>
      <c r="R93" s="589"/>
    </row>
    <row r="94" spans="1:26" ht="21" x14ac:dyDescent="0.4">
      <c r="A94" s="907" t="s">
        <v>770</v>
      </c>
      <c r="B94" s="907"/>
      <c r="C94" s="907"/>
      <c r="D94" s="907"/>
      <c r="E94" s="907"/>
      <c r="F94" s="907"/>
      <c r="G94" s="907"/>
      <c r="H94" s="907"/>
      <c r="I94" s="907"/>
      <c r="J94" s="19" t="s">
        <v>446</v>
      </c>
      <c r="K94" s="461">
        <v>2</v>
      </c>
      <c r="L94" s="25" t="s">
        <v>46</v>
      </c>
    </row>
    <row r="95" spans="1:26" ht="18" customHeight="1" x14ac:dyDescent="0.3">
      <c r="A95" s="594" t="s">
        <v>928</v>
      </c>
      <c r="B95" s="660" t="s">
        <v>24</v>
      </c>
      <c r="C95" s="661"/>
      <c r="D95" s="583" t="s">
        <v>23</v>
      </c>
      <c r="E95" s="584"/>
      <c r="F95" s="584"/>
      <c r="G95" s="584"/>
      <c r="H95" s="584"/>
      <c r="I95" s="584"/>
      <c r="J95" s="584"/>
      <c r="K95" s="584"/>
      <c r="L95" s="585"/>
      <c r="M95" s="314"/>
      <c r="X95" s="842" t="s">
        <v>26</v>
      </c>
    </row>
    <row r="96" spans="1:26" ht="18" customHeight="1" x14ac:dyDescent="0.3">
      <c r="A96" s="595"/>
      <c r="B96" s="136"/>
      <c r="C96" s="136"/>
      <c r="D96" s="38" t="s">
        <v>12</v>
      </c>
      <c r="E96" s="38" t="s">
        <v>11</v>
      </c>
      <c r="F96" s="38" t="s">
        <v>10</v>
      </c>
      <c r="G96" s="38" t="s">
        <v>17</v>
      </c>
      <c r="H96" s="38" t="s">
        <v>16</v>
      </c>
      <c r="I96" s="38" t="s">
        <v>15</v>
      </c>
      <c r="J96" s="38" t="s">
        <v>14</v>
      </c>
      <c r="K96" s="38" t="s">
        <v>13</v>
      </c>
      <c r="L96" s="38" t="s">
        <v>427</v>
      </c>
      <c r="M96" s="315"/>
      <c r="N96" s="307" t="s">
        <v>12</v>
      </c>
      <c r="O96" s="38" t="s">
        <v>11</v>
      </c>
      <c r="P96" s="38" t="s">
        <v>10</v>
      </c>
      <c r="Q96" s="38" t="s">
        <v>17</v>
      </c>
      <c r="R96" s="38" t="s">
        <v>16</v>
      </c>
      <c r="S96" s="38" t="s">
        <v>15</v>
      </c>
      <c r="T96" s="38" t="s">
        <v>14</v>
      </c>
      <c r="U96" s="38" t="s">
        <v>13</v>
      </c>
      <c r="V96" s="38" t="s">
        <v>428</v>
      </c>
      <c r="W96" s="842" t="s">
        <v>25</v>
      </c>
      <c r="X96" s="843"/>
    </row>
    <row r="97" spans="1:26" x14ac:dyDescent="0.3">
      <c r="A97" s="595"/>
      <c r="B97" s="38" t="s">
        <v>18</v>
      </c>
      <c r="C97" s="38" t="s">
        <v>19</v>
      </c>
      <c r="D97" s="38" t="s">
        <v>20</v>
      </c>
      <c r="E97" s="38" t="s">
        <v>20</v>
      </c>
      <c r="F97" s="38" t="s">
        <v>20</v>
      </c>
      <c r="G97" s="38" t="s">
        <v>20</v>
      </c>
      <c r="H97" s="38" t="s">
        <v>20</v>
      </c>
      <c r="I97" s="38" t="s">
        <v>20</v>
      </c>
      <c r="J97" s="38" t="s">
        <v>20</v>
      </c>
      <c r="K97" s="38" t="s">
        <v>20</v>
      </c>
      <c r="L97" s="38" t="s">
        <v>20</v>
      </c>
      <c r="M97" s="315"/>
      <c r="N97" s="307" t="s">
        <v>905</v>
      </c>
      <c r="O97" s="38" t="s">
        <v>905</v>
      </c>
      <c r="P97" s="38" t="s">
        <v>905</v>
      </c>
      <c r="Q97" s="38" t="s">
        <v>905</v>
      </c>
      <c r="R97" s="38" t="s">
        <v>905</v>
      </c>
      <c r="S97" s="38" t="s">
        <v>905</v>
      </c>
      <c r="T97" s="38" t="s">
        <v>905</v>
      </c>
      <c r="U97" s="38" t="s">
        <v>905</v>
      </c>
      <c r="V97" s="38" t="s">
        <v>905</v>
      </c>
      <c r="W97" s="844"/>
      <c r="X97" s="844"/>
    </row>
    <row r="98" spans="1:26" ht="18" x14ac:dyDescent="0.3">
      <c r="A98" s="102" t="s">
        <v>950</v>
      </c>
      <c r="B98" s="102" t="s">
        <v>883</v>
      </c>
      <c r="C98" s="102" t="s">
        <v>883</v>
      </c>
      <c r="D98" s="102" t="s">
        <v>21</v>
      </c>
      <c r="E98" s="102" t="s">
        <v>21</v>
      </c>
      <c r="F98" s="102" t="s">
        <v>21</v>
      </c>
      <c r="G98" s="102" t="s">
        <v>21</v>
      </c>
      <c r="H98" s="102" t="s">
        <v>21</v>
      </c>
      <c r="I98" s="102" t="s">
        <v>21</v>
      </c>
      <c r="J98" s="102" t="s">
        <v>21</v>
      </c>
      <c r="K98" s="102" t="s">
        <v>21</v>
      </c>
      <c r="L98" s="102" t="s">
        <v>21</v>
      </c>
      <c r="M98" s="316"/>
      <c r="N98" s="308" t="s">
        <v>27</v>
      </c>
      <c r="O98" s="102" t="s">
        <v>27</v>
      </c>
      <c r="P98" s="102" t="s">
        <v>27</v>
      </c>
      <c r="Q98" s="102" t="s">
        <v>27</v>
      </c>
      <c r="R98" s="102" t="s">
        <v>27</v>
      </c>
      <c r="S98" s="102" t="s">
        <v>27</v>
      </c>
      <c r="T98" s="102" t="s">
        <v>27</v>
      </c>
      <c r="U98" s="102" t="s">
        <v>27</v>
      </c>
      <c r="V98" s="102" t="s">
        <v>27</v>
      </c>
      <c r="W98" s="98" t="s">
        <v>907</v>
      </c>
      <c r="X98" s="98" t="s">
        <v>22</v>
      </c>
    </row>
    <row r="99" spans="1:26" x14ac:dyDescent="0.3">
      <c r="A99" s="98">
        <v>1</v>
      </c>
      <c r="B99" s="42"/>
      <c r="C99" s="42"/>
      <c r="D99" s="104"/>
      <c r="E99" s="104"/>
      <c r="F99" s="104"/>
      <c r="G99" s="104"/>
      <c r="H99" s="104"/>
      <c r="I99" s="104"/>
      <c r="J99" s="104"/>
      <c r="K99" s="104"/>
      <c r="L99" s="104"/>
      <c r="M99" s="317"/>
      <c r="N99" s="309">
        <f t="shared" ref="N99:N107" si="56">$B99*$C99*D99</f>
        <v>0</v>
      </c>
      <c r="O99" s="98">
        <f t="shared" ref="O99:O107" si="57">$B99*$C99*E99</f>
        <v>0</v>
      </c>
      <c r="P99" s="98">
        <f t="shared" ref="P99:P107" si="58">$B99*$C99*F99</f>
        <v>0</v>
      </c>
      <c r="Q99" s="98">
        <f t="shared" ref="Q99:Q107" si="59">$B99*$C99*G99</f>
        <v>0</v>
      </c>
      <c r="R99" s="98">
        <f t="shared" ref="R99:R107" si="60">$B99*$C99*H99</f>
        <v>0</v>
      </c>
      <c r="S99" s="98">
        <f t="shared" ref="S99:S107" si="61">$B99*$C99*I99</f>
        <v>0</v>
      </c>
      <c r="T99" s="98">
        <f t="shared" ref="T99:T107" si="62">$B99*$C99*J99</f>
        <v>0</v>
      </c>
      <c r="U99" s="98">
        <f t="shared" ref="U99:U107" si="63">$B99*$C99*K99</f>
        <v>0</v>
      </c>
      <c r="V99" s="98">
        <f t="shared" ref="V99:V107" si="64">$B99*$C99*L99</f>
        <v>0</v>
      </c>
      <c r="W99" s="98">
        <f>SUM(D99:L99)*C99*B99</f>
        <v>0</v>
      </c>
      <c r="X99" s="98">
        <f>(B99+C99)*2*SUM(D99:L99)</f>
        <v>0</v>
      </c>
      <c r="Y99" s="1" t="b">
        <f>AND(B99&lt;&gt;0,C99&lt;&gt;0)</f>
        <v>0</v>
      </c>
      <c r="Z99" s="1" t="e">
        <f>OR(D99:L99)</f>
        <v>#VALUE!</v>
      </c>
    </row>
    <row r="100" spans="1:26" x14ac:dyDescent="0.3">
      <c r="A100" s="98">
        <v>2</v>
      </c>
      <c r="B100" s="42"/>
      <c r="C100" s="42"/>
      <c r="D100" s="104"/>
      <c r="E100" s="104"/>
      <c r="F100" s="104"/>
      <c r="G100" s="104"/>
      <c r="H100" s="104"/>
      <c r="I100" s="104"/>
      <c r="J100" s="104"/>
      <c r="K100" s="104"/>
      <c r="L100" s="104"/>
      <c r="M100" s="317"/>
      <c r="N100" s="309">
        <f t="shared" si="56"/>
        <v>0</v>
      </c>
      <c r="O100" s="98">
        <f t="shared" si="57"/>
        <v>0</v>
      </c>
      <c r="P100" s="98">
        <f t="shared" si="58"/>
        <v>0</v>
      </c>
      <c r="Q100" s="98">
        <f t="shared" si="59"/>
        <v>0</v>
      </c>
      <c r="R100" s="98">
        <f t="shared" si="60"/>
        <v>0</v>
      </c>
      <c r="S100" s="98">
        <f t="shared" si="61"/>
        <v>0</v>
      </c>
      <c r="T100" s="98">
        <f t="shared" si="62"/>
        <v>0</v>
      </c>
      <c r="U100" s="98">
        <f t="shared" si="63"/>
        <v>0</v>
      </c>
      <c r="V100" s="98">
        <f t="shared" si="64"/>
        <v>0</v>
      </c>
      <c r="W100" s="98">
        <f t="shared" ref="W100:W105" si="65">SUM(D100:L100)*C100*B100</f>
        <v>0</v>
      </c>
      <c r="X100" s="98">
        <f t="shared" ref="X100:X105" si="66">(B100+C100)*2*SUM(D100:L100)</f>
        <v>0</v>
      </c>
      <c r="Y100" s="1" t="b">
        <f t="shared" ref="Y100:Y133" si="67">AND(B100&lt;&gt;0,C100&lt;&gt;0)</f>
        <v>0</v>
      </c>
      <c r="Z100" s="1" t="e">
        <f t="shared" ref="Z100:Z133" si="68">OR(D100:L100)</f>
        <v>#VALUE!</v>
      </c>
    </row>
    <row r="101" spans="1:26" x14ac:dyDescent="0.3">
      <c r="A101" s="98">
        <v>3</v>
      </c>
      <c r="B101" s="42"/>
      <c r="C101" s="42"/>
      <c r="D101" s="104"/>
      <c r="E101" s="104"/>
      <c r="F101" s="104"/>
      <c r="G101" s="104"/>
      <c r="H101" s="104"/>
      <c r="I101" s="104"/>
      <c r="J101" s="104"/>
      <c r="K101" s="104"/>
      <c r="L101" s="104"/>
      <c r="M101" s="317"/>
      <c r="N101" s="309">
        <f t="shared" si="56"/>
        <v>0</v>
      </c>
      <c r="O101" s="98">
        <f t="shared" si="57"/>
        <v>0</v>
      </c>
      <c r="P101" s="98">
        <f t="shared" si="58"/>
        <v>0</v>
      </c>
      <c r="Q101" s="98">
        <f t="shared" si="59"/>
        <v>0</v>
      </c>
      <c r="R101" s="98">
        <f t="shared" si="60"/>
        <v>0</v>
      </c>
      <c r="S101" s="98">
        <f t="shared" si="61"/>
        <v>0</v>
      </c>
      <c r="T101" s="98">
        <f t="shared" si="62"/>
        <v>0</v>
      </c>
      <c r="U101" s="98">
        <f t="shared" si="63"/>
        <v>0</v>
      </c>
      <c r="V101" s="98">
        <f t="shared" si="64"/>
        <v>0</v>
      </c>
      <c r="W101" s="98">
        <f t="shared" si="65"/>
        <v>0</v>
      </c>
      <c r="X101" s="98">
        <f t="shared" si="66"/>
        <v>0</v>
      </c>
      <c r="Y101" s="1" t="b">
        <f t="shared" si="67"/>
        <v>0</v>
      </c>
      <c r="Z101" s="1" t="e">
        <f t="shared" si="68"/>
        <v>#VALUE!</v>
      </c>
    </row>
    <row r="102" spans="1:26" x14ac:dyDescent="0.3">
      <c r="A102" s="98">
        <v>4</v>
      </c>
      <c r="B102" s="42"/>
      <c r="C102" s="42"/>
      <c r="D102" s="104"/>
      <c r="E102" s="104"/>
      <c r="F102" s="104"/>
      <c r="G102" s="104"/>
      <c r="H102" s="104"/>
      <c r="I102" s="104"/>
      <c r="J102" s="104"/>
      <c r="K102" s="104"/>
      <c r="L102" s="104"/>
      <c r="M102" s="317"/>
      <c r="N102" s="309">
        <f t="shared" si="56"/>
        <v>0</v>
      </c>
      <c r="O102" s="98">
        <f t="shared" si="57"/>
        <v>0</v>
      </c>
      <c r="P102" s="98">
        <f t="shared" si="58"/>
        <v>0</v>
      </c>
      <c r="Q102" s="98">
        <f t="shared" si="59"/>
        <v>0</v>
      </c>
      <c r="R102" s="98">
        <f t="shared" si="60"/>
        <v>0</v>
      </c>
      <c r="S102" s="98">
        <f t="shared" si="61"/>
        <v>0</v>
      </c>
      <c r="T102" s="98">
        <f t="shared" si="62"/>
        <v>0</v>
      </c>
      <c r="U102" s="98">
        <f t="shared" si="63"/>
        <v>0</v>
      </c>
      <c r="V102" s="98">
        <f t="shared" si="64"/>
        <v>0</v>
      </c>
      <c r="W102" s="98">
        <f t="shared" si="65"/>
        <v>0</v>
      </c>
      <c r="X102" s="98">
        <f t="shared" si="66"/>
        <v>0</v>
      </c>
      <c r="Y102" s="1" t="b">
        <f t="shared" si="67"/>
        <v>0</v>
      </c>
      <c r="Z102" s="1" t="e">
        <f t="shared" si="68"/>
        <v>#VALUE!</v>
      </c>
    </row>
    <row r="103" spans="1:26" x14ac:dyDescent="0.3">
      <c r="A103" s="98">
        <v>5</v>
      </c>
      <c r="B103" s="42"/>
      <c r="C103" s="42"/>
      <c r="D103" s="104"/>
      <c r="E103" s="104"/>
      <c r="F103" s="104"/>
      <c r="G103" s="104"/>
      <c r="H103" s="104"/>
      <c r="I103" s="104"/>
      <c r="J103" s="104"/>
      <c r="K103" s="104"/>
      <c r="L103" s="104"/>
      <c r="M103" s="317"/>
      <c r="N103" s="309">
        <f t="shared" si="56"/>
        <v>0</v>
      </c>
      <c r="O103" s="98">
        <f t="shared" si="57"/>
        <v>0</v>
      </c>
      <c r="P103" s="98">
        <f t="shared" si="58"/>
        <v>0</v>
      </c>
      <c r="Q103" s="98">
        <f t="shared" si="59"/>
        <v>0</v>
      </c>
      <c r="R103" s="98">
        <f t="shared" si="60"/>
        <v>0</v>
      </c>
      <c r="S103" s="98">
        <f t="shared" si="61"/>
        <v>0</v>
      </c>
      <c r="T103" s="98">
        <f t="shared" si="62"/>
        <v>0</v>
      </c>
      <c r="U103" s="98">
        <f t="shared" si="63"/>
        <v>0</v>
      </c>
      <c r="V103" s="98">
        <f t="shared" si="64"/>
        <v>0</v>
      </c>
      <c r="W103" s="98">
        <f t="shared" si="65"/>
        <v>0</v>
      </c>
      <c r="X103" s="98">
        <f t="shared" si="66"/>
        <v>0</v>
      </c>
      <c r="Y103" s="1" t="b">
        <f t="shared" si="67"/>
        <v>0</v>
      </c>
      <c r="Z103" s="1" t="e">
        <f t="shared" si="68"/>
        <v>#VALUE!</v>
      </c>
    </row>
    <row r="104" spans="1:26" x14ac:dyDescent="0.3">
      <c r="A104" s="98">
        <v>6</v>
      </c>
      <c r="B104" s="42"/>
      <c r="C104" s="42"/>
      <c r="D104" s="104"/>
      <c r="E104" s="104"/>
      <c r="F104" s="104"/>
      <c r="G104" s="104"/>
      <c r="H104" s="104"/>
      <c r="I104" s="104"/>
      <c r="J104" s="104"/>
      <c r="K104" s="104"/>
      <c r="L104" s="104"/>
      <c r="M104" s="317"/>
      <c r="N104" s="309">
        <f t="shared" si="56"/>
        <v>0</v>
      </c>
      <c r="O104" s="98">
        <f t="shared" si="57"/>
        <v>0</v>
      </c>
      <c r="P104" s="98">
        <f t="shared" si="58"/>
        <v>0</v>
      </c>
      <c r="Q104" s="98">
        <f t="shared" si="59"/>
        <v>0</v>
      </c>
      <c r="R104" s="98">
        <f t="shared" si="60"/>
        <v>0</v>
      </c>
      <c r="S104" s="98">
        <f t="shared" si="61"/>
        <v>0</v>
      </c>
      <c r="T104" s="98">
        <f t="shared" si="62"/>
        <v>0</v>
      </c>
      <c r="U104" s="98">
        <f t="shared" si="63"/>
        <v>0</v>
      </c>
      <c r="V104" s="98">
        <f t="shared" si="64"/>
        <v>0</v>
      </c>
      <c r="W104" s="98">
        <f t="shared" si="65"/>
        <v>0</v>
      </c>
      <c r="X104" s="98">
        <f t="shared" si="66"/>
        <v>0</v>
      </c>
      <c r="Y104" s="1" t="b">
        <f t="shared" si="67"/>
        <v>0</v>
      </c>
      <c r="Z104" s="1" t="e">
        <f t="shared" si="68"/>
        <v>#VALUE!</v>
      </c>
    </row>
    <row r="105" spans="1:26" x14ac:dyDescent="0.3">
      <c r="A105" s="98">
        <v>7</v>
      </c>
      <c r="B105" s="42"/>
      <c r="C105" s="42"/>
      <c r="D105" s="104"/>
      <c r="E105" s="104"/>
      <c r="F105" s="104"/>
      <c r="G105" s="104"/>
      <c r="H105" s="104"/>
      <c r="I105" s="104"/>
      <c r="J105" s="104"/>
      <c r="K105" s="104"/>
      <c r="L105" s="104"/>
      <c r="M105" s="317"/>
      <c r="N105" s="309">
        <f t="shared" si="56"/>
        <v>0</v>
      </c>
      <c r="O105" s="98">
        <f t="shared" si="57"/>
        <v>0</v>
      </c>
      <c r="P105" s="98">
        <f t="shared" si="58"/>
        <v>0</v>
      </c>
      <c r="Q105" s="98">
        <f t="shared" si="59"/>
        <v>0</v>
      </c>
      <c r="R105" s="98">
        <f t="shared" si="60"/>
        <v>0</v>
      </c>
      <c r="S105" s="98">
        <f t="shared" si="61"/>
        <v>0</v>
      </c>
      <c r="T105" s="98">
        <f t="shared" si="62"/>
        <v>0</v>
      </c>
      <c r="U105" s="98">
        <f t="shared" si="63"/>
        <v>0</v>
      </c>
      <c r="V105" s="98">
        <f t="shared" si="64"/>
        <v>0</v>
      </c>
      <c r="W105" s="98">
        <f t="shared" si="65"/>
        <v>0</v>
      </c>
      <c r="X105" s="98">
        <f t="shared" si="66"/>
        <v>0</v>
      </c>
      <c r="Y105" s="1" t="b">
        <f t="shared" si="67"/>
        <v>0</v>
      </c>
      <c r="Z105" s="1" t="e">
        <f t="shared" si="68"/>
        <v>#VALUE!</v>
      </c>
    </row>
    <row r="106" spans="1:26" x14ac:dyDescent="0.3">
      <c r="A106" s="98">
        <v>8</v>
      </c>
      <c r="B106" s="42"/>
      <c r="C106" s="42"/>
      <c r="D106" s="104"/>
      <c r="E106" s="104"/>
      <c r="F106" s="104"/>
      <c r="G106" s="104"/>
      <c r="H106" s="104"/>
      <c r="I106" s="104"/>
      <c r="J106" s="104"/>
      <c r="K106" s="104"/>
      <c r="L106" s="104"/>
      <c r="M106" s="317"/>
      <c r="N106" s="309">
        <f t="shared" si="56"/>
        <v>0</v>
      </c>
      <c r="O106" s="98">
        <f t="shared" si="57"/>
        <v>0</v>
      </c>
      <c r="P106" s="98">
        <f t="shared" si="58"/>
        <v>0</v>
      </c>
      <c r="Q106" s="98">
        <f t="shared" si="59"/>
        <v>0</v>
      </c>
      <c r="R106" s="98">
        <f t="shared" si="60"/>
        <v>0</v>
      </c>
      <c r="S106" s="98">
        <f t="shared" si="61"/>
        <v>0</v>
      </c>
      <c r="T106" s="98">
        <f t="shared" si="62"/>
        <v>0</v>
      </c>
      <c r="U106" s="98">
        <f t="shared" si="63"/>
        <v>0</v>
      </c>
      <c r="V106" s="98">
        <f t="shared" si="64"/>
        <v>0</v>
      </c>
      <c r="W106" s="98">
        <f>SUM(D106:L106)*C106*B106</f>
        <v>0</v>
      </c>
      <c r="X106" s="98">
        <f>(B106+C106)*2*SUM(D106:L106)</f>
        <v>0</v>
      </c>
      <c r="Y106" s="1" t="b">
        <f t="shared" si="67"/>
        <v>0</v>
      </c>
      <c r="Z106" s="1" t="e">
        <f t="shared" si="68"/>
        <v>#VALUE!</v>
      </c>
    </row>
    <row r="107" spans="1:26" x14ac:dyDescent="0.3">
      <c r="A107" s="98">
        <v>9</v>
      </c>
      <c r="B107" s="42"/>
      <c r="C107" s="42"/>
      <c r="D107" s="104"/>
      <c r="E107" s="104"/>
      <c r="F107" s="104"/>
      <c r="G107" s="104"/>
      <c r="H107" s="104"/>
      <c r="I107" s="104"/>
      <c r="J107" s="104"/>
      <c r="K107" s="104"/>
      <c r="L107" s="104"/>
      <c r="M107" s="317"/>
      <c r="N107" s="309">
        <f t="shared" si="56"/>
        <v>0</v>
      </c>
      <c r="O107" s="98">
        <f t="shared" si="57"/>
        <v>0</v>
      </c>
      <c r="P107" s="98">
        <f t="shared" si="58"/>
        <v>0</v>
      </c>
      <c r="Q107" s="98">
        <f t="shared" si="59"/>
        <v>0</v>
      </c>
      <c r="R107" s="98">
        <f t="shared" si="60"/>
        <v>0</v>
      </c>
      <c r="S107" s="98">
        <f t="shared" si="61"/>
        <v>0</v>
      </c>
      <c r="T107" s="98">
        <f t="shared" si="62"/>
        <v>0</v>
      </c>
      <c r="U107" s="98">
        <f t="shared" si="63"/>
        <v>0</v>
      </c>
      <c r="V107" s="98">
        <f t="shared" si="64"/>
        <v>0</v>
      </c>
      <c r="W107" s="98">
        <f>SUM(D107:L107)*C107*B107</f>
        <v>0</v>
      </c>
      <c r="X107" s="98">
        <f>(B107+C107)*2*SUM(D107:L107)</f>
        <v>0</v>
      </c>
      <c r="Y107" s="1" t="b">
        <f t="shared" si="67"/>
        <v>0</v>
      </c>
      <c r="Z107" s="1" t="e">
        <f t="shared" si="68"/>
        <v>#VALUE!</v>
      </c>
    </row>
    <row r="108" spans="1:26" x14ac:dyDescent="0.3">
      <c r="A108" s="98">
        <v>10</v>
      </c>
      <c r="B108" s="42"/>
      <c r="C108" s="42"/>
      <c r="D108" s="104"/>
      <c r="E108" s="104"/>
      <c r="F108" s="104"/>
      <c r="G108" s="104"/>
      <c r="H108" s="104"/>
      <c r="I108" s="104"/>
      <c r="J108" s="104"/>
      <c r="K108" s="104"/>
      <c r="L108" s="104"/>
      <c r="M108" s="317"/>
      <c r="N108" s="309">
        <f t="shared" ref="N108:N133" si="69">$B108*$C108*D108</f>
        <v>0</v>
      </c>
      <c r="O108" s="98">
        <f t="shared" ref="O108:O133" si="70">$B108*$C108*E108</f>
        <v>0</v>
      </c>
      <c r="P108" s="98">
        <f t="shared" ref="P108:P133" si="71">$B108*$C108*F108</f>
        <v>0</v>
      </c>
      <c r="Q108" s="98">
        <f t="shared" ref="Q108:Q133" si="72">$B108*$C108*G108</f>
        <v>0</v>
      </c>
      <c r="R108" s="98">
        <f t="shared" ref="R108:R133" si="73">$B108*$C108*H108</f>
        <v>0</v>
      </c>
      <c r="S108" s="98">
        <f t="shared" ref="S108:S133" si="74">$B108*$C108*I108</f>
        <v>0</v>
      </c>
      <c r="T108" s="98">
        <f t="shared" ref="T108:T133" si="75">$B108*$C108*J108</f>
        <v>0</v>
      </c>
      <c r="U108" s="98">
        <f t="shared" ref="U108:U133" si="76">$B108*$C108*K108</f>
        <v>0</v>
      </c>
      <c r="V108" s="98">
        <f t="shared" ref="V108:V133" si="77">$B108*$C108*L108</f>
        <v>0</v>
      </c>
      <c r="W108" s="98">
        <f t="shared" ref="W108:W133" si="78">SUM(D108:L108)*C108*B108</f>
        <v>0</v>
      </c>
      <c r="X108" s="98">
        <f t="shared" ref="X108:X133" si="79">(B108+C108)*2*SUM(D108:L108)</f>
        <v>0</v>
      </c>
      <c r="Y108" s="1" t="b">
        <f t="shared" si="67"/>
        <v>0</v>
      </c>
      <c r="Z108" s="1" t="e">
        <f t="shared" si="68"/>
        <v>#VALUE!</v>
      </c>
    </row>
    <row r="109" spans="1:26" x14ac:dyDescent="0.3">
      <c r="A109" s="98">
        <v>11</v>
      </c>
      <c r="B109" s="42"/>
      <c r="C109" s="42"/>
      <c r="D109" s="104"/>
      <c r="E109" s="104"/>
      <c r="F109" s="104"/>
      <c r="G109" s="104"/>
      <c r="H109" s="104"/>
      <c r="I109" s="104"/>
      <c r="J109" s="104"/>
      <c r="K109" s="104"/>
      <c r="L109" s="104"/>
      <c r="M109" s="317"/>
      <c r="N109" s="309">
        <f t="shared" si="69"/>
        <v>0</v>
      </c>
      <c r="O109" s="98">
        <f t="shared" si="70"/>
        <v>0</v>
      </c>
      <c r="P109" s="98">
        <f t="shared" si="71"/>
        <v>0</v>
      </c>
      <c r="Q109" s="98">
        <f t="shared" si="72"/>
        <v>0</v>
      </c>
      <c r="R109" s="98">
        <f t="shared" si="73"/>
        <v>0</v>
      </c>
      <c r="S109" s="98">
        <f t="shared" si="74"/>
        <v>0</v>
      </c>
      <c r="T109" s="98">
        <f t="shared" si="75"/>
        <v>0</v>
      </c>
      <c r="U109" s="98">
        <f t="shared" si="76"/>
        <v>0</v>
      </c>
      <c r="V109" s="98">
        <f t="shared" si="77"/>
        <v>0</v>
      </c>
      <c r="W109" s="98">
        <f t="shared" si="78"/>
        <v>0</v>
      </c>
      <c r="X109" s="98">
        <f t="shared" si="79"/>
        <v>0</v>
      </c>
      <c r="Y109" s="1" t="b">
        <f t="shared" si="67"/>
        <v>0</v>
      </c>
      <c r="Z109" s="1" t="e">
        <f t="shared" si="68"/>
        <v>#VALUE!</v>
      </c>
    </row>
    <row r="110" spans="1:26" x14ac:dyDescent="0.3">
      <c r="A110" s="98">
        <v>12</v>
      </c>
      <c r="B110" s="42"/>
      <c r="C110" s="42"/>
      <c r="D110" s="104"/>
      <c r="E110" s="104"/>
      <c r="F110" s="104"/>
      <c r="G110" s="104"/>
      <c r="H110" s="104"/>
      <c r="I110" s="104"/>
      <c r="J110" s="104"/>
      <c r="K110" s="104"/>
      <c r="L110" s="104"/>
      <c r="M110" s="317"/>
      <c r="N110" s="309">
        <f t="shared" si="69"/>
        <v>0</v>
      </c>
      <c r="O110" s="98">
        <f t="shared" si="70"/>
        <v>0</v>
      </c>
      <c r="P110" s="98">
        <f t="shared" si="71"/>
        <v>0</v>
      </c>
      <c r="Q110" s="98">
        <f t="shared" si="72"/>
        <v>0</v>
      </c>
      <c r="R110" s="98">
        <f t="shared" si="73"/>
        <v>0</v>
      </c>
      <c r="S110" s="98">
        <f t="shared" si="74"/>
        <v>0</v>
      </c>
      <c r="T110" s="98">
        <f t="shared" si="75"/>
        <v>0</v>
      </c>
      <c r="U110" s="98">
        <f t="shared" si="76"/>
        <v>0</v>
      </c>
      <c r="V110" s="98">
        <f t="shared" si="77"/>
        <v>0</v>
      </c>
      <c r="W110" s="98">
        <f t="shared" si="78"/>
        <v>0</v>
      </c>
      <c r="X110" s="98">
        <f t="shared" si="79"/>
        <v>0</v>
      </c>
      <c r="Y110" s="1" t="b">
        <f t="shared" si="67"/>
        <v>0</v>
      </c>
      <c r="Z110" s="1" t="e">
        <f t="shared" si="68"/>
        <v>#VALUE!</v>
      </c>
    </row>
    <row r="111" spans="1:26" x14ac:dyDescent="0.3">
      <c r="A111" s="98">
        <v>13</v>
      </c>
      <c r="B111" s="42"/>
      <c r="C111" s="42"/>
      <c r="D111" s="104"/>
      <c r="E111" s="104"/>
      <c r="F111" s="104"/>
      <c r="G111" s="104"/>
      <c r="H111" s="104"/>
      <c r="I111" s="104"/>
      <c r="J111" s="104"/>
      <c r="K111" s="104"/>
      <c r="L111" s="104"/>
      <c r="M111" s="317"/>
      <c r="N111" s="309">
        <f t="shared" si="69"/>
        <v>0</v>
      </c>
      <c r="O111" s="98">
        <f t="shared" si="70"/>
        <v>0</v>
      </c>
      <c r="P111" s="98">
        <f t="shared" si="71"/>
        <v>0</v>
      </c>
      <c r="Q111" s="98">
        <f t="shared" si="72"/>
        <v>0</v>
      </c>
      <c r="R111" s="98">
        <f t="shared" si="73"/>
        <v>0</v>
      </c>
      <c r="S111" s="98">
        <f t="shared" si="74"/>
        <v>0</v>
      </c>
      <c r="T111" s="98">
        <f t="shared" si="75"/>
        <v>0</v>
      </c>
      <c r="U111" s="98">
        <f t="shared" si="76"/>
        <v>0</v>
      </c>
      <c r="V111" s="98">
        <f t="shared" si="77"/>
        <v>0</v>
      </c>
      <c r="W111" s="98">
        <f t="shared" si="78"/>
        <v>0</v>
      </c>
      <c r="X111" s="98">
        <f t="shared" si="79"/>
        <v>0</v>
      </c>
      <c r="Y111" s="1" t="b">
        <f t="shared" si="67"/>
        <v>0</v>
      </c>
      <c r="Z111" s="1" t="e">
        <f t="shared" si="68"/>
        <v>#VALUE!</v>
      </c>
    </row>
    <row r="112" spans="1:26" x14ac:dyDescent="0.3">
      <c r="A112" s="98">
        <v>14</v>
      </c>
      <c r="B112" s="42"/>
      <c r="C112" s="42"/>
      <c r="D112" s="104"/>
      <c r="E112" s="104"/>
      <c r="F112" s="104"/>
      <c r="G112" s="104"/>
      <c r="H112" s="104"/>
      <c r="I112" s="104"/>
      <c r="J112" s="104"/>
      <c r="K112" s="104"/>
      <c r="L112" s="104"/>
      <c r="M112" s="317"/>
      <c r="N112" s="309">
        <f t="shared" si="69"/>
        <v>0</v>
      </c>
      <c r="O112" s="98">
        <f t="shared" si="70"/>
        <v>0</v>
      </c>
      <c r="P112" s="98">
        <f t="shared" si="71"/>
        <v>0</v>
      </c>
      <c r="Q112" s="98">
        <f t="shared" si="72"/>
        <v>0</v>
      </c>
      <c r="R112" s="98">
        <f t="shared" si="73"/>
        <v>0</v>
      </c>
      <c r="S112" s="98">
        <f t="shared" si="74"/>
        <v>0</v>
      </c>
      <c r="T112" s="98">
        <f t="shared" si="75"/>
        <v>0</v>
      </c>
      <c r="U112" s="98">
        <f t="shared" si="76"/>
        <v>0</v>
      </c>
      <c r="V112" s="98">
        <f t="shared" si="77"/>
        <v>0</v>
      </c>
      <c r="W112" s="98">
        <f t="shared" si="78"/>
        <v>0</v>
      </c>
      <c r="X112" s="98">
        <f t="shared" si="79"/>
        <v>0</v>
      </c>
      <c r="Y112" s="1" t="b">
        <f t="shared" si="67"/>
        <v>0</v>
      </c>
      <c r="Z112" s="1" t="e">
        <f t="shared" si="68"/>
        <v>#VALUE!</v>
      </c>
    </row>
    <row r="113" spans="1:26" x14ac:dyDescent="0.3">
      <c r="A113" s="98">
        <v>15</v>
      </c>
      <c r="B113" s="42"/>
      <c r="C113" s="42"/>
      <c r="D113" s="104"/>
      <c r="E113" s="104"/>
      <c r="F113" s="104"/>
      <c r="G113" s="104"/>
      <c r="H113" s="104"/>
      <c r="I113" s="104"/>
      <c r="J113" s="104"/>
      <c r="K113" s="104"/>
      <c r="L113" s="104"/>
      <c r="M113" s="317"/>
      <c r="N113" s="309">
        <f t="shared" si="69"/>
        <v>0</v>
      </c>
      <c r="O113" s="98">
        <f t="shared" si="70"/>
        <v>0</v>
      </c>
      <c r="P113" s="98">
        <f t="shared" si="71"/>
        <v>0</v>
      </c>
      <c r="Q113" s="98">
        <f t="shared" si="72"/>
        <v>0</v>
      </c>
      <c r="R113" s="98">
        <f t="shared" si="73"/>
        <v>0</v>
      </c>
      <c r="S113" s="98">
        <f t="shared" si="74"/>
        <v>0</v>
      </c>
      <c r="T113" s="98">
        <f t="shared" si="75"/>
        <v>0</v>
      </c>
      <c r="U113" s="98">
        <f t="shared" si="76"/>
        <v>0</v>
      </c>
      <c r="V113" s="98">
        <f t="shared" si="77"/>
        <v>0</v>
      </c>
      <c r="W113" s="98">
        <f t="shared" si="78"/>
        <v>0</v>
      </c>
      <c r="X113" s="98">
        <f t="shared" si="79"/>
        <v>0</v>
      </c>
      <c r="Y113" s="1" t="b">
        <f t="shared" si="67"/>
        <v>0</v>
      </c>
      <c r="Z113" s="1" t="e">
        <f t="shared" si="68"/>
        <v>#VALUE!</v>
      </c>
    </row>
    <row r="114" spans="1:26" x14ac:dyDescent="0.3">
      <c r="A114" s="98">
        <v>16</v>
      </c>
      <c r="B114" s="42"/>
      <c r="C114" s="42"/>
      <c r="D114" s="104"/>
      <c r="E114" s="104"/>
      <c r="F114" s="104"/>
      <c r="G114" s="104"/>
      <c r="H114" s="104"/>
      <c r="I114" s="104"/>
      <c r="J114" s="104"/>
      <c r="K114" s="104"/>
      <c r="L114" s="104"/>
      <c r="M114" s="317"/>
      <c r="N114" s="309">
        <f t="shared" si="69"/>
        <v>0</v>
      </c>
      <c r="O114" s="98">
        <f t="shared" si="70"/>
        <v>0</v>
      </c>
      <c r="P114" s="98">
        <f t="shared" si="71"/>
        <v>0</v>
      </c>
      <c r="Q114" s="98">
        <f t="shared" si="72"/>
        <v>0</v>
      </c>
      <c r="R114" s="98">
        <f t="shared" si="73"/>
        <v>0</v>
      </c>
      <c r="S114" s="98">
        <f t="shared" si="74"/>
        <v>0</v>
      </c>
      <c r="T114" s="98">
        <f t="shared" si="75"/>
        <v>0</v>
      </c>
      <c r="U114" s="98">
        <f t="shared" si="76"/>
        <v>0</v>
      </c>
      <c r="V114" s="98">
        <f t="shared" si="77"/>
        <v>0</v>
      </c>
      <c r="W114" s="98">
        <f t="shared" si="78"/>
        <v>0</v>
      </c>
      <c r="X114" s="98">
        <f t="shared" si="79"/>
        <v>0</v>
      </c>
      <c r="Y114" s="1" t="b">
        <f t="shared" si="67"/>
        <v>0</v>
      </c>
      <c r="Z114" s="1" t="e">
        <f t="shared" si="68"/>
        <v>#VALUE!</v>
      </c>
    </row>
    <row r="115" spans="1:26" x14ac:dyDescent="0.3">
      <c r="A115" s="98">
        <v>17</v>
      </c>
      <c r="B115" s="42"/>
      <c r="C115" s="42"/>
      <c r="D115" s="104"/>
      <c r="E115" s="104"/>
      <c r="F115" s="104"/>
      <c r="G115" s="104"/>
      <c r="H115" s="104"/>
      <c r="I115" s="104"/>
      <c r="J115" s="104"/>
      <c r="K115" s="104"/>
      <c r="L115" s="104"/>
      <c r="M115" s="317"/>
      <c r="N115" s="309">
        <f t="shared" si="69"/>
        <v>0</v>
      </c>
      <c r="O115" s="98">
        <f t="shared" si="70"/>
        <v>0</v>
      </c>
      <c r="P115" s="98">
        <f t="shared" si="71"/>
        <v>0</v>
      </c>
      <c r="Q115" s="98">
        <f t="shared" si="72"/>
        <v>0</v>
      </c>
      <c r="R115" s="98">
        <f t="shared" si="73"/>
        <v>0</v>
      </c>
      <c r="S115" s="98">
        <f t="shared" si="74"/>
        <v>0</v>
      </c>
      <c r="T115" s="98">
        <f t="shared" si="75"/>
        <v>0</v>
      </c>
      <c r="U115" s="98">
        <f t="shared" si="76"/>
        <v>0</v>
      </c>
      <c r="V115" s="98">
        <f t="shared" si="77"/>
        <v>0</v>
      </c>
      <c r="W115" s="98">
        <f t="shared" si="78"/>
        <v>0</v>
      </c>
      <c r="X115" s="98">
        <f t="shared" si="79"/>
        <v>0</v>
      </c>
      <c r="Y115" s="1" t="b">
        <f t="shared" si="67"/>
        <v>0</v>
      </c>
      <c r="Z115" s="1" t="e">
        <f t="shared" si="68"/>
        <v>#VALUE!</v>
      </c>
    </row>
    <row r="116" spans="1:26" x14ac:dyDescent="0.3">
      <c r="A116" s="98">
        <v>18</v>
      </c>
      <c r="B116" s="42"/>
      <c r="C116" s="42"/>
      <c r="D116" s="104"/>
      <c r="E116" s="104"/>
      <c r="F116" s="104"/>
      <c r="G116" s="104"/>
      <c r="H116" s="104"/>
      <c r="I116" s="104"/>
      <c r="J116" s="104"/>
      <c r="K116" s="104"/>
      <c r="L116" s="104"/>
      <c r="M116" s="317"/>
      <c r="N116" s="309">
        <f t="shared" si="69"/>
        <v>0</v>
      </c>
      <c r="O116" s="98">
        <f t="shared" si="70"/>
        <v>0</v>
      </c>
      <c r="P116" s="98">
        <f t="shared" si="71"/>
        <v>0</v>
      </c>
      <c r="Q116" s="98">
        <f t="shared" si="72"/>
        <v>0</v>
      </c>
      <c r="R116" s="98">
        <f t="shared" si="73"/>
        <v>0</v>
      </c>
      <c r="S116" s="98">
        <f t="shared" si="74"/>
        <v>0</v>
      </c>
      <c r="T116" s="98">
        <f t="shared" si="75"/>
        <v>0</v>
      </c>
      <c r="U116" s="98">
        <f t="shared" si="76"/>
        <v>0</v>
      </c>
      <c r="V116" s="98">
        <f t="shared" si="77"/>
        <v>0</v>
      </c>
      <c r="W116" s="98">
        <f t="shared" si="78"/>
        <v>0</v>
      </c>
      <c r="X116" s="98">
        <f t="shared" si="79"/>
        <v>0</v>
      </c>
      <c r="Y116" s="1" t="b">
        <f t="shared" si="67"/>
        <v>0</v>
      </c>
      <c r="Z116" s="1" t="e">
        <f t="shared" si="68"/>
        <v>#VALUE!</v>
      </c>
    </row>
    <row r="117" spans="1:26" x14ac:dyDescent="0.3">
      <c r="A117" s="98">
        <v>19</v>
      </c>
      <c r="B117" s="42"/>
      <c r="C117" s="42"/>
      <c r="D117" s="104"/>
      <c r="E117" s="104"/>
      <c r="F117" s="104"/>
      <c r="G117" s="104"/>
      <c r="H117" s="104"/>
      <c r="I117" s="104"/>
      <c r="J117" s="104"/>
      <c r="K117" s="104"/>
      <c r="L117" s="104"/>
      <c r="M117" s="317"/>
      <c r="N117" s="309">
        <f t="shared" si="69"/>
        <v>0</v>
      </c>
      <c r="O117" s="98">
        <f t="shared" si="70"/>
        <v>0</v>
      </c>
      <c r="P117" s="98">
        <f t="shared" si="71"/>
        <v>0</v>
      </c>
      <c r="Q117" s="98">
        <f t="shared" si="72"/>
        <v>0</v>
      </c>
      <c r="R117" s="98">
        <f t="shared" si="73"/>
        <v>0</v>
      </c>
      <c r="S117" s="98">
        <f t="shared" si="74"/>
        <v>0</v>
      </c>
      <c r="T117" s="98">
        <f t="shared" si="75"/>
        <v>0</v>
      </c>
      <c r="U117" s="98">
        <f t="shared" si="76"/>
        <v>0</v>
      </c>
      <c r="V117" s="98">
        <f t="shared" si="77"/>
        <v>0</v>
      </c>
      <c r="W117" s="98">
        <f t="shared" si="78"/>
        <v>0</v>
      </c>
      <c r="X117" s="98">
        <f t="shared" si="79"/>
        <v>0</v>
      </c>
      <c r="Y117" s="1" t="b">
        <f t="shared" si="67"/>
        <v>0</v>
      </c>
      <c r="Z117" s="1" t="e">
        <f t="shared" si="68"/>
        <v>#VALUE!</v>
      </c>
    </row>
    <row r="118" spans="1:26" x14ac:dyDescent="0.3">
      <c r="A118" s="98">
        <v>20</v>
      </c>
      <c r="B118" s="42"/>
      <c r="C118" s="42"/>
      <c r="D118" s="104"/>
      <c r="E118" s="104"/>
      <c r="F118" s="104"/>
      <c r="G118" s="104"/>
      <c r="H118" s="104"/>
      <c r="I118" s="104"/>
      <c r="J118" s="104"/>
      <c r="K118" s="104"/>
      <c r="L118" s="104"/>
      <c r="M118" s="317"/>
      <c r="N118" s="309">
        <f t="shared" si="69"/>
        <v>0</v>
      </c>
      <c r="O118" s="98">
        <f t="shared" si="70"/>
        <v>0</v>
      </c>
      <c r="P118" s="98">
        <f t="shared" si="71"/>
        <v>0</v>
      </c>
      <c r="Q118" s="98">
        <f t="shared" si="72"/>
        <v>0</v>
      </c>
      <c r="R118" s="98">
        <f t="shared" si="73"/>
        <v>0</v>
      </c>
      <c r="S118" s="98">
        <f t="shared" si="74"/>
        <v>0</v>
      </c>
      <c r="T118" s="98">
        <f t="shared" si="75"/>
        <v>0</v>
      </c>
      <c r="U118" s="98">
        <f t="shared" si="76"/>
        <v>0</v>
      </c>
      <c r="V118" s="98">
        <f t="shared" si="77"/>
        <v>0</v>
      </c>
      <c r="W118" s="98">
        <f t="shared" si="78"/>
        <v>0</v>
      </c>
      <c r="X118" s="98">
        <f t="shared" si="79"/>
        <v>0</v>
      </c>
      <c r="Y118" s="1" t="b">
        <f t="shared" si="67"/>
        <v>0</v>
      </c>
      <c r="Z118" s="1" t="e">
        <f t="shared" si="68"/>
        <v>#VALUE!</v>
      </c>
    </row>
    <row r="119" spans="1:26" x14ac:dyDescent="0.3">
      <c r="A119" s="98">
        <v>21</v>
      </c>
      <c r="B119" s="42"/>
      <c r="C119" s="42"/>
      <c r="D119" s="104"/>
      <c r="E119" s="104"/>
      <c r="F119" s="104"/>
      <c r="G119" s="104"/>
      <c r="H119" s="104"/>
      <c r="I119" s="104"/>
      <c r="J119" s="104"/>
      <c r="K119" s="104"/>
      <c r="L119" s="104"/>
      <c r="M119" s="317"/>
      <c r="N119" s="309">
        <f t="shared" si="69"/>
        <v>0</v>
      </c>
      <c r="O119" s="98">
        <f t="shared" si="70"/>
        <v>0</v>
      </c>
      <c r="P119" s="98">
        <f t="shared" si="71"/>
        <v>0</v>
      </c>
      <c r="Q119" s="98">
        <f t="shared" si="72"/>
        <v>0</v>
      </c>
      <c r="R119" s="98">
        <f t="shared" si="73"/>
        <v>0</v>
      </c>
      <c r="S119" s="98">
        <f t="shared" si="74"/>
        <v>0</v>
      </c>
      <c r="T119" s="98">
        <f t="shared" si="75"/>
        <v>0</v>
      </c>
      <c r="U119" s="98">
        <f t="shared" si="76"/>
        <v>0</v>
      </c>
      <c r="V119" s="98">
        <f t="shared" si="77"/>
        <v>0</v>
      </c>
      <c r="W119" s="98">
        <f t="shared" si="78"/>
        <v>0</v>
      </c>
      <c r="X119" s="98">
        <f t="shared" si="79"/>
        <v>0</v>
      </c>
      <c r="Y119" s="1" t="b">
        <f t="shared" si="67"/>
        <v>0</v>
      </c>
      <c r="Z119" s="1" t="e">
        <f t="shared" si="68"/>
        <v>#VALUE!</v>
      </c>
    </row>
    <row r="120" spans="1:26" x14ac:dyDescent="0.3">
      <c r="A120" s="98">
        <v>22</v>
      </c>
      <c r="B120" s="42"/>
      <c r="C120" s="42"/>
      <c r="D120" s="104"/>
      <c r="E120" s="104"/>
      <c r="F120" s="104"/>
      <c r="G120" s="104"/>
      <c r="H120" s="104"/>
      <c r="I120" s="104"/>
      <c r="J120" s="104"/>
      <c r="K120" s="104"/>
      <c r="L120" s="104"/>
      <c r="M120" s="317"/>
      <c r="N120" s="309">
        <f t="shared" si="69"/>
        <v>0</v>
      </c>
      <c r="O120" s="98">
        <f t="shared" si="70"/>
        <v>0</v>
      </c>
      <c r="P120" s="98">
        <f t="shared" si="71"/>
        <v>0</v>
      </c>
      <c r="Q120" s="98">
        <f t="shared" si="72"/>
        <v>0</v>
      </c>
      <c r="R120" s="98">
        <f t="shared" si="73"/>
        <v>0</v>
      </c>
      <c r="S120" s="98">
        <f t="shared" si="74"/>
        <v>0</v>
      </c>
      <c r="T120" s="98">
        <f t="shared" si="75"/>
        <v>0</v>
      </c>
      <c r="U120" s="98">
        <f t="shared" si="76"/>
        <v>0</v>
      </c>
      <c r="V120" s="98">
        <f t="shared" si="77"/>
        <v>0</v>
      </c>
      <c r="W120" s="98">
        <f t="shared" si="78"/>
        <v>0</v>
      </c>
      <c r="X120" s="98">
        <f t="shared" si="79"/>
        <v>0</v>
      </c>
      <c r="Y120" s="1" t="b">
        <f t="shared" si="67"/>
        <v>0</v>
      </c>
      <c r="Z120" s="1" t="e">
        <f t="shared" si="68"/>
        <v>#VALUE!</v>
      </c>
    </row>
    <row r="121" spans="1:26" x14ac:dyDescent="0.3">
      <c r="A121" s="98">
        <v>23</v>
      </c>
      <c r="B121" s="42"/>
      <c r="C121" s="42"/>
      <c r="D121" s="104"/>
      <c r="E121" s="104"/>
      <c r="F121" s="104"/>
      <c r="G121" s="104"/>
      <c r="H121" s="104"/>
      <c r="I121" s="104"/>
      <c r="J121" s="104"/>
      <c r="K121" s="104"/>
      <c r="L121" s="104"/>
      <c r="M121" s="317"/>
      <c r="N121" s="309">
        <f t="shared" si="69"/>
        <v>0</v>
      </c>
      <c r="O121" s="98">
        <f t="shared" si="70"/>
        <v>0</v>
      </c>
      <c r="P121" s="98">
        <f t="shared" si="71"/>
        <v>0</v>
      </c>
      <c r="Q121" s="98">
        <f t="shared" si="72"/>
        <v>0</v>
      </c>
      <c r="R121" s="98">
        <f t="shared" si="73"/>
        <v>0</v>
      </c>
      <c r="S121" s="98">
        <f t="shared" si="74"/>
        <v>0</v>
      </c>
      <c r="T121" s="98">
        <f t="shared" si="75"/>
        <v>0</v>
      </c>
      <c r="U121" s="98">
        <f t="shared" si="76"/>
        <v>0</v>
      </c>
      <c r="V121" s="98">
        <f t="shared" si="77"/>
        <v>0</v>
      </c>
      <c r="W121" s="98">
        <f t="shared" si="78"/>
        <v>0</v>
      </c>
      <c r="X121" s="98">
        <f t="shared" si="79"/>
        <v>0</v>
      </c>
      <c r="Y121" s="1" t="b">
        <f t="shared" si="67"/>
        <v>0</v>
      </c>
      <c r="Z121" s="1" t="e">
        <f t="shared" si="68"/>
        <v>#VALUE!</v>
      </c>
    </row>
    <row r="122" spans="1:26" x14ac:dyDescent="0.3">
      <c r="A122" s="98">
        <v>24</v>
      </c>
      <c r="B122" s="42"/>
      <c r="C122" s="42"/>
      <c r="D122" s="104"/>
      <c r="E122" s="104"/>
      <c r="F122" s="104"/>
      <c r="G122" s="104"/>
      <c r="H122" s="104"/>
      <c r="I122" s="104"/>
      <c r="J122" s="104"/>
      <c r="K122" s="104"/>
      <c r="L122" s="104"/>
      <c r="M122" s="317"/>
      <c r="N122" s="309">
        <f t="shared" si="69"/>
        <v>0</v>
      </c>
      <c r="O122" s="98">
        <f t="shared" si="70"/>
        <v>0</v>
      </c>
      <c r="P122" s="98">
        <f t="shared" si="71"/>
        <v>0</v>
      </c>
      <c r="Q122" s="98">
        <f t="shared" si="72"/>
        <v>0</v>
      </c>
      <c r="R122" s="98">
        <f t="shared" si="73"/>
        <v>0</v>
      </c>
      <c r="S122" s="98">
        <f t="shared" si="74"/>
        <v>0</v>
      </c>
      <c r="T122" s="98">
        <f t="shared" si="75"/>
        <v>0</v>
      </c>
      <c r="U122" s="98">
        <f t="shared" si="76"/>
        <v>0</v>
      </c>
      <c r="V122" s="98">
        <f t="shared" si="77"/>
        <v>0</v>
      </c>
      <c r="W122" s="98">
        <f t="shared" si="78"/>
        <v>0</v>
      </c>
      <c r="X122" s="98">
        <f t="shared" si="79"/>
        <v>0</v>
      </c>
      <c r="Y122" s="1" t="b">
        <f t="shared" si="67"/>
        <v>0</v>
      </c>
      <c r="Z122" s="1" t="e">
        <f t="shared" si="68"/>
        <v>#VALUE!</v>
      </c>
    </row>
    <row r="123" spans="1:26" x14ac:dyDescent="0.3">
      <c r="A123" s="98">
        <v>25</v>
      </c>
      <c r="B123" s="42"/>
      <c r="C123" s="42"/>
      <c r="D123" s="104"/>
      <c r="E123" s="104"/>
      <c r="F123" s="104"/>
      <c r="G123" s="104"/>
      <c r="H123" s="104"/>
      <c r="I123" s="104"/>
      <c r="J123" s="104"/>
      <c r="K123" s="104"/>
      <c r="L123" s="104"/>
      <c r="M123" s="317"/>
      <c r="N123" s="309">
        <f t="shared" si="69"/>
        <v>0</v>
      </c>
      <c r="O123" s="98">
        <f t="shared" si="70"/>
        <v>0</v>
      </c>
      <c r="P123" s="98">
        <f t="shared" si="71"/>
        <v>0</v>
      </c>
      <c r="Q123" s="98">
        <f t="shared" si="72"/>
        <v>0</v>
      </c>
      <c r="R123" s="98">
        <f t="shared" si="73"/>
        <v>0</v>
      </c>
      <c r="S123" s="98">
        <f t="shared" si="74"/>
        <v>0</v>
      </c>
      <c r="T123" s="98">
        <f t="shared" si="75"/>
        <v>0</v>
      </c>
      <c r="U123" s="98">
        <f t="shared" si="76"/>
        <v>0</v>
      </c>
      <c r="V123" s="98">
        <f t="shared" si="77"/>
        <v>0</v>
      </c>
      <c r="W123" s="98">
        <f t="shared" si="78"/>
        <v>0</v>
      </c>
      <c r="X123" s="98">
        <f t="shared" si="79"/>
        <v>0</v>
      </c>
      <c r="Y123" s="1" t="b">
        <f t="shared" si="67"/>
        <v>0</v>
      </c>
      <c r="Z123" s="1" t="e">
        <f t="shared" si="68"/>
        <v>#VALUE!</v>
      </c>
    </row>
    <row r="124" spans="1:26" x14ac:dyDescent="0.3">
      <c r="A124" s="98">
        <v>26</v>
      </c>
      <c r="B124" s="42"/>
      <c r="C124" s="42"/>
      <c r="D124" s="104"/>
      <c r="E124" s="104"/>
      <c r="F124" s="104"/>
      <c r="G124" s="104"/>
      <c r="H124" s="104"/>
      <c r="I124" s="104"/>
      <c r="J124" s="104"/>
      <c r="K124" s="104"/>
      <c r="L124" s="104"/>
      <c r="M124" s="317"/>
      <c r="N124" s="309">
        <f t="shared" si="69"/>
        <v>0</v>
      </c>
      <c r="O124" s="98">
        <f t="shared" si="70"/>
        <v>0</v>
      </c>
      <c r="P124" s="98">
        <f t="shared" si="71"/>
        <v>0</v>
      </c>
      <c r="Q124" s="98">
        <f t="shared" si="72"/>
        <v>0</v>
      </c>
      <c r="R124" s="98">
        <f t="shared" si="73"/>
        <v>0</v>
      </c>
      <c r="S124" s="98">
        <f t="shared" si="74"/>
        <v>0</v>
      </c>
      <c r="T124" s="98">
        <f t="shared" si="75"/>
        <v>0</v>
      </c>
      <c r="U124" s="98">
        <f t="shared" si="76"/>
        <v>0</v>
      </c>
      <c r="V124" s="98">
        <f t="shared" si="77"/>
        <v>0</v>
      </c>
      <c r="W124" s="98">
        <f t="shared" si="78"/>
        <v>0</v>
      </c>
      <c r="X124" s="98">
        <f t="shared" si="79"/>
        <v>0</v>
      </c>
      <c r="Y124" s="1" t="b">
        <f t="shared" si="67"/>
        <v>0</v>
      </c>
      <c r="Z124" s="1" t="e">
        <f t="shared" si="68"/>
        <v>#VALUE!</v>
      </c>
    </row>
    <row r="125" spans="1:26" x14ac:dyDescent="0.3">
      <c r="A125" s="98">
        <v>27</v>
      </c>
      <c r="B125" s="42"/>
      <c r="C125" s="42"/>
      <c r="D125" s="104"/>
      <c r="E125" s="104"/>
      <c r="F125" s="104"/>
      <c r="G125" s="104"/>
      <c r="H125" s="104"/>
      <c r="I125" s="104"/>
      <c r="J125" s="104"/>
      <c r="K125" s="104"/>
      <c r="L125" s="104"/>
      <c r="M125" s="317"/>
      <c r="N125" s="309">
        <f t="shared" si="69"/>
        <v>0</v>
      </c>
      <c r="O125" s="98">
        <f t="shared" si="70"/>
        <v>0</v>
      </c>
      <c r="P125" s="98">
        <f t="shared" si="71"/>
        <v>0</v>
      </c>
      <c r="Q125" s="98">
        <f t="shared" si="72"/>
        <v>0</v>
      </c>
      <c r="R125" s="98">
        <f t="shared" si="73"/>
        <v>0</v>
      </c>
      <c r="S125" s="98">
        <f t="shared" si="74"/>
        <v>0</v>
      </c>
      <c r="T125" s="98">
        <f t="shared" si="75"/>
        <v>0</v>
      </c>
      <c r="U125" s="98">
        <f t="shared" si="76"/>
        <v>0</v>
      </c>
      <c r="V125" s="98">
        <f t="shared" si="77"/>
        <v>0</v>
      </c>
      <c r="W125" s="98">
        <f t="shared" si="78"/>
        <v>0</v>
      </c>
      <c r="X125" s="98">
        <f t="shared" si="79"/>
        <v>0</v>
      </c>
      <c r="Y125" s="1" t="b">
        <f t="shared" si="67"/>
        <v>0</v>
      </c>
      <c r="Z125" s="1" t="e">
        <f t="shared" si="68"/>
        <v>#VALUE!</v>
      </c>
    </row>
    <row r="126" spans="1:26" x14ac:dyDescent="0.3">
      <c r="A126" s="98">
        <v>28</v>
      </c>
      <c r="B126" s="42"/>
      <c r="C126" s="42"/>
      <c r="D126" s="104"/>
      <c r="E126" s="104"/>
      <c r="F126" s="104"/>
      <c r="G126" s="104"/>
      <c r="H126" s="104"/>
      <c r="I126" s="104"/>
      <c r="J126" s="104"/>
      <c r="K126" s="104"/>
      <c r="L126" s="104"/>
      <c r="M126" s="317"/>
      <c r="N126" s="309">
        <f t="shared" si="69"/>
        <v>0</v>
      </c>
      <c r="O126" s="98">
        <f t="shared" si="70"/>
        <v>0</v>
      </c>
      <c r="P126" s="98">
        <f t="shared" si="71"/>
        <v>0</v>
      </c>
      <c r="Q126" s="98">
        <f t="shared" si="72"/>
        <v>0</v>
      </c>
      <c r="R126" s="98">
        <f t="shared" si="73"/>
        <v>0</v>
      </c>
      <c r="S126" s="98">
        <f t="shared" si="74"/>
        <v>0</v>
      </c>
      <c r="T126" s="98">
        <f t="shared" si="75"/>
        <v>0</v>
      </c>
      <c r="U126" s="98">
        <f t="shared" si="76"/>
        <v>0</v>
      </c>
      <c r="V126" s="98">
        <f t="shared" si="77"/>
        <v>0</v>
      </c>
      <c r="W126" s="98">
        <f t="shared" si="78"/>
        <v>0</v>
      </c>
      <c r="X126" s="98">
        <f t="shared" si="79"/>
        <v>0</v>
      </c>
      <c r="Y126" s="1" t="b">
        <f t="shared" si="67"/>
        <v>0</v>
      </c>
      <c r="Z126" s="1" t="e">
        <f t="shared" si="68"/>
        <v>#VALUE!</v>
      </c>
    </row>
    <row r="127" spans="1:26" x14ac:dyDescent="0.3">
      <c r="A127" s="98">
        <v>29</v>
      </c>
      <c r="B127" s="42"/>
      <c r="C127" s="42"/>
      <c r="D127" s="104"/>
      <c r="E127" s="104"/>
      <c r="F127" s="104"/>
      <c r="G127" s="104"/>
      <c r="H127" s="104"/>
      <c r="I127" s="104"/>
      <c r="J127" s="104"/>
      <c r="K127" s="104"/>
      <c r="L127" s="104"/>
      <c r="M127" s="317"/>
      <c r="N127" s="309">
        <f t="shared" si="69"/>
        <v>0</v>
      </c>
      <c r="O127" s="98">
        <f t="shared" si="70"/>
        <v>0</v>
      </c>
      <c r="P127" s="98">
        <f t="shared" si="71"/>
        <v>0</v>
      </c>
      <c r="Q127" s="98">
        <f t="shared" si="72"/>
        <v>0</v>
      </c>
      <c r="R127" s="98">
        <f t="shared" si="73"/>
        <v>0</v>
      </c>
      <c r="S127" s="98">
        <f t="shared" si="74"/>
        <v>0</v>
      </c>
      <c r="T127" s="98">
        <f t="shared" si="75"/>
        <v>0</v>
      </c>
      <c r="U127" s="98">
        <f t="shared" si="76"/>
        <v>0</v>
      </c>
      <c r="V127" s="98">
        <f t="shared" si="77"/>
        <v>0</v>
      </c>
      <c r="W127" s="98">
        <f t="shared" si="78"/>
        <v>0</v>
      </c>
      <c r="X127" s="98">
        <f t="shared" si="79"/>
        <v>0</v>
      </c>
      <c r="Y127" s="1" t="b">
        <f t="shared" si="67"/>
        <v>0</v>
      </c>
      <c r="Z127" s="1" t="e">
        <f t="shared" si="68"/>
        <v>#VALUE!</v>
      </c>
    </row>
    <row r="128" spans="1:26" x14ac:dyDescent="0.3">
      <c r="A128" s="98">
        <v>30</v>
      </c>
      <c r="B128" s="42"/>
      <c r="C128" s="42"/>
      <c r="D128" s="104"/>
      <c r="E128" s="104"/>
      <c r="F128" s="104"/>
      <c r="G128" s="104"/>
      <c r="H128" s="104"/>
      <c r="I128" s="104"/>
      <c r="J128" s="104"/>
      <c r="K128" s="104"/>
      <c r="L128" s="104"/>
      <c r="M128" s="317"/>
      <c r="N128" s="309">
        <f t="shared" si="69"/>
        <v>0</v>
      </c>
      <c r="O128" s="98">
        <f t="shared" si="70"/>
        <v>0</v>
      </c>
      <c r="P128" s="98">
        <f t="shared" si="71"/>
        <v>0</v>
      </c>
      <c r="Q128" s="98">
        <f t="shared" si="72"/>
        <v>0</v>
      </c>
      <c r="R128" s="98">
        <f t="shared" si="73"/>
        <v>0</v>
      </c>
      <c r="S128" s="98">
        <f t="shared" si="74"/>
        <v>0</v>
      </c>
      <c r="T128" s="98">
        <f t="shared" si="75"/>
        <v>0</v>
      </c>
      <c r="U128" s="98">
        <f t="shared" si="76"/>
        <v>0</v>
      </c>
      <c r="V128" s="98">
        <f t="shared" si="77"/>
        <v>0</v>
      </c>
      <c r="W128" s="98">
        <f t="shared" si="78"/>
        <v>0</v>
      </c>
      <c r="X128" s="98">
        <f t="shared" si="79"/>
        <v>0</v>
      </c>
      <c r="Y128" s="1" t="b">
        <f t="shared" si="67"/>
        <v>0</v>
      </c>
      <c r="Z128" s="1" t="e">
        <f t="shared" si="68"/>
        <v>#VALUE!</v>
      </c>
    </row>
    <row r="129" spans="1:26" x14ac:dyDescent="0.3">
      <c r="A129" s="98">
        <v>31</v>
      </c>
      <c r="B129" s="42"/>
      <c r="C129" s="42"/>
      <c r="D129" s="104"/>
      <c r="E129" s="104"/>
      <c r="F129" s="104"/>
      <c r="G129" s="104"/>
      <c r="H129" s="104"/>
      <c r="I129" s="104"/>
      <c r="J129" s="104"/>
      <c r="K129" s="104"/>
      <c r="L129" s="104"/>
      <c r="M129" s="317"/>
      <c r="N129" s="309">
        <f t="shared" si="69"/>
        <v>0</v>
      </c>
      <c r="O129" s="98">
        <f t="shared" si="70"/>
        <v>0</v>
      </c>
      <c r="P129" s="98">
        <f t="shared" si="71"/>
        <v>0</v>
      </c>
      <c r="Q129" s="98">
        <f t="shared" si="72"/>
        <v>0</v>
      </c>
      <c r="R129" s="98">
        <f t="shared" si="73"/>
        <v>0</v>
      </c>
      <c r="S129" s="98">
        <f t="shared" si="74"/>
        <v>0</v>
      </c>
      <c r="T129" s="98">
        <f t="shared" si="75"/>
        <v>0</v>
      </c>
      <c r="U129" s="98">
        <f t="shared" si="76"/>
        <v>0</v>
      </c>
      <c r="V129" s="98">
        <f t="shared" si="77"/>
        <v>0</v>
      </c>
      <c r="W129" s="98">
        <f t="shared" si="78"/>
        <v>0</v>
      </c>
      <c r="X129" s="98">
        <f t="shared" si="79"/>
        <v>0</v>
      </c>
      <c r="Y129" s="1" t="b">
        <f t="shared" si="67"/>
        <v>0</v>
      </c>
      <c r="Z129" s="1" t="e">
        <f t="shared" si="68"/>
        <v>#VALUE!</v>
      </c>
    </row>
    <row r="130" spans="1:26" x14ac:dyDescent="0.3">
      <c r="A130" s="98">
        <v>32</v>
      </c>
      <c r="B130" s="42"/>
      <c r="C130" s="42"/>
      <c r="D130" s="104"/>
      <c r="E130" s="104"/>
      <c r="F130" s="104"/>
      <c r="G130" s="104"/>
      <c r="H130" s="104"/>
      <c r="I130" s="104"/>
      <c r="J130" s="104"/>
      <c r="K130" s="104"/>
      <c r="L130" s="104"/>
      <c r="M130" s="317"/>
      <c r="N130" s="309">
        <f t="shared" si="69"/>
        <v>0</v>
      </c>
      <c r="O130" s="98">
        <f t="shared" si="70"/>
        <v>0</v>
      </c>
      <c r="P130" s="98">
        <f t="shared" si="71"/>
        <v>0</v>
      </c>
      <c r="Q130" s="98">
        <f t="shared" si="72"/>
        <v>0</v>
      </c>
      <c r="R130" s="98">
        <f t="shared" si="73"/>
        <v>0</v>
      </c>
      <c r="S130" s="98">
        <f t="shared" si="74"/>
        <v>0</v>
      </c>
      <c r="T130" s="98">
        <f t="shared" si="75"/>
        <v>0</v>
      </c>
      <c r="U130" s="98">
        <f t="shared" si="76"/>
        <v>0</v>
      </c>
      <c r="V130" s="98">
        <f t="shared" si="77"/>
        <v>0</v>
      </c>
      <c r="W130" s="98">
        <f t="shared" si="78"/>
        <v>0</v>
      </c>
      <c r="X130" s="98">
        <f t="shared" si="79"/>
        <v>0</v>
      </c>
      <c r="Y130" s="1" t="b">
        <f t="shared" si="67"/>
        <v>0</v>
      </c>
      <c r="Z130" s="1" t="e">
        <f t="shared" si="68"/>
        <v>#VALUE!</v>
      </c>
    </row>
    <row r="131" spans="1:26" x14ac:dyDescent="0.3">
      <c r="A131" s="98">
        <v>33</v>
      </c>
      <c r="B131" s="42"/>
      <c r="C131" s="42"/>
      <c r="D131" s="104"/>
      <c r="E131" s="104"/>
      <c r="F131" s="104"/>
      <c r="G131" s="104"/>
      <c r="H131" s="104"/>
      <c r="I131" s="104"/>
      <c r="J131" s="104"/>
      <c r="K131" s="104"/>
      <c r="L131" s="104"/>
      <c r="M131" s="317"/>
      <c r="N131" s="309">
        <f t="shared" si="69"/>
        <v>0</v>
      </c>
      <c r="O131" s="98">
        <f t="shared" si="70"/>
        <v>0</v>
      </c>
      <c r="P131" s="98">
        <f t="shared" si="71"/>
        <v>0</v>
      </c>
      <c r="Q131" s="98">
        <f t="shared" si="72"/>
        <v>0</v>
      </c>
      <c r="R131" s="98">
        <f t="shared" si="73"/>
        <v>0</v>
      </c>
      <c r="S131" s="98">
        <f t="shared" si="74"/>
        <v>0</v>
      </c>
      <c r="T131" s="98">
        <f t="shared" si="75"/>
        <v>0</v>
      </c>
      <c r="U131" s="98">
        <f t="shared" si="76"/>
        <v>0</v>
      </c>
      <c r="V131" s="98">
        <f t="shared" si="77"/>
        <v>0</v>
      </c>
      <c r="W131" s="98">
        <f t="shared" si="78"/>
        <v>0</v>
      </c>
      <c r="X131" s="98">
        <f t="shared" si="79"/>
        <v>0</v>
      </c>
      <c r="Y131" s="1" t="b">
        <f t="shared" si="67"/>
        <v>0</v>
      </c>
      <c r="Z131" s="1" t="e">
        <f t="shared" si="68"/>
        <v>#VALUE!</v>
      </c>
    </row>
    <row r="132" spans="1:26" x14ac:dyDescent="0.3">
      <c r="A132" s="98">
        <v>34</v>
      </c>
      <c r="B132" s="42"/>
      <c r="C132" s="42"/>
      <c r="D132" s="104"/>
      <c r="E132" s="104"/>
      <c r="F132" s="104"/>
      <c r="G132" s="104"/>
      <c r="H132" s="104"/>
      <c r="I132" s="104"/>
      <c r="J132" s="104"/>
      <c r="K132" s="104"/>
      <c r="L132" s="104"/>
      <c r="M132" s="317"/>
      <c r="N132" s="309">
        <f t="shared" si="69"/>
        <v>0</v>
      </c>
      <c r="O132" s="98">
        <f t="shared" si="70"/>
        <v>0</v>
      </c>
      <c r="P132" s="98">
        <f t="shared" si="71"/>
        <v>0</v>
      </c>
      <c r="Q132" s="98">
        <f t="shared" si="72"/>
        <v>0</v>
      </c>
      <c r="R132" s="98">
        <f t="shared" si="73"/>
        <v>0</v>
      </c>
      <c r="S132" s="98">
        <f t="shared" si="74"/>
        <v>0</v>
      </c>
      <c r="T132" s="98">
        <f t="shared" si="75"/>
        <v>0</v>
      </c>
      <c r="U132" s="98">
        <f t="shared" si="76"/>
        <v>0</v>
      </c>
      <c r="V132" s="98">
        <f t="shared" si="77"/>
        <v>0</v>
      </c>
      <c r="W132" s="98">
        <f t="shared" si="78"/>
        <v>0</v>
      </c>
      <c r="X132" s="98">
        <f t="shared" si="79"/>
        <v>0</v>
      </c>
      <c r="Y132" s="1" t="b">
        <f t="shared" si="67"/>
        <v>0</v>
      </c>
      <c r="Z132" s="1" t="e">
        <f t="shared" si="68"/>
        <v>#VALUE!</v>
      </c>
    </row>
    <row r="133" spans="1:26" x14ac:dyDescent="0.3">
      <c r="A133" s="98">
        <v>35</v>
      </c>
      <c r="B133" s="42"/>
      <c r="C133" s="42"/>
      <c r="D133" s="104"/>
      <c r="E133" s="104"/>
      <c r="F133" s="104"/>
      <c r="G133" s="104"/>
      <c r="H133" s="104"/>
      <c r="I133" s="104"/>
      <c r="J133" s="104"/>
      <c r="K133" s="104"/>
      <c r="L133" s="104"/>
      <c r="M133" s="317"/>
      <c r="N133" s="309">
        <f t="shared" si="69"/>
        <v>0</v>
      </c>
      <c r="O133" s="98">
        <f t="shared" si="70"/>
        <v>0</v>
      </c>
      <c r="P133" s="98">
        <f t="shared" si="71"/>
        <v>0</v>
      </c>
      <c r="Q133" s="98">
        <f t="shared" si="72"/>
        <v>0</v>
      </c>
      <c r="R133" s="98">
        <f t="shared" si="73"/>
        <v>0</v>
      </c>
      <c r="S133" s="98">
        <f t="shared" si="74"/>
        <v>0</v>
      </c>
      <c r="T133" s="98">
        <f t="shared" si="75"/>
        <v>0</v>
      </c>
      <c r="U133" s="98">
        <f t="shared" si="76"/>
        <v>0</v>
      </c>
      <c r="V133" s="98">
        <f t="shared" si="77"/>
        <v>0</v>
      </c>
      <c r="W133" s="98">
        <f t="shared" si="78"/>
        <v>0</v>
      </c>
      <c r="X133" s="98">
        <f t="shared" si="79"/>
        <v>0</v>
      </c>
      <c r="Y133" s="1" t="b">
        <f t="shared" si="67"/>
        <v>0</v>
      </c>
      <c r="Z133" s="1" t="e">
        <f t="shared" si="68"/>
        <v>#VALUE!</v>
      </c>
    </row>
    <row r="134" spans="1:26" x14ac:dyDescent="0.3">
      <c r="A134" s="911" t="s">
        <v>678</v>
      </c>
      <c r="B134" s="911"/>
      <c r="C134" s="911"/>
      <c r="D134" s="483">
        <f t="shared" ref="D134:L134" si="80">SUM(N99:N133)</f>
        <v>0</v>
      </c>
      <c r="E134" s="483">
        <f t="shared" si="80"/>
        <v>0</v>
      </c>
      <c r="F134" s="483">
        <f t="shared" si="80"/>
        <v>0</v>
      </c>
      <c r="G134" s="483">
        <f t="shared" si="80"/>
        <v>0</v>
      </c>
      <c r="H134" s="483">
        <f t="shared" si="80"/>
        <v>0</v>
      </c>
      <c r="I134" s="483">
        <f t="shared" si="80"/>
        <v>0</v>
      </c>
      <c r="J134" s="483">
        <f t="shared" si="80"/>
        <v>0</v>
      </c>
      <c r="K134" s="483">
        <f t="shared" si="80"/>
        <v>0</v>
      </c>
      <c r="L134" s="483">
        <f t="shared" si="80"/>
        <v>0</v>
      </c>
      <c r="M134" s="305"/>
      <c r="Y134" s="1">
        <f>COUNTIF(Y99:Y133,TRUE)</f>
        <v>0</v>
      </c>
      <c r="Z134" s="1">
        <f>COUNTIF(Z99:Z133,TRUE)</f>
        <v>0</v>
      </c>
    </row>
    <row r="135" spans="1:26" x14ac:dyDescent="0.3">
      <c r="A135" s="99"/>
      <c r="B135" s="99"/>
      <c r="C135" s="99"/>
      <c r="D135" s="99"/>
      <c r="E135" s="99"/>
      <c r="F135" s="99"/>
      <c r="G135" s="99"/>
      <c r="H135" s="99"/>
      <c r="I135" s="99"/>
      <c r="J135" s="100"/>
      <c r="K135" s="100"/>
      <c r="L135" s="101"/>
      <c r="M135" s="101"/>
    </row>
    <row r="136" spans="1:26" ht="18.600000000000001" hidden="1" x14ac:dyDescent="0.4">
      <c r="A136" s="709" t="s">
        <v>47</v>
      </c>
      <c r="B136" s="709"/>
      <c r="C136" s="709"/>
      <c r="D136" s="709"/>
      <c r="E136" s="709"/>
      <c r="F136" s="589"/>
      <c r="G136" s="11" t="s">
        <v>60</v>
      </c>
      <c r="H136" s="96">
        <f>SUM(X57:X91,X99:X133)</f>
        <v>0</v>
      </c>
      <c r="I136" s="7" t="s">
        <v>883</v>
      </c>
      <c r="N136" s="910" t="str">
        <f>IF(Y134=Z134,"правилно въведени врати","грешно въведени врати")</f>
        <v>правилно въведени врати</v>
      </c>
      <c r="O136" s="589"/>
      <c r="P136" s="589"/>
      <c r="Q136" s="589"/>
      <c r="R136" s="589"/>
      <c r="S136" s="240"/>
      <c r="T136" s="240"/>
      <c r="U136" s="240"/>
    </row>
    <row r="137" spans="1:26" ht="19.2" x14ac:dyDescent="0.4">
      <c r="A137" s="709" t="s">
        <v>48</v>
      </c>
      <c r="B137" s="709"/>
      <c r="C137" s="709"/>
      <c r="D137" s="709"/>
      <c r="E137" s="709"/>
      <c r="F137" s="589"/>
      <c r="G137" s="11" t="s">
        <v>61</v>
      </c>
      <c r="H137" s="96">
        <f>SUM(W57:W91,W99:W133)</f>
        <v>0</v>
      </c>
      <c r="I137" s="7" t="s">
        <v>907</v>
      </c>
      <c r="N137" s="240"/>
      <c r="O137" s="240"/>
      <c r="P137" s="240"/>
      <c r="Q137" s="240"/>
      <c r="R137" s="240"/>
      <c r="S137" s="240"/>
      <c r="T137" s="240"/>
      <c r="U137" s="240" t="s">
        <v>49</v>
      </c>
      <c r="V137" s="1">
        <f>SUM(W57:W91)</f>
        <v>0</v>
      </c>
      <c r="W137" s="1">
        <f>K52</f>
        <v>1.4</v>
      </c>
      <c r="X137" s="1">
        <f>W137*V137</f>
        <v>0</v>
      </c>
    </row>
    <row r="138" spans="1:26" x14ac:dyDescent="0.3">
      <c r="U138" s="1" t="s">
        <v>31</v>
      </c>
      <c r="V138" s="1">
        <f>SUM(W99:W133)</f>
        <v>0</v>
      </c>
      <c r="W138" s="459">
        <f>K94</f>
        <v>2</v>
      </c>
      <c r="X138" s="1">
        <f>W138*V138</f>
        <v>0</v>
      </c>
    </row>
    <row r="139" spans="1:26" ht="18" x14ac:dyDescent="0.35">
      <c r="A139" s="907" t="s">
        <v>711</v>
      </c>
      <c r="B139" s="907"/>
      <c r="C139" s="907"/>
      <c r="D139" s="907"/>
      <c r="E139" s="907"/>
      <c r="F139" s="907"/>
      <c r="G139" s="907"/>
      <c r="H139" s="907"/>
      <c r="I139" s="907"/>
      <c r="J139" s="948"/>
      <c r="K139" s="948"/>
      <c r="L139" s="948"/>
      <c r="N139" s="133">
        <f>H150-H137</f>
        <v>0</v>
      </c>
      <c r="O139" s="395" t="s">
        <v>580</v>
      </c>
      <c r="V139" s="1">
        <f>SUM(V137:V138)</f>
        <v>0</v>
      </c>
      <c r="W139" s="1" t="e">
        <f>X139/V139</f>
        <v>#DIV/0!</v>
      </c>
      <c r="X139" s="1">
        <f>SUM(X137:X138)</f>
        <v>0</v>
      </c>
    </row>
    <row r="140" spans="1:26" x14ac:dyDescent="0.3">
      <c r="A140" s="912" t="s">
        <v>712</v>
      </c>
      <c r="B140" s="889" t="s">
        <v>714</v>
      </c>
      <c r="C140" s="889" t="s">
        <v>719</v>
      </c>
      <c r="D140" s="889" t="s">
        <v>715</v>
      </c>
      <c r="E140" s="889" t="str">
        <f>A1151</f>
        <v>Външна стена - тип 1</v>
      </c>
      <c r="F140" s="889" t="str">
        <f>A1169</f>
        <v>Външна стена - тип 2</v>
      </c>
      <c r="G140" s="889" t="str">
        <f>A1183</f>
        <v>Външна стена - тип 3</v>
      </c>
      <c r="H140" s="889" t="s">
        <v>716</v>
      </c>
      <c r="I140" s="889" t="s">
        <v>717</v>
      </c>
      <c r="J140" s="889" t="s">
        <v>718</v>
      </c>
      <c r="K140" s="889" t="s">
        <v>619</v>
      </c>
      <c r="L140" s="1"/>
    </row>
    <row r="141" spans="1:26" x14ac:dyDescent="0.3">
      <c r="A141" s="912"/>
      <c r="B141" s="889"/>
      <c r="C141" s="889"/>
      <c r="D141" s="889"/>
      <c r="E141" s="889"/>
      <c r="F141" s="889"/>
      <c r="G141" s="889"/>
      <c r="H141" s="889"/>
      <c r="I141" s="889"/>
      <c r="J141" s="889"/>
      <c r="K141" s="889"/>
      <c r="L141" s="1"/>
      <c r="N141" s="133">
        <f>E145</f>
        <v>0</v>
      </c>
      <c r="O141" s="395" t="s">
        <v>581</v>
      </c>
    </row>
    <row r="142" spans="1:26" x14ac:dyDescent="0.3">
      <c r="A142" s="912"/>
      <c r="B142" s="889"/>
      <c r="C142" s="889"/>
      <c r="D142" s="889"/>
      <c r="E142" s="889"/>
      <c r="F142" s="889"/>
      <c r="G142" s="889"/>
      <c r="H142" s="889"/>
      <c r="I142" s="889"/>
      <c r="J142" s="889"/>
      <c r="K142" s="889"/>
      <c r="L142" s="1"/>
      <c r="N142" s="133">
        <f>N139-N141</f>
        <v>0</v>
      </c>
      <c r="O142" s="395" t="s">
        <v>582</v>
      </c>
    </row>
    <row r="143" spans="1:26" x14ac:dyDescent="0.3">
      <c r="A143" s="912"/>
      <c r="B143" s="889"/>
      <c r="C143" s="889"/>
      <c r="D143" s="889"/>
      <c r="E143" s="889"/>
      <c r="F143" s="889"/>
      <c r="G143" s="889"/>
      <c r="H143" s="889"/>
      <c r="I143" s="889"/>
      <c r="J143" s="889"/>
      <c r="K143" s="889"/>
      <c r="L143" s="1"/>
      <c r="N143" s="133">
        <f>N139-N141-N142</f>
        <v>0</v>
      </c>
      <c r="O143" s="395" t="s">
        <v>583</v>
      </c>
    </row>
    <row r="144" spans="1:26" x14ac:dyDescent="0.3">
      <c r="A144" s="912"/>
      <c r="B144" s="950"/>
      <c r="C144" s="950"/>
      <c r="D144" s="889"/>
      <c r="E144" s="889"/>
      <c r="F144" s="889"/>
      <c r="G144" s="889"/>
      <c r="H144" s="889"/>
      <c r="I144" s="889"/>
      <c r="J144" s="889"/>
      <c r="K144" s="889"/>
      <c r="L144" s="1"/>
    </row>
    <row r="145" spans="1:16" x14ac:dyDescent="0.3">
      <c r="A145" s="913" t="s">
        <v>713</v>
      </c>
      <c r="B145" s="887">
        <v>1E-41</v>
      </c>
      <c r="C145" s="887">
        <v>1E-22</v>
      </c>
      <c r="D145" s="887">
        <v>1E-52</v>
      </c>
      <c r="E145" s="887">
        <f>H150-H137-F145</f>
        <v>0</v>
      </c>
      <c r="F145" s="887">
        <f>(H150-H137)*0.1</f>
        <v>0</v>
      </c>
      <c r="G145" s="887">
        <v>0</v>
      </c>
      <c r="H145" s="949">
        <f>I25</f>
        <v>0</v>
      </c>
      <c r="I145" s="887">
        <v>9.9999999999999995E-45</v>
      </c>
      <c r="J145" s="887">
        <v>0</v>
      </c>
      <c r="K145" s="887">
        <v>0</v>
      </c>
    </row>
    <row r="146" spans="1:16" x14ac:dyDescent="0.3">
      <c r="A146" s="913"/>
      <c r="B146" s="887"/>
      <c r="C146" s="887"/>
      <c r="D146" s="887"/>
      <c r="E146" s="887"/>
      <c r="F146" s="887"/>
      <c r="G146" s="887"/>
      <c r="H146" s="949"/>
      <c r="I146" s="887"/>
      <c r="J146" s="887"/>
      <c r="K146" s="887"/>
      <c r="N146" s="817">
        <f>SUM(B145:K147)+H137</f>
        <v>1E-22</v>
      </c>
      <c r="O146" s="589"/>
      <c r="P146" s="380" t="str">
        <f>IF(N146=H155,"правилно въведени данни за площи","грешно въведени данни за площи")</f>
        <v>правилно въведени данни за площи</v>
      </c>
    </row>
    <row r="147" spans="1:16" x14ac:dyDescent="0.3">
      <c r="A147" s="913"/>
      <c r="B147" s="887"/>
      <c r="C147" s="887"/>
      <c r="D147" s="887"/>
      <c r="E147" s="887"/>
      <c r="F147" s="887"/>
      <c r="G147" s="887"/>
      <c r="H147" s="949"/>
      <c r="I147" s="887"/>
      <c r="J147" s="887"/>
      <c r="K147" s="887"/>
    </row>
    <row r="149" spans="1:16" ht="18" hidden="1" x14ac:dyDescent="0.35">
      <c r="A149" s="590" t="s">
        <v>887</v>
      </c>
      <c r="B149" s="590"/>
      <c r="C149" s="590"/>
      <c r="D149" s="590"/>
      <c r="E149" s="590"/>
      <c r="F149" s="590"/>
      <c r="G149" s="590"/>
      <c r="H149" s="590"/>
      <c r="I149" s="590"/>
    </row>
    <row r="150" spans="1:16" ht="18" hidden="1" x14ac:dyDescent="0.3">
      <c r="A150" s="900" t="s">
        <v>968</v>
      </c>
      <c r="B150" s="728"/>
      <c r="C150" s="728"/>
      <c r="D150" s="728"/>
      <c r="E150" s="728"/>
      <c r="F150" s="728"/>
      <c r="G150" s="729"/>
      <c r="H150" s="34">
        <f>H25</f>
        <v>0</v>
      </c>
      <c r="I150" s="28" t="s">
        <v>892</v>
      </c>
    </row>
    <row r="151" spans="1:16" ht="18" hidden="1" x14ac:dyDescent="0.3">
      <c r="A151" s="900" t="s">
        <v>1065</v>
      </c>
      <c r="B151" s="728"/>
      <c r="C151" s="728"/>
      <c r="D151" s="728"/>
      <c r="E151" s="728"/>
      <c r="F151" s="728"/>
      <c r="G151" s="729"/>
      <c r="H151" s="103">
        <f>I145+J145+K145</f>
        <v>9.9999999999999995E-45</v>
      </c>
      <c r="I151" s="28" t="s">
        <v>892</v>
      </c>
    </row>
    <row r="152" spans="1:16" ht="18" hidden="1" x14ac:dyDescent="0.3">
      <c r="A152" s="900" t="s">
        <v>902</v>
      </c>
      <c r="B152" s="728"/>
      <c r="C152" s="728"/>
      <c r="D152" s="728"/>
      <c r="E152" s="728"/>
      <c r="F152" s="728"/>
      <c r="G152" s="729"/>
      <c r="H152" s="27">
        <f>I25</f>
        <v>0</v>
      </c>
      <c r="I152" s="28" t="s">
        <v>892</v>
      </c>
    </row>
    <row r="153" spans="1:16" ht="18" hidden="1" x14ac:dyDescent="0.3">
      <c r="A153" s="603" t="s">
        <v>1026</v>
      </c>
      <c r="B153" s="566"/>
      <c r="C153" s="566"/>
      <c r="D153" s="566"/>
      <c r="E153" s="566"/>
      <c r="F153" s="566"/>
      <c r="G153" s="566"/>
      <c r="H153" s="103">
        <f>C145+D145</f>
        <v>1E-22</v>
      </c>
      <c r="I153" s="28" t="s">
        <v>892</v>
      </c>
    </row>
    <row r="154" spans="1:16" ht="18" hidden="1" x14ac:dyDescent="0.3">
      <c r="A154" s="900" t="s">
        <v>972</v>
      </c>
      <c r="B154" s="602"/>
      <c r="C154" s="602"/>
      <c r="D154" s="602"/>
      <c r="E154" s="602"/>
      <c r="F154" s="602"/>
      <c r="G154" s="580"/>
      <c r="H154" s="103">
        <f>B145</f>
        <v>1E-41</v>
      </c>
      <c r="I154" s="28" t="s">
        <v>892</v>
      </c>
    </row>
    <row r="155" spans="1:16" ht="18" hidden="1" x14ac:dyDescent="0.3">
      <c r="A155" s="888" t="s">
        <v>888</v>
      </c>
      <c r="B155" s="888"/>
      <c r="C155" s="888"/>
      <c r="D155" s="888"/>
      <c r="E155" s="888"/>
      <c r="F155" s="888"/>
      <c r="G155" s="566"/>
      <c r="H155" s="29">
        <f>SUM(H150:H154)</f>
        <v>1E-22</v>
      </c>
      <c r="I155" s="30" t="s">
        <v>894</v>
      </c>
    </row>
    <row r="156" spans="1:16" hidden="1" x14ac:dyDescent="0.3"/>
    <row r="157" spans="1:16" x14ac:dyDescent="0.3">
      <c r="A157" s="709" t="s">
        <v>28</v>
      </c>
      <c r="B157" s="709"/>
      <c r="C157" s="709"/>
      <c r="D157" s="709"/>
      <c r="E157" s="709"/>
      <c r="F157" s="589"/>
      <c r="G157" s="589"/>
      <c r="H157" s="589"/>
      <c r="I157" s="589"/>
      <c r="J157" s="11" t="s">
        <v>896</v>
      </c>
      <c r="K157" s="58">
        <f>L31</f>
        <v>0</v>
      </c>
      <c r="L157" s="7" t="s">
        <v>883</v>
      </c>
      <c r="M157" s="101"/>
      <c r="N157" s="1">
        <f>IF(K157=0,1E-41,K157)</f>
        <v>1E-41</v>
      </c>
    </row>
    <row r="158" spans="1:16" ht="18" x14ac:dyDescent="0.3">
      <c r="A158" s="709" t="s">
        <v>29</v>
      </c>
      <c r="B158" s="709"/>
      <c r="C158" s="709"/>
      <c r="D158" s="709"/>
      <c r="E158" s="709"/>
      <c r="F158" s="589"/>
      <c r="G158" s="589"/>
      <c r="H158" s="589"/>
      <c r="I158" s="589"/>
      <c r="J158" s="11" t="s">
        <v>895</v>
      </c>
      <c r="K158" s="58">
        <f>I145</f>
        <v>9.9999999999999995E-45</v>
      </c>
      <c r="L158" s="7" t="s">
        <v>907</v>
      </c>
      <c r="M158" s="101"/>
      <c r="N158" s="1">
        <f t="shared" ref="N158:N171" si="81">IF(K158=0,1E-41,K158)</f>
        <v>9.9999999999999995E-45</v>
      </c>
    </row>
    <row r="159" spans="1:16" x14ac:dyDescent="0.3">
      <c r="A159" s="709" t="s">
        <v>30</v>
      </c>
      <c r="B159" s="709"/>
      <c r="C159" s="709"/>
      <c r="D159" s="709"/>
      <c r="E159" s="709"/>
      <c r="F159" s="589"/>
      <c r="G159" s="589"/>
      <c r="H159" s="589"/>
      <c r="I159" s="589"/>
      <c r="J159" s="11" t="s">
        <v>896</v>
      </c>
      <c r="K159" s="58">
        <f>L31</f>
        <v>0</v>
      </c>
      <c r="L159" s="7" t="s">
        <v>883</v>
      </c>
      <c r="M159" s="101"/>
      <c r="N159" s="1">
        <f t="shared" si="81"/>
        <v>1E-41</v>
      </c>
    </row>
    <row r="160" spans="1:16" ht="18" x14ac:dyDescent="0.3">
      <c r="A160" s="709" t="s">
        <v>50</v>
      </c>
      <c r="B160" s="709"/>
      <c r="C160" s="709"/>
      <c r="D160" s="709"/>
      <c r="E160" s="709"/>
      <c r="F160" s="709"/>
      <c r="G160" s="589"/>
      <c r="H160" s="589"/>
      <c r="I160" s="589"/>
      <c r="J160" s="11" t="s">
        <v>669</v>
      </c>
      <c r="K160" s="58">
        <f>J145</f>
        <v>0</v>
      </c>
      <c r="L160" s="7" t="s">
        <v>907</v>
      </c>
      <c r="M160" s="101"/>
      <c r="N160" s="1">
        <f t="shared" si="81"/>
        <v>1E-41</v>
      </c>
    </row>
    <row r="161" spans="1:39" x14ac:dyDescent="0.3">
      <c r="A161" s="709" t="s">
        <v>51</v>
      </c>
      <c r="B161" s="709"/>
      <c r="C161" s="709"/>
      <c r="D161" s="709"/>
      <c r="E161" s="709"/>
      <c r="F161" s="589"/>
      <c r="G161" s="589"/>
      <c r="H161" s="589"/>
      <c r="I161" s="589"/>
      <c r="J161" s="11" t="s">
        <v>896</v>
      </c>
      <c r="K161" s="58">
        <f>L31</f>
        <v>0</v>
      </c>
      <c r="L161" s="7" t="s">
        <v>883</v>
      </c>
      <c r="M161" s="101"/>
      <c r="N161" s="1">
        <f t="shared" si="81"/>
        <v>1E-41</v>
      </c>
    </row>
    <row r="162" spans="1:39" ht="18" x14ac:dyDescent="0.3">
      <c r="A162" s="709" t="s">
        <v>52</v>
      </c>
      <c r="B162" s="709"/>
      <c r="C162" s="709"/>
      <c r="D162" s="709"/>
      <c r="E162" s="709"/>
      <c r="F162" s="709"/>
      <c r="G162" s="589"/>
      <c r="H162" s="589"/>
      <c r="I162" s="589"/>
      <c r="J162" s="11" t="s">
        <v>895</v>
      </c>
      <c r="K162" s="58">
        <f>K145</f>
        <v>0</v>
      </c>
      <c r="L162" s="7" t="s">
        <v>907</v>
      </c>
      <c r="M162" s="101"/>
      <c r="N162" s="1">
        <f t="shared" si="81"/>
        <v>1E-41</v>
      </c>
    </row>
    <row r="163" spans="1:39" x14ac:dyDescent="0.3">
      <c r="A163" s="70"/>
      <c r="B163" s="70"/>
      <c r="C163" s="70"/>
      <c r="D163" s="70"/>
      <c r="E163" s="70"/>
      <c r="F163" s="70"/>
      <c r="G163" s="14"/>
      <c r="H163" s="14"/>
      <c r="I163" s="14"/>
      <c r="J163" s="11"/>
      <c r="K163" s="96"/>
      <c r="L163" s="7"/>
      <c r="M163" s="101"/>
    </row>
    <row r="164" spans="1:39" x14ac:dyDescent="0.3">
      <c r="A164" s="709" t="s">
        <v>1066</v>
      </c>
      <c r="B164" s="709"/>
      <c r="C164" s="709"/>
      <c r="D164" s="709"/>
      <c r="E164" s="709"/>
      <c r="F164" s="589"/>
      <c r="G164" s="589"/>
      <c r="H164" s="589"/>
      <c r="I164" s="589"/>
      <c r="J164" s="11" t="s">
        <v>1067</v>
      </c>
      <c r="K164" s="58">
        <v>0</v>
      </c>
      <c r="L164" s="7" t="s">
        <v>883</v>
      </c>
      <c r="M164" s="101"/>
      <c r="N164" s="1">
        <f t="shared" si="81"/>
        <v>1E-41</v>
      </c>
    </row>
    <row r="165" spans="1:39" x14ac:dyDescent="0.3">
      <c r="A165" s="709" t="s">
        <v>386</v>
      </c>
      <c r="B165" s="709"/>
      <c r="C165" s="709"/>
      <c r="D165" s="709"/>
      <c r="E165" s="709"/>
      <c r="F165" s="589"/>
      <c r="G165" s="589"/>
      <c r="H165" s="589"/>
      <c r="I165" s="589"/>
      <c r="J165" s="876" t="s">
        <v>1028</v>
      </c>
      <c r="K165" s="883">
        <v>0</v>
      </c>
      <c r="L165" s="877" t="s">
        <v>883</v>
      </c>
      <c r="M165" s="318"/>
      <c r="N165" s="1">
        <f t="shared" si="81"/>
        <v>1E-41</v>
      </c>
    </row>
    <row r="166" spans="1:39" x14ac:dyDescent="0.3">
      <c r="A166" s="709" t="s">
        <v>387</v>
      </c>
      <c r="B166" s="709"/>
      <c r="C166" s="709"/>
      <c r="D166" s="709"/>
      <c r="E166" s="709"/>
      <c r="F166" s="589"/>
      <c r="G166" s="589"/>
      <c r="H166" s="589"/>
      <c r="I166" s="589"/>
      <c r="J166" s="876"/>
      <c r="K166" s="883"/>
      <c r="L166" s="877"/>
      <c r="M166" s="318"/>
    </row>
    <row r="167" spans="1:39" x14ac:dyDescent="0.3">
      <c r="A167" s="709" t="s">
        <v>388</v>
      </c>
      <c r="B167" s="709"/>
      <c r="C167" s="709"/>
      <c r="D167" s="709"/>
      <c r="E167" s="709"/>
      <c r="F167" s="589"/>
      <c r="G167" s="589"/>
      <c r="H167" s="589"/>
      <c r="I167" s="589"/>
      <c r="J167" s="876" t="s">
        <v>1029</v>
      </c>
      <c r="K167" s="883">
        <v>0</v>
      </c>
      <c r="L167" s="877" t="s">
        <v>883</v>
      </c>
      <c r="M167" s="318"/>
      <c r="N167" s="1">
        <f t="shared" si="81"/>
        <v>1E-41</v>
      </c>
    </row>
    <row r="168" spans="1:39" x14ac:dyDescent="0.3">
      <c r="A168" s="709" t="s">
        <v>387</v>
      </c>
      <c r="B168" s="709"/>
      <c r="C168" s="709"/>
      <c r="D168" s="709"/>
      <c r="E168" s="709"/>
      <c r="F168" s="589"/>
      <c r="G168" s="589"/>
      <c r="H168" s="589"/>
      <c r="I168" s="589"/>
      <c r="J168" s="876"/>
      <c r="K168" s="883"/>
      <c r="L168" s="877"/>
      <c r="M168" s="318"/>
    </row>
    <row r="169" spans="1:39" x14ac:dyDescent="0.3">
      <c r="A169" s="709" t="s">
        <v>390</v>
      </c>
      <c r="B169" s="709"/>
      <c r="C169" s="709"/>
      <c r="D169" s="709"/>
      <c r="E169" s="709"/>
      <c r="F169" s="589"/>
      <c r="G169" s="589"/>
      <c r="H169" s="589"/>
      <c r="I169" s="589"/>
      <c r="J169" s="876" t="s">
        <v>1028</v>
      </c>
      <c r="K169" s="883">
        <v>0</v>
      </c>
      <c r="L169" s="877" t="s">
        <v>883</v>
      </c>
      <c r="M169" s="318"/>
      <c r="N169" s="1">
        <f t="shared" si="81"/>
        <v>1E-41</v>
      </c>
    </row>
    <row r="170" spans="1:39" x14ac:dyDescent="0.3">
      <c r="A170" s="709" t="s">
        <v>387</v>
      </c>
      <c r="B170" s="709"/>
      <c r="C170" s="709"/>
      <c r="D170" s="709"/>
      <c r="E170" s="709"/>
      <c r="F170" s="589"/>
      <c r="G170" s="589"/>
      <c r="H170" s="589"/>
      <c r="I170" s="589"/>
      <c r="J170" s="876"/>
      <c r="K170" s="883"/>
      <c r="L170" s="877"/>
      <c r="M170" s="318"/>
      <c r="O170" s="1">
        <f ca="1">'Климатични зони'!AE20</f>
        <v>19</v>
      </c>
      <c r="P170" s="1">
        <f ca="1">INT(O170/7)</f>
        <v>2</v>
      </c>
      <c r="Q170" s="1">
        <f ca="1">O170-P170*2</f>
        <v>15</v>
      </c>
      <c r="T170" s="1" t="s">
        <v>833</v>
      </c>
    </row>
    <row r="171" spans="1:39" x14ac:dyDescent="0.3">
      <c r="A171" s="709" t="s">
        <v>391</v>
      </c>
      <c r="B171" s="709"/>
      <c r="C171" s="709"/>
      <c r="D171" s="709"/>
      <c r="E171" s="709"/>
      <c r="F171" s="589"/>
      <c r="G171" s="589"/>
      <c r="H171" s="589"/>
      <c r="I171" s="589"/>
      <c r="J171" s="876" t="s">
        <v>1029</v>
      </c>
      <c r="K171" s="883">
        <v>0</v>
      </c>
      <c r="L171" s="877" t="s">
        <v>883</v>
      </c>
      <c r="M171" s="318"/>
      <c r="N171" s="1">
        <f t="shared" si="81"/>
        <v>1E-41</v>
      </c>
      <c r="O171" s="1">
        <f ca="1">'Климатични зони'!AE19</f>
        <v>25</v>
      </c>
      <c r="P171" s="1">
        <f ca="1">32-O171</f>
        <v>7</v>
      </c>
      <c r="Q171" s="1">
        <f ca="1">INT(P171/7)</f>
        <v>1</v>
      </c>
      <c r="R171" s="1">
        <f ca="1">P171-Q171*2</f>
        <v>5</v>
      </c>
      <c r="T171" s="1" t="s">
        <v>834</v>
      </c>
    </row>
    <row r="172" spans="1:39" x14ac:dyDescent="0.3">
      <c r="A172" s="709" t="s">
        <v>387</v>
      </c>
      <c r="B172" s="709"/>
      <c r="C172" s="709"/>
      <c r="D172" s="709"/>
      <c r="E172" s="709"/>
      <c r="F172" s="589"/>
      <c r="G172" s="589"/>
      <c r="H172" s="589"/>
      <c r="I172" s="589"/>
      <c r="J172" s="876"/>
      <c r="K172" s="883"/>
      <c r="L172" s="877"/>
      <c r="M172" s="318"/>
    </row>
    <row r="173" spans="1:39" ht="18" x14ac:dyDescent="0.3">
      <c r="A173" s="709" t="s">
        <v>389</v>
      </c>
      <c r="B173" s="709"/>
      <c r="C173" s="709"/>
      <c r="D173" s="709"/>
      <c r="E173" s="709"/>
      <c r="F173" s="709"/>
      <c r="G173" s="589"/>
      <c r="H173" s="589"/>
      <c r="I173" s="589"/>
      <c r="J173" s="11" t="s">
        <v>895</v>
      </c>
      <c r="K173" s="96">
        <f>N164*N169</f>
        <v>9.9999999999999996E-83</v>
      </c>
      <c r="L173" s="7" t="s">
        <v>907</v>
      </c>
      <c r="M173" s="101"/>
    </row>
    <row r="174" spans="1:39" x14ac:dyDescent="0.3">
      <c r="N174" s="869" t="s">
        <v>484</v>
      </c>
      <c r="O174" s="869"/>
      <c r="P174" s="869"/>
      <c r="Q174" s="869"/>
      <c r="R174" s="869"/>
      <c r="S174" s="869"/>
      <c r="T174" s="869"/>
      <c r="U174" s="869"/>
      <c r="V174" s="869"/>
      <c r="W174" s="869"/>
      <c r="X174" s="869"/>
      <c r="Y174" s="869"/>
      <c r="Z174" s="869"/>
      <c r="AA174" s="869"/>
      <c r="AB174" s="869"/>
      <c r="AC174" s="869"/>
      <c r="AD174" s="869"/>
      <c r="AE174" s="869"/>
      <c r="AF174" s="869"/>
      <c r="AG174" s="869"/>
      <c r="AH174" s="869"/>
      <c r="AI174" s="869"/>
      <c r="AJ174" s="869"/>
      <c r="AK174" s="869"/>
      <c r="AL174" s="869"/>
      <c r="AM174" s="869"/>
    </row>
    <row r="175" spans="1:39" ht="18" x14ac:dyDescent="0.35">
      <c r="A175" s="644" t="s">
        <v>431</v>
      </c>
      <c r="B175" s="766"/>
      <c r="C175" s="766"/>
      <c r="D175" s="766"/>
      <c r="E175" s="766"/>
      <c r="F175" s="766"/>
      <c r="G175" s="766"/>
      <c r="H175" s="766"/>
      <c r="I175" s="766"/>
      <c r="J175" s="766"/>
      <c r="K175" s="882"/>
      <c r="L175" s="589"/>
      <c r="M175" s="199"/>
      <c r="N175" s="871" t="s">
        <v>481</v>
      </c>
      <c r="O175" s="871"/>
      <c r="P175" s="871"/>
      <c r="Q175" s="871"/>
      <c r="R175" s="871"/>
      <c r="S175" s="871"/>
      <c r="T175" s="871"/>
      <c r="U175" s="871"/>
      <c r="V175" s="871"/>
      <c r="W175" s="871"/>
      <c r="X175" s="871"/>
      <c r="Y175" s="871"/>
      <c r="Z175" s="871"/>
      <c r="AA175" s="871"/>
      <c r="AB175" s="871"/>
      <c r="AC175" s="871"/>
      <c r="AD175" s="871"/>
      <c r="AE175" s="871"/>
      <c r="AF175" s="871"/>
      <c r="AG175" s="871"/>
      <c r="AH175" s="871"/>
      <c r="AI175" s="871"/>
      <c r="AJ175" s="871"/>
      <c r="AK175" s="871"/>
      <c r="AL175" s="871"/>
      <c r="AM175" s="871"/>
    </row>
    <row r="176" spans="1:39" ht="18" x14ac:dyDescent="0.35">
      <c r="A176" s="644" t="s">
        <v>440</v>
      </c>
      <c r="B176" s="766"/>
      <c r="C176" s="766"/>
      <c r="D176" s="766"/>
      <c r="E176" s="766"/>
      <c r="F176" s="766"/>
      <c r="G176" s="766"/>
      <c r="H176" s="766"/>
      <c r="I176" s="766"/>
      <c r="J176" s="766"/>
      <c r="K176" s="882"/>
      <c r="L176" s="589"/>
      <c r="M176" s="199"/>
      <c r="O176" s="72">
        <v>0</v>
      </c>
      <c r="P176" s="72">
        <v>1</v>
      </c>
      <c r="Q176" s="72">
        <v>2</v>
      </c>
      <c r="R176" s="72">
        <v>3</v>
      </c>
      <c r="S176" s="72">
        <v>4</v>
      </c>
      <c r="T176" s="72">
        <v>5</v>
      </c>
      <c r="U176" s="72">
        <v>6</v>
      </c>
      <c r="V176" s="72">
        <v>7</v>
      </c>
      <c r="W176" s="72">
        <v>8</v>
      </c>
      <c r="X176" s="72">
        <v>9</v>
      </c>
      <c r="Y176" s="72">
        <v>10</v>
      </c>
      <c r="Z176" s="72">
        <v>11</v>
      </c>
      <c r="AA176" s="72">
        <v>12</v>
      </c>
      <c r="AB176" s="72">
        <v>13</v>
      </c>
      <c r="AC176" s="72">
        <v>14</v>
      </c>
      <c r="AD176" s="72">
        <v>15</v>
      </c>
      <c r="AE176" s="72">
        <v>16</v>
      </c>
      <c r="AF176" s="72">
        <v>17</v>
      </c>
      <c r="AG176" s="72">
        <v>18</v>
      </c>
      <c r="AH176" s="72">
        <v>19</v>
      </c>
      <c r="AI176" s="72">
        <v>20</v>
      </c>
      <c r="AJ176" s="72">
        <v>21</v>
      </c>
      <c r="AK176" s="72">
        <v>22</v>
      </c>
      <c r="AL176" s="72">
        <v>23</v>
      </c>
    </row>
    <row r="177" spans="1:39" ht="18.600000000000001" x14ac:dyDescent="0.4">
      <c r="A177" s="879" t="s">
        <v>604</v>
      </c>
      <c r="B177" s="879"/>
      <c r="C177" s="879"/>
      <c r="D177" s="879"/>
      <c r="E177" s="879"/>
      <c r="F177" s="879"/>
      <c r="G177" s="879"/>
      <c r="H177" s="879"/>
      <c r="I177" s="880"/>
      <c r="J177" s="495" t="s">
        <v>1076</v>
      </c>
      <c r="K177" s="44">
        <v>-10</v>
      </c>
      <c r="L177" s="496" t="s">
        <v>946</v>
      </c>
      <c r="M177" s="99"/>
      <c r="N177" s="138" t="s">
        <v>461</v>
      </c>
      <c r="O177" s="72" t="b">
        <f t="shared" ref="O177:AL177" si="82">IF($H222=0,0,IF(AND(IF(O$250&gt;=$G222,TRUE,FALSE),IF(O$250&lt;=$H222,TRUE,FALSE)),TRUE,0))</f>
        <v>1</v>
      </c>
      <c r="P177" s="72" t="b">
        <f t="shared" si="82"/>
        <v>1</v>
      </c>
      <c r="Q177" s="72" t="b">
        <f t="shared" si="82"/>
        <v>1</v>
      </c>
      <c r="R177" s="72" t="b">
        <f t="shared" si="82"/>
        <v>1</v>
      </c>
      <c r="S177" s="72" t="b">
        <f t="shared" si="82"/>
        <v>1</v>
      </c>
      <c r="T177" s="72" t="b">
        <f t="shared" si="82"/>
        <v>1</v>
      </c>
      <c r="U177" s="72" t="b">
        <f t="shared" si="82"/>
        <v>1</v>
      </c>
      <c r="V177" s="72" t="b">
        <f t="shared" si="82"/>
        <v>1</v>
      </c>
      <c r="W177" s="72" t="b">
        <f t="shared" si="82"/>
        <v>1</v>
      </c>
      <c r="X177" s="72" t="b">
        <f t="shared" si="82"/>
        <v>1</v>
      </c>
      <c r="Y177" s="72" t="b">
        <f t="shared" si="82"/>
        <v>1</v>
      </c>
      <c r="Z177" s="72" t="b">
        <f t="shared" si="82"/>
        <v>1</v>
      </c>
      <c r="AA177" s="72" t="b">
        <f t="shared" si="82"/>
        <v>1</v>
      </c>
      <c r="AB177" s="72" t="b">
        <f t="shared" si="82"/>
        <v>1</v>
      </c>
      <c r="AC177" s="72" t="b">
        <f t="shared" si="82"/>
        <v>1</v>
      </c>
      <c r="AD177" s="72" t="b">
        <f t="shared" si="82"/>
        <v>1</v>
      </c>
      <c r="AE177" s="72" t="b">
        <f t="shared" si="82"/>
        <v>1</v>
      </c>
      <c r="AF177" s="72" t="b">
        <f t="shared" si="82"/>
        <v>1</v>
      </c>
      <c r="AG177" s="72" t="b">
        <f t="shared" si="82"/>
        <v>1</v>
      </c>
      <c r="AH177" s="72" t="b">
        <f t="shared" si="82"/>
        <v>1</v>
      </c>
      <c r="AI177" s="72" t="b">
        <f t="shared" si="82"/>
        <v>1</v>
      </c>
      <c r="AJ177" s="72" t="b">
        <f t="shared" si="82"/>
        <v>1</v>
      </c>
      <c r="AK177" s="72" t="b">
        <f t="shared" si="82"/>
        <v>1</v>
      </c>
      <c r="AL177" s="72" t="b">
        <f t="shared" si="82"/>
        <v>1</v>
      </c>
    </row>
    <row r="178" spans="1:39" ht="18.600000000000001" x14ac:dyDescent="0.4">
      <c r="A178" s="879" t="s">
        <v>1107</v>
      </c>
      <c r="B178" s="879"/>
      <c r="C178" s="879"/>
      <c r="D178" s="879"/>
      <c r="E178" s="879"/>
      <c r="F178" s="879"/>
      <c r="G178" s="879"/>
      <c r="H178" s="879"/>
      <c r="I178" s="880"/>
      <c r="J178" s="495" t="s">
        <v>567</v>
      </c>
      <c r="K178" s="44">
        <v>95</v>
      </c>
      <c r="L178" s="496" t="s">
        <v>1</v>
      </c>
      <c r="M178" s="99"/>
      <c r="N178" s="138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  <c r="AA178" s="72"/>
      <c r="AB178" s="72"/>
      <c r="AC178" s="72"/>
      <c r="AD178" s="72"/>
      <c r="AE178" s="72"/>
      <c r="AF178" s="72"/>
      <c r="AG178" s="72"/>
      <c r="AH178" s="72"/>
      <c r="AI178" s="72"/>
      <c r="AJ178" s="72"/>
      <c r="AK178" s="72"/>
      <c r="AL178" s="72"/>
    </row>
    <row r="179" spans="1:39" ht="18.600000000000001" x14ac:dyDescent="0.4">
      <c r="A179" s="884" t="s">
        <v>605</v>
      </c>
      <c r="B179" s="884"/>
      <c r="C179" s="884"/>
      <c r="D179" s="884"/>
      <c r="E179" s="884"/>
      <c r="F179" s="884"/>
      <c r="G179" s="884"/>
      <c r="H179" s="884"/>
      <c r="I179" s="884"/>
      <c r="J179" s="497" t="s">
        <v>1076</v>
      </c>
      <c r="K179" s="44">
        <v>34</v>
      </c>
      <c r="L179" s="498" t="s">
        <v>946</v>
      </c>
      <c r="M179" s="99"/>
      <c r="N179" s="138" t="s">
        <v>462</v>
      </c>
      <c r="O179" s="72" t="b">
        <f t="shared" ref="O179:AL179" si="83">IF($J222=0,0,IF(AND(IF(O$250&gt;=$I222,TRUE,FALSE),IF(O$250&lt;=$J222,TRUE,FALSE)),TRUE,0))</f>
        <v>1</v>
      </c>
      <c r="P179" s="72" t="b">
        <f t="shared" si="83"/>
        <v>1</v>
      </c>
      <c r="Q179" s="72" t="b">
        <f t="shared" si="83"/>
        <v>1</v>
      </c>
      <c r="R179" s="72" t="b">
        <f t="shared" si="83"/>
        <v>1</v>
      </c>
      <c r="S179" s="72" t="b">
        <f t="shared" si="83"/>
        <v>1</v>
      </c>
      <c r="T179" s="72" t="b">
        <f t="shared" si="83"/>
        <v>1</v>
      </c>
      <c r="U179" s="72" t="b">
        <f t="shared" si="83"/>
        <v>1</v>
      </c>
      <c r="V179" s="72" t="b">
        <f t="shared" si="83"/>
        <v>1</v>
      </c>
      <c r="W179" s="72" t="b">
        <f t="shared" si="83"/>
        <v>1</v>
      </c>
      <c r="X179" s="72" t="b">
        <f t="shared" si="83"/>
        <v>1</v>
      </c>
      <c r="Y179" s="72" t="b">
        <f t="shared" si="83"/>
        <v>1</v>
      </c>
      <c r="Z179" s="72" t="b">
        <f t="shared" si="83"/>
        <v>1</v>
      </c>
      <c r="AA179" s="72" t="b">
        <f t="shared" si="83"/>
        <v>1</v>
      </c>
      <c r="AB179" s="72" t="b">
        <f t="shared" si="83"/>
        <v>1</v>
      </c>
      <c r="AC179" s="72" t="b">
        <f t="shared" si="83"/>
        <v>1</v>
      </c>
      <c r="AD179" s="72" t="b">
        <f t="shared" si="83"/>
        <v>1</v>
      </c>
      <c r="AE179" s="72" t="b">
        <f t="shared" si="83"/>
        <v>1</v>
      </c>
      <c r="AF179" s="72" t="b">
        <f t="shared" si="83"/>
        <v>1</v>
      </c>
      <c r="AG179" s="72" t="b">
        <f t="shared" si="83"/>
        <v>1</v>
      </c>
      <c r="AH179" s="72" t="b">
        <f t="shared" si="83"/>
        <v>1</v>
      </c>
      <c r="AI179" s="72" t="b">
        <f t="shared" si="83"/>
        <v>1</v>
      </c>
      <c r="AJ179" s="72" t="b">
        <f t="shared" si="83"/>
        <v>1</v>
      </c>
      <c r="AK179" s="72" t="b">
        <f t="shared" si="83"/>
        <v>1</v>
      </c>
      <c r="AL179" s="72" t="b">
        <f t="shared" si="83"/>
        <v>1</v>
      </c>
    </row>
    <row r="180" spans="1:39" ht="18.600000000000001" x14ac:dyDescent="0.4">
      <c r="A180" s="884" t="s">
        <v>1108</v>
      </c>
      <c r="B180" s="884"/>
      <c r="C180" s="884"/>
      <c r="D180" s="884"/>
      <c r="E180" s="884"/>
      <c r="F180" s="884"/>
      <c r="G180" s="884"/>
      <c r="H180" s="884"/>
      <c r="I180" s="884"/>
      <c r="J180" s="497" t="s">
        <v>567</v>
      </c>
      <c r="K180" s="44">
        <v>54</v>
      </c>
      <c r="L180" s="498" t="s">
        <v>1</v>
      </c>
      <c r="M180" s="99"/>
      <c r="N180" s="138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  <c r="AA180" s="72"/>
      <c r="AB180" s="72"/>
      <c r="AC180" s="72"/>
      <c r="AD180" s="72"/>
      <c r="AE180" s="72"/>
      <c r="AF180" s="72"/>
      <c r="AG180" s="72"/>
      <c r="AH180" s="72"/>
      <c r="AI180" s="72"/>
      <c r="AJ180" s="72"/>
      <c r="AK180" s="72"/>
      <c r="AL180" s="72"/>
    </row>
    <row r="181" spans="1:39" ht="18.600000000000001" x14ac:dyDescent="0.4">
      <c r="A181" s="879" t="s">
        <v>285</v>
      </c>
      <c r="B181" s="879"/>
      <c r="C181" s="879"/>
      <c r="D181" s="879"/>
      <c r="E181" s="879"/>
      <c r="F181" s="879"/>
      <c r="G181" s="879"/>
      <c r="H181" s="879"/>
      <c r="I181" s="880"/>
      <c r="J181" s="495" t="s">
        <v>991</v>
      </c>
      <c r="K181" s="44">
        <v>19</v>
      </c>
      <c r="L181" s="496" t="s">
        <v>946</v>
      </c>
      <c r="M181" s="99"/>
      <c r="N181" s="138" t="s">
        <v>463</v>
      </c>
      <c r="O181" s="72" t="b">
        <f t="shared" ref="O181:AL181" si="84">IF($L222=0,0,IF(AND(IF(O$250&gt;=$K222,TRUE,FALSE),IF(O$250&lt;=$L222,TRUE,FALSE)),TRUE,0))</f>
        <v>1</v>
      </c>
      <c r="P181" s="72" t="b">
        <f t="shared" si="84"/>
        <v>1</v>
      </c>
      <c r="Q181" s="72" t="b">
        <f t="shared" si="84"/>
        <v>1</v>
      </c>
      <c r="R181" s="72" t="b">
        <f t="shared" si="84"/>
        <v>1</v>
      </c>
      <c r="S181" s="72" t="b">
        <f t="shared" si="84"/>
        <v>1</v>
      </c>
      <c r="T181" s="72" t="b">
        <f t="shared" si="84"/>
        <v>1</v>
      </c>
      <c r="U181" s="72" t="b">
        <f t="shared" si="84"/>
        <v>1</v>
      </c>
      <c r="V181" s="72" t="b">
        <f t="shared" si="84"/>
        <v>1</v>
      </c>
      <c r="W181" s="72" t="b">
        <f t="shared" si="84"/>
        <v>1</v>
      </c>
      <c r="X181" s="72" t="b">
        <f t="shared" si="84"/>
        <v>1</v>
      </c>
      <c r="Y181" s="72" t="b">
        <f t="shared" si="84"/>
        <v>1</v>
      </c>
      <c r="Z181" s="72" t="b">
        <f t="shared" si="84"/>
        <v>1</v>
      </c>
      <c r="AA181" s="72" t="b">
        <f t="shared" si="84"/>
        <v>1</v>
      </c>
      <c r="AB181" s="72" t="b">
        <f t="shared" si="84"/>
        <v>1</v>
      </c>
      <c r="AC181" s="72" t="b">
        <f t="shared" si="84"/>
        <v>1</v>
      </c>
      <c r="AD181" s="72" t="b">
        <f t="shared" si="84"/>
        <v>1</v>
      </c>
      <c r="AE181" s="72" t="b">
        <f t="shared" si="84"/>
        <v>1</v>
      </c>
      <c r="AF181" s="72" t="b">
        <f t="shared" si="84"/>
        <v>1</v>
      </c>
      <c r="AG181" s="72" t="b">
        <f t="shared" si="84"/>
        <v>1</v>
      </c>
      <c r="AH181" s="72" t="b">
        <f t="shared" si="84"/>
        <v>1</v>
      </c>
      <c r="AI181" s="72" t="b">
        <f t="shared" si="84"/>
        <v>1</v>
      </c>
      <c r="AJ181" s="72" t="b">
        <f t="shared" si="84"/>
        <v>1</v>
      </c>
      <c r="AK181" s="72" t="b">
        <f t="shared" si="84"/>
        <v>1</v>
      </c>
      <c r="AL181" s="72" t="b">
        <f t="shared" si="84"/>
        <v>1</v>
      </c>
    </row>
    <row r="182" spans="1:39" ht="18.600000000000001" x14ac:dyDescent="0.4">
      <c r="A182" s="879" t="s">
        <v>1109</v>
      </c>
      <c r="B182" s="879"/>
      <c r="C182" s="879"/>
      <c r="D182" s="879"/>
      <c r="E182" s="879"/>
      <c r="F182" s="879"/>
      <c r="G182" s="879"/>
      <c r="H182" s="879"/>
      <c r="I182" s="880"/>
      <c r="J182" s="495" t="s">
        <v>568</v>
      </c>
      <c r="K182" s="44">
        <v>60</v>
      </c>
      <c r="L182" s="496" t="s">
        <v>1</v>
      </c>
      <c r="M182" s="99"/>
      <c r="N182" s="138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  <c r="AA182" s="72"/>
      <c r="AB182" s="72"/>
      <c r="AC182" s="72"/>
      <c r="AD182" s="72"/>
      <c r="AE182" s="72"/>
      <c r="AF182" s="72"/>
      <c r="AG182" s="72"/>
      <c r="AH182" s="72"/>
      <c r="AI182" s="72"/>
      <c r="AJ182" s="72"/>
      <c r="AK182" s="72"/>
      <c r="AL182" s="72"/>
    </row>
    <row r="183" spans="1:39" ht="18.600000000000001" x14ac:dyDescent="0.4">
      <c r="A183" s="884" t="s">
        <v>286</v>
      </c>
      <c r="B183" s="884"/>
      <c r="C183" s="884"/>
      <c r="D183" s="884"/>
      <c r="E183" s="884"/>
      <c r="F183" s="884"/>
      <c r="G183" s="884"/>
      <c r="H183" s="884"/>
      <c r="I183" s="884"/>
      <c r="J183" s="497" t="s">
        <v>991</v>
      </c>
      <c r="K183" s="44">
        <v>25</v>
      </c>
      <c r="L183" s="498" t="s">
        <v>946</v>
      </c>
      <c r="M183" s="99"/>
      <c r="N183" s="869" t="s">
        <v>483</v>
      </c>
      <c r="O183" s="869"/>
      <c r="P183" s="869"/>
      <c r="Q183" s="869"/>
      <c r="R183" s="869"/>
      <c r="S183" s="869"/>
      <c r="T183" s="869"/>
      <c r="U183" s="869"/>
      <c r="V183" s="869"/>
      <c r="W183" s="869"/>
      <c r="X183" s="869"/>
      <c r="Y183" s="869"/>
      <c r="Z183" s="869"/>
      <c r="AA183" s="869"/>
      <c r="AB183" s="869"/>
      <c r="AC183" s="869"/>
      <c r="AD183" s="869"/>
      <c r="AE183" s="869"/>
      <c r="AF183" s="869"/>
      <c r="AG183" s="869"/>
      <c r="AH183" s="869"/>
      <c r="AI183" s="869"/>
      <c r="AJ183" s="869"/>
      <c r="AK183" s="869"/>
      <c r="AL183" s="869"/>
      <c r="AM183" s="869"/>
    </row>
    <row r="184" spans="1:39" ht="18.600000000000001" x14ac:dyDescent="0.4">
      <c r="A184" s="884" t="s">
        <v>1110</v>
      </c>
      <c r="B184" s="884"/>
      <c r="C184" s="884"/>
      <c r="D184" s="884"/>
      <c r="E184" s="884"/>
      <c r="F184" s="884"/>
      <c r="G184" s="884"/>
      <c r="H184" s="884"/>
      <c r="I184" s="884"/>
      <c r="J184" s="497" t="s">
        <v>568</v>
      </c>
      <c r="K184" s="44">
        <v>50</v>
      </c>
      <c r="L184" s="498" t="s">
        <v>1</v>
      </c>
      <c r="M184" s="99"/>
      <c r="N184" s="138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  <c r="AB184" s="72"/>
      <c r="AC184" s="72"/>
      <c r="AD184" s="72"/>
      <c r="AE184" s="72"/>
      <c r="AF184" s="72"/>
      <c r="AG184" s="72"/>
      <c r="AH184" s="72"/>
      <c r="AI184" s="72"/>
      <c r="AJ184" s="72"/>
      <c r="AK184" s="72"/>
      <c r="AL184" s="72"/>
    </row>
    <row r="185" spans="1:39" x14ac:dyDescent="0.3">
      <c r="A185" s="586" t="s">
        <v>1068</v>
      </c>
      <c r="B185" s="586"/>
      <c r="C185" s="586"/>
      <c r="D185" s="586"/>
      <c r="E185" s="586"/>
      <c r="F185" s="586"/>
      <c r="G185" s="586"/>
      <c r="H185" s="586"/>
      <c r="I185" s="586"/>
      <c r="J185" s="45" t="s">
        <v>1031</v>
      </c>
      <c r="K185" s="68">
        <v>8</v>
      </c>
      <c r="L185" s="55"/>
      <c r="M185" s="99"/>
      <c r="N185" s="871" t="s">
        <v>481</v>
      </c>
      <c r="O185" s="871"/>
      <c r="P185" s="871"/>
      <c r="Q185" s="871"/>
      <c r="R185" s="871"/>
      <c r="S185" s="871"/>
      <c r="T185" s="871"/>
      <c r="U185" s="871"/>
      <c r="V185" s="871"/>
      <c r="W185" s="871"/>
      <c r="X185" s="871"/>
      <c r="Y185" s="871"/>
      <c r="Z185" s="871"/>
      <c r="AA185" s="871"/>
      <c r="AB185" s="871"/>
      <c r="AC185" s="871"/>
      <c r="AD185" s="871"/>
      <c r="AE185" s="871"/>
      <c r="AF185" s="871"/>
      <c r="AG185" s="871"/>
      <c r="AH185" s="871"/>
      <c r="AI185" s="871"/>
      <c r="AJ185" s="871"/>
      <c r="AK185" s="871"/>
      <c r="AL185" s="871"/>
      <c r="AM185" s="871"/>
    </row>
    <row r="186" spans="1:39" ht="18" x14ac:dyDescent="0.3">
      <c r="A186" s="586" t="s">
        <v>338</v>
      </c>
      <c r="B186" s="586"/>
      <c r="C186" s="586"/>
      <c r="D186" s="586"/>
      <c r="E186" s="586"/>
      <c r="F186" s="586"/>
      <c r="G186" s="586"/>
      <c r="H186" s="586"/>
      <c r="I186" s="586"/>
      <c r="J186" s="45" t="s">
        <v>1031</v>
      </c>
      <c r="K186" s="68">
        <v>0.5</v>
      </c>
      <c r="L186" s="55" t="s">
        <v>339</v>
      </c>
      <c r="M186" s="99"/>
      <c r="N186" s="72">
        <v>0</v>
      </c>
      <c r="O186" s="72">
        <v>1</v>
      </c>
      <c r="P186" s="72">
        <v>2</v>
      </c>
      <c r="Q186" s="72">
        <v>3</v>
      </c>
      <c r="R186" s="72">
        <v>4</v>
      </c>
      <c r="S186" s="72">
        <v>5</v>
      </c>
      <c r="T186" s="72">
        <v>6</v>
      </c>
      <c r="U186" s="72">
        <v>7</v>
      </c>
      <c r="V186" s="72">
        <v>8</v>
      </c>
      <c r="W186" s="72">
        <v>9</v>
      </c>
      <c r="X186" s="72">
        <v>10</v>
      </c>
      <c r="Y186" s="72">
        <v>11</v>
      </c>
      <c r="Z186" s="72">
        <v>12</v>
      </c>
      <c r="AA186" s="72">
        <v>13</v>
      </c>
      <c r="AB186" s="72">
        <v>14</v>
      </c>
      <c r="AC186" s="72">
        <v>15</v>
      </c>
      <c r="AD186" s="72">
        <v>16</v>
      </c>
      <c r="AE186" s="72">
        <v>17</v>
      </c>
      <c r="AF186" s="72">
        <v>18</v>
      </c>
      <c r="AG186" s="72">
        <v>19</v>
      </c>
      <c r="AH186" s="72">
        <v>20</v>
      </c>
      <c r="AI186" s="72">
        <v>21</v>
      </c>
      <c r="AJ186" s="72">
        <v>22</v>
      </c>
      <c r="AK186" s="72">
        <v>23</v>
      </c>
      <c r="AL186" s="72"/>
    </row>
    <row r="187" spans="1:39" ht="18" x14ac:dyDescent="0.3">
      <c r="A187" s="586" t="s">
        <v>748</v>
      </c>
      <c r="B187" s="586"/>
      <c r="C187" s="586"/>
      <c r="D187" s="586"/>
      <c r="E187" s="586"/>
      <c r="F187" s="586"/>
      <c r="G187" s="586"/>
      <c r="H187" s="586"/>
      <c r="I187" s="589"/>
      <c r="J187" s="45" t="s">
        <v>1032</v>
      </c>
      <c r="K187" s="464">
        <v>0</v>
      </c>
      <c r="L187" s="55" t="s">
        <v>494</v>
      </c>
      <c r="M187" s="99"/>
      <c r="N187" s="138" t="s">
        <v>461</v>
      </c>
      <c r="O187" s="72" t="b">
        <f t="shared" ref="O187:AL187" si="85">IF($H230=0,0,IF(AND(IF(O$250&gt;=$G230,TRUE,FALSE),IF(O$250&lt;=$H230,TRUE,FALSE)),TRUE,0))</f>
        <v>1</v>
      </c>
      <c r="P187" s="72" t="b">
        <f t="shared" si="85"/>
        <v>1</v>
      </c>
      <c r="Q187" s="72" t="b">
        <f t="shared" si="85"/>
        <v>1</v>
      </c>
      <c r="R187" s="72" t="b">
        <f t="shared" si="85"/>
        <v>1</v>
      </c>
      <c r="S187" s="72" t="b">
        <f t="shared" si="85"/>
        <v>1</v>
      </c>
      <c r="T187" s="72" t="b">
        <f t="shared" si="85"/>
        <v>1</v>
      </c>
      <c r="U187" s="72" t="b">
        <f t="shared" si="85"/>
        <v>1</v>
      </c>
      <c r="V187" s="72" t="b">
        <f t="shared" si="85"/>
        <v>1</v>
      </c>
      <c r="W187" s="72" t="b">
        <f t="shared" si="85"/>
        <v>1</v>
      </c>
      <c r="X187" s="72" t="b">
        <f t="shared" si="85"/>
        <v>1</v>
      </c>
      <c r="Y187" s="72" t="b">
        <f t="shared" si="85"/>
        <v>1</v>
      </c>
      <c r="Z187" s="72" t="b">
        <f t="shared" si="85"/>
        <v>1</v>
      </c>
      <c r="AA187" s="72" t="b">
        <f t="shared" si="85"/>
        <v>1</v>
      </c>
      <c r="AB187" s="72" t="b">
        <f t="shared" si="85"/>
        <v>1</v>
      </c>
      <c r="AC187" s="72" t="b">
        <f t="shared" si="85"/>
        <v>1</v>
      </c>
      <c r="AD187" s="72" t="b">
        <f t="shared" si="85"/>
        <v>1</v>
      </c>
      <c r="AE187" s="72" t="b">
        <f t="shared" si="85"/>
        <v>1</v>
      </c>
      <c r="AF187" s="72" t="b">
        <f t="shared" si="85"/>
        <v>1</v>
      </c>
      <c r="AG187" s="72" t="b">
        <f t="shared" si="85"/>
        <v>1</v>
      </c>
      <c r="AH187" s="72" t="b">
        <f t="shared" si="85"/>
        <v>1</v>
      </c>
      <c r="AI187" s="72" t="b">
        <f t="shared" si="85"/>
        <v>1</v>
      </c>
      <c r="AJ187" s="72" t="b">
        <f t="shared" si="85"/>
        <v>1</v>
      </c>
      <c r="AK187" s="72" t="b">
        <f t="shared" si="85"/>
        <v>1</v>
      </c>
      <c r="AL187" s="72" t="b">
        <f t="shared" si="85"/>
        <v>1</v>
      </c>
    </row>
    <row r="188" spans="1:39" x14ac:dyDescent="0.3">
      <c r="A188" s="586" t="s">
        <v>661</v>
      </c>
      <c r="B188" s="586"/>
      <c r="C188" s="586"/>
      <c r="D188" s="586"/>
      <c r="E188" s="586"/>
      <c r="F188" s="586"/>
      <c r="G188" s="586"/>
      <c r="H188" s="586"/>
      <c r="I188" s="901" t="s">
        <v>739</v>
      </c>
      <c r="J188" s="901"/>
      <c r="K188" s="68">
        <v>5</v>
      </c>
      <c r="L188" s="55"/>
      <c r="M188" s="99"/>
      <c r="N188" s="138" t="s">
        <v>462</v>
      </c>
      <c r="O188" s="72" t="b">
        <f t="shared" ref="O188:AL188" si="86">IF($J230=0,0,IF(AND(IF(O$250&gt;=$I230,TRUE,FALSE),IF(O$250&lt;=$J230,TRUE,FALSE)),TRUE,0))</f>
        <v>1</v>
      </c>
      <c r="P188" s="72" t="b">
        <f t="shared" si="86"/>
        <v>1</v>
      </c>
      <c r="Q188" s="72" t="b">
        <f t="shared" si="86"/>
        <v>1</v>
      </c>
      <c r="R188" s="72" t="b">
        <f t="shared" si="86"/>
        <v>1</v>
      </c>
      <c r="S188" s="72" t="b">
        <f t="shared" si="86"/>
        <v>1</v>
      </c>
      <c r="T188" s="72" t="b">
        <f t="shared" si="86"/>
        <v>1</v>
      </c>
      <c r="U188" s="72" t="b">
        <f t="shared" si="86"/>
        <v>1</v>
      </c>
      <c r="V188" s="72" t="b">
        <f t="shared" si="86"/>
        <v>1</v>
      </c>
      <c r="W188" s="72" t="b">
        <f t="shared" si="86"/>
        <v>1</v>
      </c>
      <c r="X188" s="72" t="b">
        <f t="shared" si="86"/>
        <v>1</v>
      </c>
      <c r="Y188" s="72" t="b">
        <f t="shared" si="86"/>
        <v>1</v>
      </c>
      <c r="Z188" s="72" t="b">
        <f t="shared" si="86"/>
        <v>1</v>
      </c>
      <c r="AA188" s="72" t="b">
        <f t="shared" si="86"/>
        <v>1</v>
      </c>
      <c r="AB188" s="72" t="b">
        <f t="shared" si="86"/>
        <v>1</v>
      </c>
      <c r="AC188" s="72" t="b">
        <f t="shared" si="86"/>
        <v>1</v>
      </c>
      <c r="AD188" s="72" t="b">
        <f t="shared" si="86"/>
        <v>1</v>
      </c>
      <c r="AE188" s="72" t="b">
        <f t="shared" si="86"/>
        <v>1</v>
      </c>
      <c r="AF188" s="72" t="b">
        <f t="shared" si="86"/>
        <v>1</v>
      </c>
      <c r="AG188" s="72" t="b">
        <f t="shared" si="86"/>
        <v>1</v>
      </c>
      <c r="AH188" s="72" t="b">
        <f t="shared" si="86"/>
        <v>1</v>
      </c>
      <c r="AI188" s="72" t="b">
        <f t="shared" si="86"/>
        <v>1</v>
      </c>
      <c r="AJ188" s="72" t="b">
        <f t="shared" si="86"/>
        <v>1</v>
      </c>
      <c r="AK188" s="72" t="b">
        <f t="shared" si="86"/>
        <v>1</v>
      </c>
      <c r="AL188" s="72" t="b">
        <f t="shared" si="86"/>
        <v>1</v>
      </c>
    </row>
    <row r="189" spans="1:39" x14ac:dyDescent="0.3">
      <c r="A189" s="586" t="s">
        <v>741</v>
      </c>
      <c r="B189" s="586"/>
      <c r="C189" s="586"/>
      <c r="D189" s="586"/>
      <c r="E189" s="586"/>
      <c r="F189" s="586"/>
      <c r="G189" s="586"/>
      <c r="H189" s="586"/>
      <c r="I189" s="589"/>
      <c r="J189" s="45" t="s">
        <v>1072</v>
      </c>
      <c r="K189" s="119">
        <f ca="1">'Климатични зони'!AB19</f>
        <v>2300</v>
      </c>
      <c r="L189" s="55"/>
      <c r="M189" s="99"/>
      <c r="N189" s="138" t="s">
        <v>463</v>
      </c>
      <c r="O189" s="72" t="b">
        <f t="shared" ref="O189:AL189" si="87">IF($L230=0,0,IF(AND(IF(O$250&gt;=$K230,TRUE,FALSE),IF(O$250&lt;=$L230,TRUE,FALSE)),TRUE,0))</f>
        <v>1</v>
      </c>
      <c r="P189" s="72" t="b">
        <f t="shared" si="87"/>
        <v>1</v>
      </c>
      <c r="Q189" s="72" t="b">
        <f t="shared" si="87"/>
        <v>1</v>
      </c>
      <c r="R189" s="72" t="b">
        <f t="shared" si="87"/>
        <v>1</v>
      </c>
      <c r="S189" s="72" t="b">
        <f t="shared" si="87"/>
        <v>1</v>
      </c>
      <c r="T189" s="72" t="b">
        <f t="shared" si="87"/>
        <v>1</v>
      </c>
      <c r="U189" s="72" t="b">
        <f t="shared" si="87"/>
        <v>1</v>
      </c>
      <c r="V189" s="72" t="b">
        <f t="shared" si="87"/>
        <v>1</v>
      </c>
      <c r="W189" s="72" t="b">
        <f t="shared" si="87"/>
        <v>1</v>
      </c>
      <c r="X189" s="72" t="b">
        <f t="shared" si="87"/>
        <v>1</v>
      </c>
      <c r="Y189" s="72" t="b">
        <f t="shared" si="87"/>
        <v>1</v>
      </c>
      <c r="Z189" s="72" t="b">
        <f t="shared" si="87"/>
        <v>1</v>
      </c>
      <c r="AA189" s="72" t="b">
        <f t="shared" si="87"/>
        <v>1</v>
      </c>
      <c r="AB189" s="72" t="b">
        <f t="shared" si="87"/>
        <v>1</v>
      </c>
      <c r="AC189" s="72" t="b">
        <f t="shared" si="87"/>
        <v>1</v>
      </c>
      <c r="AD189" s="72" t="b">
        <f t="shared" si="87"/>
        <v>1</v>
      </c>
      <c r="AE189" s="72" t="b">
        <f t="shared" si="87"/>
        <v>1</v>
      </c>
      <c r="AF189" s="72" t="b">
        <f t="shared" si="87"/>
        <v>1</v>
      </c>
      <c r="AG189" s="72" t="b">
        <f t="shared" si="87"/>
        <v>1</v>
      </c>
      <c r="AH189" s="72" t="b">
        <f t="shared" si="87"/>
        <v>1</v>
      </c>
      <c r="AI189" s="72" t="b">
        <f t="shared" si="87"/>
        <v>1</v>
      </c>
      <c r="AJ189" s="72" t="b">
        <f t="shared" si="87"/>
        <v>1</v>
      </c>
      <c r="AK189" s="72" t="b">
        <f t="shared" si="87"/>
        <v>1</v>
      </c>
      <c r="AL189" s="72" t="b">
        <f t="shared" si="87"/>
        <v>1</v>
      </c>
    </row>
    <row r="190" spans="1:39" x14ac:dyDescent="0.3">
      <c r="A190" s="586" t="s">
        <v>1238</v>
      </c>
      <c r="B190" s="586"/>
      <c r="C190" s="586"/>
      <c r="D190" s="586"/>
      <c r="E190" s="586"/>
      <c r="F190" s="586"/>
      <c r="G190" s="586"/>
      <c r="H190" s="586"/>
      <c r="I190" s="589"/>
      <c r="J190" s="45" t="s">
        <v>1072</v>
      </c>
      <c r="K190" s="68">
        <v>2300</v>
      </c>
      <c r="L190" s="55"/>
      <c r="M190" s="99"/>
    </row>
    <row r="191" spans="1:39" x14ac:dyDescent="0.3">
      <c r="A191" s="36"/>
      <c r="B191" s="36"/>
      <c r="C191" s="36"/>
      <c r="D191" s="36"/>
      <c r="E191" s="36"/>
      <c r="F191" s="36"/>
      <c r="G191" s="36"/>
      <c r="H191" s="36"/>
      <c r="I191" s="14"/>
      <c r="J191" s="45"/>
      <c r="K191" s="119"/>
      <c r="L191" s="55"/>
      <c r="M191" s="99"/>
      <c r="N191" s="1" t="s">
        <v>469</v>
      </c>
      <c r="O191" s="1" t="s">
        <v>470</v>
      </c>
      <c r="P191" s="1" t="s">
        <v>471</v>
      </c>
      <c r="Q191" s="1" t="s">
        <v>472</v>
      </c>
      <c r="R191" s="1" t="s">
        <v>478</v>
      </c>
      <c r="S191" s="1" t="s">
        <v>479</v>
      </c>
      <c r="T191" s="1" t="s">
        <v>480</v>
      </c>
    </row>
    <row r="192" spans="1:39" x14ac:dyDescent="0.3">
      <c r="A192" s="744" t="s">
        <v>190</v>
      </c>
      <c r="B192" s="744"/>
      <c r="C192" s="744"/>
      <c r="D192" s="744"/>
      <c r="E192" s="744"/>
      <c r="F192" s="744"/>
      <c r="G192" s="744"/>
      <c r="H192" s="744"/>
      <c r="I192" s="906"/>
      <c r="J192" s="32"/>
      <c r="K192" s="431">
        <v>2</v>
      </c>
      <c r="L192" s="55"/>
      <c r="M192" s="1"/>
      <c r="N192" s="1">
        <v>31</v>
      </c>
      <c r="O192" s="1">
        <v>28</v>
      </c>
      <c r="P192" s="1">
        <v>31</v>
      </c>
      <c r="Q192" s="1">
        <f ca="1">O170</f>
        <v>19</v>
      </c>
      <c r="R192" s="1">
        <f ca="1">32-O171</f>
        <v>7</v>
      </c>
      <c r="S192" s="1">
        <v>30</v>
      </c>
      <c r="T192" s="1">
        <v>31</v>
      </c>
    </row>
    <row r="193" spans="1:40" x14ac:dyDescent="0.3">
      <c r="A193" s="759" t="str">
        <f ca="1">Стойности!F2</f>
        <v>Еднофамилна жилищна сграда</v>
      </c>
      <c r="B193" s="806"/>
      <c r="C193" s="806"/>
      <c r="D193" s="806"/>
      <c r="E193" s="806"/>
      <c r="F193" s="806"/>
      <c r="G193" s="806"/>
      <c r="H193" s="806"/>
      <c r="I193" s="806"/>
      <c r="J193" s="32"/>
      <c r="K193" s="429"/>
      <c r="L193" s="55"/>
      <c r="M193" s="99"/>
      <c r="N193" s="1">
        <f ca="1">'Климатични зони'!AD9</f>
        <v>2.2000000000000002</v>
      </c>
      <c r="O193" s="1">
        <f ca="1">'Климатични зони'!AE9</f>
        <v>2.9</v>
      </c>
      <c r="P193" s="1">
        <f ca="1">'Климатични зони'!AF9</f>
        <v>5.7</v>
      </c>
      <c r="Q193" s="1">
        <f ca="1">'Климатични зони'!AG9</f>
        <v>10.9</v>
      </c>
      <c r="R193" s="1">
        <f ca="1">'Климатични зони'!AH9</f>
        <v>14.5</v>
      </c>
      <c r="S193" s="1">
        <f ca="1">'Климатични зони'!AI9</f>
        <v>9.4</v>
      </c>
      <c r="T193" s="1">
        <f ca="1">'Климатични зони'!AJ9</f>
        <v>4.5999999999999996</v>
      </c>
    </row>
    <row r="194" spans="1:40" x14ac:dyDescent="0.3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55"/>
      <c r="M194" s="99"/>
      <c r="N194" s="1">
        <f ca="1">INT(($K$181-N193)*N192)</f>
        <v>520</v>
      </c>
      <c r="O194" s="1">
        <f t="shared" ref="O194:T194" ca="1" si="88">INT(($K$181-O193)*O192)</f>
        <v>450</v>
      </c>
      <c r="P194" s="1">
        <f t="shared" ca="1" si="88"/>
        <v>412</v>
      </c>
      <c r="Q194" s="1">
        <f t="shared" ca="1" si="88"/>
        <v>153</v>
      </c>
      <c r="R194" s="1">
        <f t="shared" ca="1" si="88"/>
        <v>31</v>
      </c>
      <c r="S194" s="1">
        <f t="shared" ca="1" si="88"/>
        <v>288</v>
      </c>
      <c r="T194" s="1">
        <f t="shared" ca="1" si="88"/>
        <v>446</v>
      </c>
      <c r="U194" s="1">
        <f ca="1">SUM(N194:T194)</f>
        <v>2300</v>
      </c>
    </row>
    <row r="195" spans="1:40" ht="18" x14ac:dyDescent="0.35">
      <c r="A195" s="720" t="s">
        <v>425</v>
      </c>
      <c r="B195" s="720"/>
      <c r="C195" s="720"/>
      <c r="D195" s="720"/>
      <c r="E195" s="720"/>
      <c r="F195" s="720"/>
      <c r="G195" s="720"/>
      <c r="H195" s="720"/>
      <c r="I195" s="2"/>
      <c r="J195" s="2"/>
      <c r="K195" s="137">
        <v>1</v>
      </c>
      <c r="L195" s="55"/>
      <c r="M195" s="99"/>
    </row>
    <row r="196" spans="1:40" ht="18" hidden="1" x14ac:dyDescent="0.35">
      <c r="A196" s="720" t="s">
        <v>1095</v>
      </c>
      <c r="B196" s="720"/>
      <c r="C196" s="720"/>
      <c r="D196" s="720"/>
      <c r="E196" s="720"/>
      <c r="F196" s="720"/>
      <c r="G196" s="720"/>
      <c r="H196" s="720"/>
      <c r="I196" s="2"/>
      <c r="J196" s="2"/>
      <c r="K196" s="137">
        <v>1</v>
      </c>
      <c r="L196" s="55"/>
      <c r="M196" s="99"/>
    </row>
    <row r="197" spans="1:40" ht="18" x14ac:dyDescent="0.35">
      <c r="A197" s="720" t="s">
        <v>426</v>
      </c>
      <c r="B197" s="720"/>
      <c r="C197" s="720"/>
      <c r="D197" s="720"/>
      <c r="E197" s="720"/>
      <c r="F197" s="720"/>
      <c r="G197" s="720"/>
      <c r="H197" s="720"/>
      <c r="I197" s="2"/>
      <c r="J197" s="2"/>
      <c r="K197" s="137">
        <v>0</v>
      </c>
      <c r="L197" s="55"/>
      <c r="M197" s="99"/>
    </row>
    <row r="198" spans="1:40" ht="18" hidden="1" x14ac:dyDescent="0.35">
      <c r="A198" s="720" t="s">
        <v>730</v>
      </c>
      <c r="B198" s="720"/>
      <c r="C198" s="720"/>
      <c r="D198" s="720"/>
      <c r="E198" s="720"/>
      <c r="F198" s="720"/>
      <c r="G198" s="720"/>
      <c r="H198" s="720"/>
      <c r="I198" s="2"/>
      <c r="J198" s="2"/>
      <c r="K198" s="137">
        <f>K197</f>
        <v>0</v>
      </c>
      <c r="L198" s="55"/>
      <c r="M198" s="99"/>
    </row>
    <row r="199" spans="1:40" ht="18" hidden="1" x14ac:dyDescent="0.35">
      <c r="A199" s="720" t="s">
        <v>433</v>
      </c>
      <c r="B199" s="720"/>
      <c r="C199" s="720"/>
      <c r="D199" s="720"/>
      <c r="E199" s="720"/>
      <c r="F199" s="720"/>
      <c r="G199" s="720"/>
      <c r="H199" s="720"/>
      <c r="I199" s="2"/>
      <c r="J199" s="2"/>
      <c r="K199" s="137">
        <v>0</v>
      </c>
      <c r="L199" s="55"/>
      <c r="M199" s="99"/>
    </row>
    <row r="200" spans="1:40" x14ac:dyDescent="0.3">
      <c r="A200" s="586" t="s">
        <v>434</v>
      </c>
      <c r="B200" s="586"/>
      <c r="C200" s="586"/>
      <c r="D200" s="586"/>
      <c r="E200" s="586"/>
      <c r="F200" s="586"/>
      <c r="G200" s="586"/>
      <c r="H200" s="586"/>
      <c r="I200" s="589"/>
      <c r="J200" s="589"/>
      <c r="K200" s="589"/>
      <c r="L200" s="589"/>
      <c r="M200" s="99"/>
    </row>
    <row r="201" spans="1:40" ht="18" x14ac:dyDescent="0.35">
      <c r="A201" s="15"/>
      <c r="B201" s="15"/>
      <c r="C201" s="15"/>
      <c r="D201" s="15"/>
      <c r="E201" s="15"/>
      <c r="F201" s="15"/>
      <c r="G201" s="15"/>
      <c r="H201" s="15"/>
      <c r="I201" s="2"/>
      <c r="J201" s="2"/>
      <c r="K201" s="2"/>
      <c r="L201" s="55"/>
      <c r="M201" s="99"/>
    </row>
    <row r="202" spans="1:40" ht="18" hidden="1" x14ac:dyDescent="0.35">
      <c r="A202" s="15" t="s">
        <v>1239</v>
      </c>
      <c r="B202" s="15"/>
      <c r="C202" s="15"/>
      <c r="D202" s="15"/>
      <c r="E202" s="15"/>
      <c r="F202" s="558"/>
      <c r="G202" s="137">
        <v>0</v>
      </c>
      <c r="H202" s="15" t="s">
        <v>1</v>
      </c>
      <c r="I202" s="558" t="s">
        <v>1236</v>
      </c>
      <c r="J202" s="137">
        <v>320</v>
      </c>
      <c r="K202" s="556" t="s">
        <v>1</v>
      </c>
      <c r="L202" s="127"/>
      <c r="M202" s="199"/>
      <c r="N202" s="1" t="s">
        <v>469</v>
      </c>
      <c r="O202" s="159">
        <f t="shared" ref="O202:AL202" si="89">O177*23+O179*4+O181*4</f>
        <v>31</v>
      </c>
      <c r="P202" s="159">
        <f t="shared" si="89"/>
        <v>31</v>
      </c>
      <c r="Q202" s="159">
        <f t="shared" si="89"/>
        <v>31</v>
      </c>
      <c r="R202" s="159">
        <f t="shared" si="89"/>
        <v>31</v>
      </c>
      <c r="S202" s="159">
        <f t="shared" si="89"/>
        <v>31</v>
      </c>
      <c r="T202" s="159">
        <f t="shared" si="89"/>
        <v>31</v>
      </c>
      <c r="U202" s="159">
        <f t="shared" si="89"/>
        <v>31</v>
      </c>
      <c r="V202" s="159">
        <f t="shared" si="89"/>
        <v>31</v>
      </c>
      <c r="W202" s="159">
        <f t="shared" si="89"/>
        <v>31</v>
      </c>
      <c r="X202" s="159">
        <f t="shared" si="89"/>
        <v>31</v>
      </c>
      <c r="Y202" s="159">
        <f t="shared" si="89"/>
        <v>31</v>
      </c>
      <c r="Z202" s="159">
        <f t="shared" si="89"/>
        <v>31</v>
      </c>
      <c r="AA202" s="159">
        <f t="shared" si="89"/>
        <v>31</v>
      </c>
      <c r="AB202" s="159">
        <f t="shared" si="89"/>
        <v>31</v>
      </c>
      <c r="AC202" s="159">
        <f t="shared" si="89"/>
        <v>31</v>
      </c>
      <c r="AD202" s="159">
        <f t="shared" si="89"/>
        <v>31</v>
      </c>
      <c r="AE202" s="159">
        <f t="shared" si="89"/>
        <v>31</v>
      </c>
      <c r="AF202" s="159">
        <f t="shared" si="89"/>
        <v>31</v>
      </c>
      <c r="AG202" s="159">
        <f t="shared" si="89"/>
        <v>31</v>
      </c>
      <c r="AH202" s="159">
        <f t="shared" si="89"/>
        <v>31</v>
      </c>
      <c r="AI202" s="159">
        <f t="shared" si="89"/>
        <v>31</v>
      </c>
      <c r="AJ202" s="159">
        <f t="shared" si="89"/>
        <v>31</v>
      </c>
      <c r="AK202" s="159">
        <f t="shared" si="89"/>
        <v>31</v>
      </c>
      <c r="AL202" s="159">
        <f t="shared" si="89"/>
        <v>31</v>
      </c>
      <c r="AN202" s="24">
        <f t="shared" ref="AN202:AN213" si="90">SUM(O202:AM202)</f>
        <v>744</v>
      </c>
    </row>
    <row r="203" spans="1:40" hidden="1" x14ac:dyDescent="0.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127"/>
      <c r="M203" s="101"/>
      <c r="N203" s="1" t="s">
        <v>470</v>
      </c>
      <c r="O203" s="159">
        <f t="shared" ref="O203:AL203" si="91">O177*20+O179*4+O181*4</f>
        <v>28</v>
      </c>
      <c r="P203" s="159">
        <f t="shared" si="91"/>
        <v>28</v>
      </c>
      <c r="Q203" s="159">
        <f t="shared" si="91"/>
        <v>28</v>
      </c>
      <c r="R203" s="159">
        <f t="shared" si="91"/>
        <v>28</v>
      </c>
      <c r="S203" s="159">
        <f t="shared" si="91"/>
        <v>28</v>
      </c>
      <c r="T203" s="159">
        <f t="shared" si="91"/>
        <v>28</v>
      </c>
      <c r="U203" s="159">
        <f t="shared" si="91"/>
        <v>28</v>
      </c>
      <c r="V203" s="159">
        <f t="shared" si="91"/>
        <v>28</v>
      </c>
      <c r="W203" s="159">
        <f t="shared" si="91"/>
        <v>28</v>
      </c>
      <c r="X203" s="159">
        <f t="shared" si="91"/>
        <v>28</v>
      </c>
      <c r="Y203" s="159">
        <f t="shared" si="91"/>
        <v>28</v>
      </c>
      <c r="Z203" s="159">
        <f t="shared" si="91"/>
        <v>28</v>
      </c>
      <c r="AA203" s="159">
        <f t="shared" si="91"/>
        <v>28</v>
      </c>
      <c r="AB203" s="159">
        <f t="shared" si="91"/>
        <v>28</v>
      </c>
      <c r="AC203" s="159">
        <f t="shared" si="91"/>
        <v>28</v>
      </c>
      <c r="AD203" s="159">
        <f t="shared" si="91"/>
        <v>28</v>
      </c>
      <c r="AE203" s="159">
        <f t="shared" si="91"/>
        <v>28</v>
      </c>
      <c r="AF203" s="159">
        <f t="shared" si="91"/>
        <v>28</v>
      </c>
      <c r="AG203" s="159">
        <f t="shared" si="91"/>
        <v>28</v>
      </c>
      <c r="AH203" s="159">
        <f t="shared" si="91"/>
        <v>28</v>
      </c>
      <c r="AI203" s="159">
        <f t="shared" si="91"/>
        <v>28</v>
      </c>
      <c r="AJ203" s="159">
        <f t="shared" si="91"/>
        <v>28</v>
      </c>
      <c r="AK203" s="159">
        <f t="shared" si="91"/>
        <v>28</v>
      </c>
      <c r="AL203" s="159">
        <f t="shared" si="91"/>
        <v>28</v>
      </c>
      <c r="AN203" s="24">
        <f t="shared" si="90"/>
        <v>672</v>
      </c>
    </row>
    <row r="204" spans="1:40" x14ac:dyDescent="0.3">
      <c r="A204" s="637" t="s">
        <v>723</v>
      </c>
      <c r="B204" s="673"/>
      <c r="C204" s="673"/>
      <c r="D204" s="673"/>
      <c r="E204" s="673"/>
      <c r="F204" s="673"/>
      <c r="G204" s="673"/>
      <c r="H204" s="673"/>
      <c r="I204" s="673"/>
      <c r="J204" s="673"/>
      <c r="K204" s="673"/>
      <c r="L204" s="673"/>
      <c r="M204" s="319"/>
      <c r="N204" s="1" t="s">
        <v>471</v>
      </c>
      <c r="O204" s="159">
        <f t="shared" ref="O204:AL204" si="92">O177*23+O179*4+O181*4</f>
        <v>31</v>
      </c>
      <c r="P204" s="159">
        <f t="shared" si="92"/>
        <v>31</v>
      </c>
      <c r="Q204" s="159">
        <f t="shared" si="92"/>
        <v>31</v>
      </c>
      <c r="R204" s="159">
        <f t="shared" si="92"/>
        <v>31</v>
      </c>
      <c r="S204" s="159">
        <f t="shared" si="92"/>
        <v>31</v>
      </c>
      <c r="T204" s="159">
        <f t="shared" si="92"/>
        <v>31</v>
      </c>
      <c r="U204" s="159">
        <f t="shared" si="92"/>
        <v>31</v>
      </c>
      <c r="V204" s="159">
        <f t="shared" si="92"/>
        <v>31</v>
      </c>
      <c r="W204" s="159">
        <f t="shared" si="92"/>
        <v>31</v>
      </c>
      <c r="X204" s="159">
        <f t="shared" si="92"/>
        <v>31</v>
      </c>
      <c r="Y204" s="159">
        <f t="shared" si="92"/>
        <v>31</v>
      </c>
      <c r="Z204" s="159">
        <f t="shared" si="92"/>
        <v>31</v>
      </c>
      <c r="AA204" s="159">
        <f t="shared" si="92"/>
        <v>31</v>
      </c>
      <c r="AB204" s="159">
        <f t="shared" si="92"/>
        <v>31</v>
      </c>
      <c r="AC204" s="159">
        <f t="shared" si="92"/>
        <v>31</v>
      </c>
      <c r="AD204" s="159">
        <f t="shared" si="92"/>
        <v>31</v>
      </c>
      <c r="AE204" s="159">
        <f t="shared" si="92"/>
        <v>31</v>
      </c>
      <c r="AF204" s="159">
        <f t="shared" si="92"/>
        <v>31</v>
      </c>
      <c r="AG204" s="159">
        <f t="shared" si="92"/>
        <v>31</v>
      </c>
      <c r="AH204" s="159">
        <f t="shared" si="92"/>
        <v>31</v>
      </c>
      <c r="AI204" s="159">
        <f t="shared" si="92"/>
        <v>31</v>
      </c>
      <c r="AJ204" s="159">
        <f t="shared" si="92"/>
        <v>31</v>
      </c>
      <c r="AK204" s="159">
        <f t="shared" si="92"/>
        <v>31</v>
      </c>
      <c r="AL204" s="159">
        <f t="shared" si="92"/>
        <v>31</v>
      </c>
      <c r="AN204" s="24">
        <f t="shared" si="90"/>
        <v>744</v>
      </c>
    </row>
    <row r="205" spans="1:40" ht="18" customHeight="1" x14ac:dyDescent="0.3">
      <c r="A205" s="777"/>
      <c r="B205" s="566"/>
      <c r="C205" s="566"/>
      <c r="D205" s="566"/>
      <c r="E205" s="566"/>
      <c r="F205" s="566"/>
      <c r="G205" s="878" t="s">
        <v>724</v>
      </c>
      <c r="H205" s="878" t="s">
        <v>725</v>
      </c>
      <c r="I205" s="878" t="s">
        <v>726</v>
      </c>
      <c r="J205" s="878" t="s">
        <v>727</v>
      </c>
      <c r="K205" s="878" t="s">
        <v>732</v>
      </c>
      <c r="L205" s="878" t="s">
        <v>731</v>
      </c>
      <c r="M205" s="109"/>
      <c r="N205" s="1" t="s">
        <v>472</v>
      </c>
      <c r="O205" s="159">
        <f t="shared" ref="O205:AL205" ca="1" si="93">O177*$Q170+O179*$P170+O181*$P170</f>
        <v>19</v>
      </c>
      <c r="P205" s="159">
        <f t="shared" ca="1" si="93"/>
        <v>19</v>
      </c>
      <c r="Q205" s="159">
        <f t="shared" ca="1" si="93"/>
        <v>19</v>
      </c>
      <c r="R205" s="159">
        <f t="shared" ca="1" si="93"/>
        <v>19</v>
      </c>
      <c r="S205" s="159">
        <f t="shared" ca="1" si="93"/>
        <v>19</v>
      </c>
      <c r="T205" s="159">
        <f t="shared" ca="1" si="93"/>
        <v>19</v>
      </c>
      <c r="U205" s="159">
        <f t="shared" ca="1" si="93"/>
        <v>19</v>
      </c>
      <c r="V205" s="159">
        <f t="shared" ca="1" si="93"/>
        <v>19</v>
      </c>
      <c r="W205" s="159">
        <f t="shared" ca="1" si="93"/>
        <v>19</v>
      </c>
      <c r="X205" s="159">
        <f t="shared" ca="1" si="93"/>
        <v>19</v>
      </c>
      <c r="Y205" s="159">
        <f t="shared" ca="1" si="93"/>
        <v>19</v>
      </c>
      <c r="Z205" s="159">
        <f t="shared" ca="1" si="93"/>
        <v>19</v>
      </c>
      <c r="AA205" s="159">
        <f t="shared" ca="1" si="93"/>
        <v>19</v>
      </c>
      <c r="AB205" s="159">
        <f t="shared" ca="1" si="93"/>
        <v>19</v>
      </c>
      <c r="AC205" s="159">
        <f t="shared" ca="1" si="93"/>
        <v>19</v>
      </c>
      <c r="AD205" s="159">
        <f t="shared" ca="1" si="93"/>
        <v>19</v>
      </c>
      <c r="AE205" s="159">
        <f t="shared" ca="1" si="93"/>
        <v>19</v>
      </c>
      <c r="AF205" s="159">
        <f t="shared" ca="1" si="93"/>
        <v>19</v>
      </c>
      <c r="AG205" s="159">
        <f t="shared" ca="1" si="93"/>
        <v>19</v>
      </c>
      <c r="AH205" s="159">
        <f t="shared" ca="1" si="93"/>
        <v>19</v>
      </c>
      <c r="AI205" s="159">
        <f t="shared" ca="1" si="93"/>
        <v>19</v>
      </c>
      <c r="AJ205" s="159">
        <f t="shared" ca="1" si="93"/>
        <v>19</v>
      </c>
      <c r="AK205" s="159">
        <f t="shared" ca="1" si="93"/>
        <v>19</v>
      </c>
      <c r="AL205" s="159">
        <f t="shared" ca="1" si="93"/>
        <v>19</v>
      </c>
      <c r="AN205" s="24">
        <f t="shared" ca="1" si="90"/>
        <v>456</v>
      </c>
    </row>
    <row r="206" spans="1:40" x14ac:dyDescent="0.3">
      <c r="A206" s="566"/>
      <c r="B206" s="566"/>
      <c r="C206" s="566"/>
      <c r="D206" s="566"/>
      <c r="E206" s="566"/>
      <c r="F206" s="566"/>
      <c r="G206" s="575"/>
      <c r="H206" s="575"/>
      <c r="I206" s="575"/>
      <c r="J206" s="575"/>
      <c r="K206" s="575"/>
      <c r="L206" s="575"/>
      <c r="M206" s="109"/>
      <c r="N206" s="1" t="s">
        <v>473</v>
      </c>
      <c r="O206" s="158">
        <f t="shared" ref="O206:AL206" si="94">O187*23+O188*4+O189*4</f>
        <v>31</v>
      </c>
      <c r="P206" s="158">
        <f t="shared" si="94"/>
        <v>31</v>
      </c>
      <c r="Q206" s="158">
        <f t="shared" si="94"/>
        <v>31</v>
      </c>
      <c r="R206" s="158">
        <f t="shared" si="94"/>
        <v>31</v>
      </c>
      <c r="S206" s="158">
        <f t="shared" si="94"/>
        <v>31</v>
      </c>
      <c r="T206" s="158">
        <f t="shared" si="94"/>
        <v>31</v>
      </c>
      <c r="U206" s="158">
        <f t="shared" si="94"/>
        <v>31</v>
      </c>
      <c r="V206" s="158">
        <f t="shared" si="94"/>
        <v>31</v>
      </c>
      <c r="W206" s="158">
        <f t="shared" si="94"/>
        <v>31</v>
      </c>
      <c r="X206" s="158">
        <f t="shared" si="94"/>
        <v>31</v>
      </c>
      <c r="Y206" s="158">
        <f t="shared" si="94"/>
        <v>31</v>
      </c>
      <c r="Z206" s="158">
        <f t="shared" si="94"/>
        <v>31</v>
      </c>
      <c r="AA206" s="158">
        <f t="shared" si="94"/>
        <v>31</v>
      </c>
      <c r="AB206" s="158">
        <f t="shared" si="94"/>
        <v>31</v>
      </c>
      <c r="AC206" s="158">
        <f t="shared" si="94"/>
        <v>31</v>
      </c>
      <c r="AD206" s="158">
        <f t="shared" si="94"/>
        <v>31</v>
      </c>
      <c r="AE206" s="158">
        <f t="shared" si="94"/>
        <v>31</v>
      </c>
      <c r="AF206" s="158">
        <f t="shared" si="94"/>
        <v>31</v>
      </c>
      <c r="AG206" s="158">
        <f t="shared" si="94"/>
        <v>31</v>
      </c>
      <c r="AH206" s="158">
        <f t="shared" si="94"/>
        <v>31</v>
      </c>
      <c r="AI206" s="158">
        <f t="shared" si="94"/>
        <v>31</v>
      </c>
      <c r="AJ206" s="158">
        <f t="shared" si="94"/>
        <v>31</v>
      </c>
      <c r="AK206" s="158">
        <f t="shared" si="94"/>
        <v>31</v>
      </c>
      <c r="AL206" s="158">
        <f t="shared" si="94"/>
        <v>31</v>
      </c>
      <c r="AN206" s="24">
        <f t="shared" si="90"/>
        <v>744</v>
      </c>
    </row>
    <row r="207" spans="1:40" x14ac:dyDescent="0.3">
      <c r="A207" s="566"/>
      <c r="B207" s="566"/>
      <c r="C207" s="566"/>
      <c r="D207" s="566"/>
      <c r="E207" s="566"/>
      <c r="F207" s="566"/>
      <c r="G207" s="575"/>
      <c r="H207" s="575"/>
      <c r="I207" s="575"/>
      <c r="J207" s="575"/>
      <c r="K207" s="575"/>
      <c r="L207" s="575"/>
      <c r="M207" s="109"/>
      <c r="N207" s="1" t="s">
        <v>474</v>
      </c>
      <c r="O207" s="158">
        <f t="shared" ref="O207:AL207" si="95">O187*22+O188*4+O189*4</f>
        <v>30</v>
      </c>
      <c r="P207" s="158">
        <f t="shared" si="95"/>
        <v>30</v>
      </c>
      <c r="Q207" s="158">
        <f t="shared" si="95"/>
        <v>30</v>
      </c>
      <c r="R207" s="158">
        <f t="shared" si="95"/>
        <v>30</v>
      </c>
      <c r="S207" s="158">
        <f t="shared" si="95"/>
        <v>30</v>
      </c>
      <c r="T207" s="158">
        <f t="shared" si="95"/>
        <v>30</v>
      </c>
      <c r="U207" s="158">
        <f t="shared" si="95"/>
        <v>30</v>
      </c>
      <c r="V207" s="158">
        <f t="shared" si="95"/>
        <v>30</v>
      </c>
      <c r="W207" s="158">
        <f t="shared" si="95"/>
        <v>30</v>
      </c>
      <c r="X207" s="158">
        <f t="shared" si="95"/>
        <v>30</v>
      </c>
      <c r="Y207" s="158">
        <f t="shared" si="95"/>
        <v>30</v>
      </c>
      <c r="Z207" s="158">
        <f t="shared" si="95"/>
        <v>30</v>
      </c>
      <c r="AA207" s="158">
        <f t="shared" si="95"/>
        <v>30</v>
      </c>
      <c r="AB207" s="158">
        <f t="shared" si="95"/>
        <v>30</v>
      </c>
      <c r="AC207" s="158">
        <f t="shared" si="95"/>
        <v>30</v>
      </c>
      <c r="AD207" s="158">
        <f t="shared" si="95"/>
        <v>30</v>
      </c>
      <c r="AE207" s="158">
        <f t="shared" si="95"/>
        <v>30</v>
      </c>
      <c r="AF207" s="158">
        <f t="shared" si="95"/>
        <v>30</v>
      </c>
      <c r="AG207" s="158">
        <f t="shared" si="95"/>
        <v>30</v>
      </c>
      <c r="AH207" s="158">
        <f t="shared" si="95"/>
        <v>30</v>
      </c>
      <c r="AI207" s="158">
        <f t="shared" si="95"/>
        <v>30</v>
      </c>
      <c r="AJ207" s="158">
        <f t="shared" si="95"/>
        <v>30</v>
      </c>
      <c r="AK207" s="158">
        <f t="shared" si="95"/>
        <v>30</v>
      </c>
      <c r="AL207" s="158">
        <f t="shared" si="95"/>
        <v>30</v>
      </c>
      <c r="AN207" s="24">
        <f t="shared" si="90"/>
        <v>720</v>
      </c>
    </row>
    <row r="208" spans="1:40" x14ac:dyDescent="0.3">
      <c r="A208" s="881" t="s">
        <v>733</v>
      </c>
      <c r="B208" s="881"/>
      <c r="C208" s="881"/>
      <c r="D208" s="881"/>
      <c r="E208" s="881"/>
      <c r="F208" s="881"/>
      <c r="G208" s="401">
        <v>420</v>
      </c>
      <c r="H208" s="401">
        <v>340</v>
      </c>
      <c r="I208" s="401">
        <v>360</v>
      </c>
      <c r="J208" s="401">
        <v>340</v>
      </c>
      <c r="K208" s="401">
        <f>(G202*J202+(100-G202)*100)/100</f>
        <v>100</v>
      </c>
      <c r="L208" s="401">
        <f>(G202*J202+(100-G202)*100)/100</f>
        <v>100</v>
      </c>
      <c r="M208" s="109"/>
      <c r="N208" s="1" t="s">
        <v>475</v>
      </c>
      <c r="O208" s="158">
        <f t="shared" ref="O208:AL208" si="96">O187*23+O188*4+O189*4</f>
        <v>31</v>
      </c>
      <c r="P208" s="158">
        <f t="shared" si="96"/>
        <v>31</v>
      </c>
      <c r="Q208" s="158">
        <f t="shared" si="96"/>
        <v>31</v>
      </c>
      <c r="R208" s="158">
        <f t="shared" si="96"/>
        <v>31</v>
      </c>
      <c r="S208" s="158">
        <f t="shared" si="96"/>
        <v>31</v>
      </c>
      <c r="T208" s="158">
        <f t="shared" si="96"/>
        <v>31</v>
      </c>
      <c r="U208" s="158">
        <f t="shared" si="96"/>
        <v>31</v>
      </c>
      <c r="V208" s="158">
        <f t="shared" si="96"/>
        <v>31</v>
      </c>
      <c r="W208" s="158">
        <f t="shared" si="96"/>
        <v>31</v>
      </c>
      <c r="X208" s="158">
        <f t="shared" si="96"/>
        <v>31</v>
      </c>
      <c r="Y208" s="158">
        <f t="shared" si="96"/>
        <v>31</v>
      </c>
      <c r="Z208" s="158">
        <f t="shared" si="96"/>
        <v>31</v>
      </c>
      <c r="AA208" s="158">
        <f t="shared" si="96"/>
        <v>31</v>
      </c>
      <c r="AB208" s="158">
        <f t="shared" si="96"/>
        <v>31</v>
      </c>
      <c r="AC208" s="158">
        <f t="shared" si="96"/>
        <v>31</v>
      </c>
      <c r="AD208" s="158">
        <f t="shared" si="96"/>
        <v>31</v>
      </c>
      <c r="AE208" s="158">
        <f t="shared" si="96"/>
        <v>31</v>
      </c>
      <c r="AF208" s="158">
        <f t="shared" si="96"/>
        <v>31</v>
      </c>
      <c r="AG208" s="158">
        <f t="shared" si="96"/>
        <v>31</v>
      </c>
      <c r="AH208" s="158">
        <f t="shared" si="96"/>
        <v>31</v>
      </c>
      <c r="AI208" s="158">
        <f t="shared" si="96"/>
        <v>31</v>
      </c>
      <c r="AJ208" s="158">
        <f t="shared" si="96"/>
        <v>31</v>
      </c>
      <c r="AK208" s="158">
        <f t="shared" si="96"/>
        <v>31</v>
      </c>
      <c r="AL208" s="158">
        <f t="shared" si="96"/>
        <v>31</v>
      </c>
      <c r="AN208" s="24">
        <f t="shared" si="90"/>
        <v>744</v>
      </c>
    </row>
    <row r="209" spans="1:40" x14ac:dyDescent="0.3">
      <c r="A209" s="881" t="s">
        <v>737</v>
      </c>
      <c r="B209" s="881"/>
      <c r="C209" s="881"/>
      <c r="D209" s="881"/>
      <c r="E209" s="881"/>
      <c r="F209" s="881"/>
      <c r="G209" s="851">
        <v>98</v>
      </c>
      <c r="H209" s="851">
        <v>98</v>
      </c>
      <c r="I209" s="851">
        <v>98</v>
      </c>
      <c r="J209" s="851">
        <v>98</v>
      </c>
      <c r="K209" s="851">
        <v>98</v>
      </c>
      <c r="L209" s="851">
        <v>98</v>
      </c>
      <c r="M209" s="320"/>
      <c r="N209" s="1" t="s">
        <v>476</v>
      </c>
      <c r="O209" s="158">
        <f t="shared" ref="O209:AL209" si="97">O187*23+O188*4+O189*4</f>
        <v>31</v>
      </c>
      <c r="P209" s="158">
        <f t="shared" si="97"/>
        <v>31</v>
      </c>
      <c r="Q209" s="158">
        <f t="shared" si="97"/>
        <v>31</v>
      </c>
      <c r="R209" s="158">
        <f t="shared" si="97"/>
        <v>31</v>
      </c>
      <c r="S209" s="158">
        <f t="shared" si="97"/>
        <v>31</v>
      </c>
      <c r="T209" s="158">
        <f t="shared" si="97"/>
        <v>31</v>
      </c>
      <c r="U209" s="158">
        <f t="shared" si="97"/>
        <v>31</v>
      </c>
      <c r="V209" s="158">
        <f t="shared" si="97"/>
        <v>31</v>
      </c>
      <c r="W209" s="158">
        <f t="shared" si="97"/>
        <v>31</v>
      </c>
      <c r="X209" s="158">
        <f t="shared" si="97"/>
        <v>31</v>
      </c>
      <c r="Y209" s="158">
        <f t="shared" si="97"/>
        <v>31</v>
      </c>
      <c r="Z209" s="158">
        <f t="shared" si="97"/>
        <v>31</v>
      </c>
      <c r="AA209" s="158">
        <f t="shared" si="97"/>
        <v>31</v>
      </c>
      <c r="AB209" s="158">
        <f t="shared" si="97"/>
        <v>31</v>
      </c>
      <c r="AC209" s="158">
        <f t="shared" si="97"/>
        <v>31</v>
      </c>
      <c r="AD209" s="158">
        <f t="shared" si="97"/>
        <v>31</v>
      </c>
      <c r="AE209" s="158">
        <f t="shared" si="97"/>
        <v>31</v>
      </c>
      <c r="AF209" s="158">
        <f t="shared" si="97"/>
        <v>31</v>
      </c>
      <c r="AG209" s="158">
        <f t="shared" si="97"/>
        <v>31</v>
      </c>
      <c r="AH209" s="158">
        <f t="shared" si="97"/>
        <v>31</v>
      </c>
      <c r="AI209" s="158">
        <f t="shared" si="97"/>
        <v>31</v>
      </c>
      <c r="AJ209" s="158">
        <f t="shared" si="97"/>
        <v>31</v>
      </c>
      <c r="AK209" s="158">
        <f t="shared" si="97"/>
        <v>31</v>
      </c>
      <c r="AL209" s="158">
        <f t="shared" si="97"/>
        <v>31</v>
      </c>
      <c r="AN209" s="24">
        <f t="shared" si="90"/>
        <v>744</v>
      </c>
    </row>
    <row r="210" spans="1:40" x14ac:dyDescent="0.3">
      <c r="A210" s="566"/>
      <c r="B210" s="566"/>
      <c r="C210" s="566"/>
      <c r="D210" s="566"/>
      <c r="E210" s="566"/>
      <c r="F210" s="566"/>
      <c r="G210" s="568"/>
      <c r="H210" s="568"/>
      <c r="I210" s="568"/>
      <c r="J210" s="568"/>
      <c r="K210" s="568"/>
      <c r="L210" s="568"/>
      <c r="M210" s="320"/>
      <c r="N210" s="1" t="s">
        <v>477</v>
      </c>
      <c r="O210" s="158">
        <f t="shared" ref="O210:AL210" si="98">O187*22+O188*4+O189*4</f>
        <v>30</v>
      </c>
      <c r="P210" s="158">
        <f t="shared" si="98"/>
        <v>30</v>
      </c>
      <c r="Q210" s="158">
        <f t="shared" si="98"/>
        <v>30</v>
      </c>
      <c r="R210" s="158">
        <f t="shared" si="98"/>
        <v>30</v>
      </c>
      <c r="S210" s="158">
        <f t="shared" si="98"/>
        <v>30</v>
      </c>
      <c r="T210" s="158">
        <f t="shared" si="98"/>
        <v>30</v>
      </c>
      <c r="U210" s="158">
        <f t="shared" si="98"/>
        <v>30</v>
      </c>
      <c r="V210" s="158">
        <f t="shared" si="98"/>
        <v>30</v>
      </c>
      <c r="W210" s="158">
        <f t="shared" si="98"/>
        <v>30</v>
      </c>
      <c r="X210" s="158">
        <f t="shared" si="98"/>
        <v>30</v>
      </c>
      <c r="Y210" s="158">
        <f t="shared" si="98"/>
        <v>30</v>
      </c>
      <c r="Z210" s="158">
        <f t="shared" si="98"/>
        <v>30</v>
      </c>
      <c r="AA210" s="158">
        <f t="shared" si="98"/>
        <v>30</v>
      </c>
      <c r="AB210" s="158">
        <f t="shared" si="98"/>
        <v>30</v>
      </c>
      <c r="AC210" s="158">
        <f t="shared" si="98"/>
        <v>30</v>
      </c>
      <c r="AD210" s="158">
        <f t="shared" si="98"/>
        <v>30</v>
      </c>
      <c r="AE210" s="158">
        <f t="shared" si="98"/>
        <v>30</v>
      </c>
      <c r="AF210" s="158">
        <f t="shared" si="98"/>
        <v>30</v>
      </c>
      <c r="AG210" s="158">
        <f t="shared" si="98"/>
        <v>30</v>
      </c>
      <c r="AH210" s="158">
        <f t="shared" si="98"/>
        <v>30</v>
      </c>
      <c r="AI210" s="158">
        <f t="shared" si="98"/>
        <v>30</v>
      </c>
      <c r="AJ210" s="158">
        <f t="shared" si="98"/>
        <v>30</v>
      </c>
      <c r="AK210" s="158">
        <f t="shared" si="98"/>
        <v>30</v>
      </c>
      <c r="AL210" s="158">
        <f t="shared" si="98"/>
        <v>30</v>
      </c>
      <c r="AN210" s="24">
        <f t="shared" si="90"/>
        <v>720</v>
      </c>
    </row>
    <row r="211" spans="1:40" x14ac:dyDescent="0.3">
      <c r="A211" s="881" t="s">
        <v>734</v>
      </c>
      <c r="B211" s="881"/>
      <c r="C211" s="881"/>
      <c r="D211" s="881"/>
      <c r="E211" s="881"/>
      <c r="F211" s="881"/>
      <c r="G211" s="851">
        <v>95</v>
      </c>
      <c r="H211" s="851">
        <v>95</v>
      </c>
      <c r="I211" s="851">
        <v>95</v>
      </c>
      <c r="J211" s="851">
        <v>95</v>
      </c>
      <c r="K211" s="851">
        <v>100</v>
      </c>
      <c r="L211" s="851">
        <v>100</v>
      </c>
      <c r="M211" s="320"/>
      <c r="N211" s="1" t="s">
        <v>478</v>
      </c>
      <c r="O211" s="159">
        <f t="shared" ref="O211:AL211" ca="1" si="99">O177*$R171+O179*$Q171+O181*$Q171</f>
        <v>7</v>
      </c>
      <c r="P211" s="159">
        <f t="shared" ca="1" si="99"/>
        <v>7</v>
      </c>
      <c r="Q211" s="159">
        <f t="shared" ca="1" si="99"/>
        <v>7</v>
      </c>
      <c r="R211" s="159">
        <f t="shared" ca="1" si="99"/>
        <v>7</v>
      </c>
      <c r="S211" s="159">
        <f t="shared" ca="1" si="99"/>
        <v>7</v>
      </c>
      <c r="T211" s="159">
        <f t="shared" ca="1" si="99"/>
        <v>7</v>
      </c>
      <c r="U211" s="159">
        <f t="shared" ca="1" si="99"/>
        <v>7</v>
      </c>
      <c r="V211" s="159">
        <f t="shared" ca="1" si="99"/>
        <v>7</v>
      </c>
      <c r="W211" s="159">
        <f t="shared" ca="1" si="99"/>
        <v>7</v>
      </c>
      <c r="X211" s="159">
        <f t="shared" ca="1" si="99"/>
        <v>7</v>
      </c>
      <c r="Y211" s="159">
        <f t="shared" ca="1" si="99"/>
        <v>7</v>
      </c>
      <c r="Z211" s="159">
        <f t="shared" ca="1" si="99"/>
        <v>7</v>
      </c>
      <c r="AA211" s="159">
        <f t="shared" ca="1" si="99"/>
        <v>7</v>
      </c>
      <c r="AB211" s="159">
        <f t="shared" ca="1" si="99"/>
        <v>7</v>
      </c>
      <c r="AC211" s="159">
        <f t="shared" ca="1" si="99"/>
        <v>7</v>
      </c>
      <c r="AD211" s="159">
        <f t="shared" ca="1" si="99"/>
        <v>7</v>
      </c>
      <c r="AE211" s="159">
        <f t="shared" ca="1" si="99"/>
        <v>7</v>
      </c>
      <c r="AF211" s="159">
        <f t="shared" ca="1" si="99"/>
        <v>7</v>
      </c>
      <c r="AG211" s="159">
        <f t="shared" ca="1" si="99"/>
        <v>7</v>
      </c>
      <c r="AH211" s="159">
        <f t="shared" ca="1" si="99"/>
        <v>7</v>
      </c>
      <c r="AI211" s="159">
        <f t="shared" ca="1" si="99"/>
        <v>7</v>
      </c>
      <c r="AJ211" s="159">
        <f t="shared" ca="1" si="99"/>
        <v>7</v>
      </c>
      <c r="AK211" s="159">
        <f t="shared" ca="1" si="99"/>
        <v>7</v>
      </c>
      <c r="AL211" s="159">
        <f t="shared" ca="1" si="99"/>
        <v>7</v>
      </c>
      <c r="AN211" s="24">
        <f t="shared" ca="1" si="90"/>
        <v>168</v>
      </c>
    </row>
    <row r="212" spans="1:40" x14ac:dyDescent="0.3">
      <c r="A212" s="566"/>
      <c r="B212" s="566"/>
      <c r="C212" s="566"/>
      <c r="D212" s="566"/>
      <c r="E212" s="566"/>
      <c r="F212" s="566"/>
      <c r="G212" s="568"/>
      <c r="H212" s="568"/>
      <c r="I212" s="568"/>
      <c r="J212" s="568"/>
      <c r="K212" s="568"/>
      <c r="L212" s="568"/>
      <c r="M212" s="320"/>
      <c r="N212" s="1" t="s">
        <v>479</v>
      </c>
      <c r="O212" s="159">
        <f t="shared" ref="O212:AL212" si="100">O177*22+O179*4+O181*4</f>
        <v>30</v>
      </c>
      <c r="P212" s="159">
        <f t="shared" si="100"/>
        <v>30</v>
      </c>
      <c r="Q212" s="159">
        <f t="shared" si="100"/>
        <v>30</v>
      </c>
      <c r="R212" s="159">
        <f t="shared" si="100"/>
        <v>30</v>
      </c>
      <c r="S212" s="159">
        <f t="shared" si="100"/>
        <v>30</v>
      </c>
      <c r="T212" s="159">
        <f t="shared" si="100"/>
        <v>30</v>
      </c>
      <c r="U212" s="159">
        <f t="shared" si="100"/>
        <v>30</v>
      </c>
      <c r="V212" s="159">
        <f t="shared" si="100"/>
        <v>30</v>
      </c>
      <c r="W212" s="159">
        <f t="shared" si="100"/>
        <v>30</v>
      </c>
      <c r="X212" s="159">
        <f t="shared" si="100"/>
        <v>30</v>
      </c>
      <c r="Y212" s="159">
        <f t="shared" si="100"/>
        <v>30</v>
      </c>
      <c r="Z212" s="159">
        <f t="shared" si="100"/>
        <v>30</v>
      </c>
      <c r="AA212" s="159">
        <f t="shared" si="100"/>
        <v>30</v>
      </c>
      <c r="AB212" s="159">
        <f t="shared" si="100"/>
        <v>30</v>
      </c>
      <c r="AC212" s="159">
        <f t="shared" si="100"/>
        <v>30</v>
      </c>
      <c r="AD212" s="159">
        <f t="shared" si="100"/>
        <v>30</v>
      </c>
      <c r="AE212" s="159">
        <f t="shared" si="100"/>
        <v>30</v>
      </c>
      <c r="AF212" s="159">
        <f t="shared" si="100"/>
        <v>30</v>
      </c>
      <c r="AG212" s="159">
        <f t="shared" si="100"/>
        <v>30</v>
      </c>
      <c r="AH212" s="159">
        <f t="shared" si="100"/>
        <v>30</v>
      </c>
      <c r="AI212" s="159">
        <f t="shared" si="100"/>
        <v>30</v>
      </c>
      <c r="AJ212" s="159">
        <f t="shared" si="100"/>
        <v>30</v>
      </c>
      <c r="AK212" s="159">
        <f t="shared" si="100"/>
        <v>30</v>
      </c>
      <c r="AL212" s="159">
        <f t="shared" si="100"/>
        <v>30</v>
      </c>
      <c r="AN212" s="24">
        <f t="shared" si="90"/>
        <v>720</v>
      </c>
    </row>
    <row r="213" spans="1:40" x14ac:dyDescent="0.3">
      <c r="A213" s="566"/>
      <c r="B213" s="566"/>
      <c r="C213" s="566"/>
      <c r="D213" s="566"/>
      <c r="E213" s="566"/>
      <c r="F213" s="566"/>
      <c r="G213" s="568"/>
      <c r="H213" s="568"/>
      <c r="I213" s="568"/>
      <c r="J213" s="568"/>
      <c r="K213" s="568"/>
      <c r="L213" s="568"/>
      <c r="M213" s="109"/>
      <c r="N213" s="1" t="s">
        <v>480</v>
      </c>
      <c r="O213" s="159">
        <f t="shared" ref="O213:AL213" si="101">O177*23+O179*4+O181*4</f>
        <v>31</v>
      </c>
      <c r="P213" s="159">
        <f t="shared" si="101"/>
        <v>31</v>
      </c>
      <c r="Q213" s="159">
        <f t="shared" si="101"/>
        <v>31</v>
      </c>
      <c r="R213" s="159">
        <f t="shared" si="101"/>
        <v>31</v>
      </c>
      <c r="S213" s="159">
        <f t="shared" si="101"/>
        <v>31</v>
      </c>
      <c r="T213" s="159">
        <f t="shared" si="101"/>
        <v>31</v>
      </c>
      <c r="U213" s="159">
        <f t="shared" si="101"/>
        <v>31</v>
      </c>
      <c r="V213" s="159">
        <f t="shared" si="101"/>
        <v>31</v>
      </c>
      <c r="W213" s="159">
        <f t="shared" si="101"/>
        <v>31</v>
      </c>
      <c r="X213" s="159">
        <f t="shared" si="101"/>
        <v>31</v>
      </c>
      <c r="Y213" s="159">
        <f t="shared" si="101"/>
        <v>31</v>
      </c>
      <c r="Z213" s="159">
        <f t="shared" si="101"/>
        <v>31</v>
      </c>
      <c r="AA213" s="159">
        <f t="shared" si="101"/>
        <v>31</v>
      </c>
      <c r="AB213" s="159">
        <f t="shared" si="101"/>
        <v>31</v>
      </c>
      <c r="AC213" s="159">
        <f t="shared" si="101"/>
        <v>31</v>
      </c>
      <c r="AD213" s="159">
        <f t="shared" si="101"/>
        <v>31</v>
      </c>
      <c r="AE213" s="159">
        <f t="shared" si="101"/>
        <v>31</v>
      </c>
      <c r="AF213" s="159">
        <f t="shared" si="101"/>
        <v>31</v>
      </c>
      <c r="AG213" s="159">
        <f t="shared" si="101"/>
        <v>31</v>
      </c>
      <c r="AH213" s="159">
        <f t="shared" si="101"/>
        <v>31</v>
      </c>
      <c r="AI213" s="159">
        <f t="shared" si="101"/>
        <v>31</v>
      </c>
      <c r="AJ213" s="159">
        <f t="shared" si="101"/>
        <v>31</v>
      </c>
      <c r="AK213" s="159">
        <f t="shared" si="101"/>
        <v>31</v>
      </c>
      <c r="AL213" s="159">
        <f t="shared" si="101"/>
        <v>31</v>
      </c>
      <c r="AN213" s="24">
        <f t="shared" si="90"/>
        <v>744</v>
      </c>
    </row>
    <row r="214" spans="1:40" x14ac:dyDescent="0.3">
      <c r="A214" s="881" t="s">
        <v>735</v>
      </c>
      <c r="B214" s="881"/>
      <c r="C214" s="881"/>
      <c r="D214" s="881"/>
      <c r="E214" s="881"/>
      <c r="F214" s="881"/>
      <c r="G214" s="851">
        <v>100</v>
      </c>
      <c r="H214" s="851">
        <v>100</v>
      </c>
      <c r="I214" s="885" t="s">
        <v>950</v>
      </c>
      <c r="J214" s="885" t="s">
        <v>950</v>
      </c>
      <c r="K214" s="851">
        <v>100</v>
      </c>
      <c r="L214" s="851">
        <v>100</v>
      </c>
      <c r="M214" s="319"/>
      <c r="AN214" s="1"/>
    </row>
    <row r="215" spans="1:40" x14ac:dyDescent="0.3">
      <c r="A215" s="566"/>
      <c r="B215" s="566"/>
      <c r="C215" s="566"/>
      <c r="D215" s="566"/>
      <c r="E215" s="566"/>
      <c r="F215" s="566"/>
      <c r="G215" s="568"/>
      <c r="H215" s="568"/>
      <c r="I215" s="886"/>
      <c r="J215" s="886"/>
      <c r="K215" s="568"/>
      <c r="L215" s="568"/>
      <c r="M215" s="109"/>
      <c r="AN215" s="1"/>
    </row>
    <row r="216" spans="1:40" x14ac:dyDescent="0.3">
      <c r="A216" s="881" t="s">
        <v>736</v>
      </c>
      <c r="B216" s="881"/>
      <c r="C216" s="881"/>
      <c r="D216" s="881"/>
      <c r="E216" s="881"/>
      <c r="F216" s="881"/>
      <c r="G216" s="378" t="s">
        <v>950</v>
      </c>
      <c r="H216" s="378" t="s">
        <v>950</v>
      </c>
      <c r="I216" s="377">
        <v>0</v>
      </c>
      <c r="J216" s="377">
        <f>I216</f>
        <v>0</v>
      </c>
      <c r="K216" s="378" t="s">
        <v>950</v>
      </c>
      <c r="L216" s="378" t="s">
        <v>950</v>
      </c>
      <c r="M216" s="109"/>
    </row>
    <row r="217" spans="1:40" x14ac:dyDescent="0.3">
      <c r="A217" s="43"/>
      <c r="B217" s="43"/>
      <c r="C217" s="43"/>
      <c r="D217" s="43"/>
      <c r="E217" s="43"/>
      <c r="F217" s="43"/>
      <c r="G217" s="43"/>
      <c r="H217" s="43"/>
      <c r="I217" s="43"/>
      <c r="J217" s="43"/>
      <c r="K217" s="43"/>
      <c r="L217" s="106"/>
      <c r="M217" s="109"/>
      <c r="O217" s="72">
        <v>0</v>
      </c>
      <c r="P217" s="72">
        <v>1</v>
      </c>
      <c r="Q217" s="72">
        <v>2</v>
      </c>
      <c r="R217" s="72">
        <v>3</v>
      </c>
      <c r="S217" s="72">
        <v>4</v>
      </c>
      <c r="T217" s="72">
        <v>5</v>
      </c>
      <c r="U217" s="72">
        <v>6</v>
      </c>
      <c r="V217" s="72">
        <v>7</v>
      </c>
      <c r="W217" s="72">
        <v>8</v>
      </c>
      <c r="X217" s="72">
        <v>9</v>
      </c>
      <c r="Y217" s="72">
        <v>10</v>
      </c>
      <c r="Z217" s="72">
        <v>11</v>
      </c>
      <c r="AA217" s="72">
        <v>12</v>
      </c>
      <c r="AB217" s="72">
        <v>13</v>
      </c>
      <c r="AC217" s="72">
        <v>14</v>
      </c>
      <c r="AD217" s="72">
        <v>15</v>
      </c>
      <c r="AE217" s="72">
        <v>16</v>
      </c>
      <c r="AF217" s="72">
        <v>17</v>
      </c>
      <c r="AG217" s="72">
        <v>18</v>
      </c>
      <c r="AH217" s="72">
        <v>19</v>
      </c>
      <c r="AI217" s="72">
        <v>20</v>
      </c>
      <c r="AJ217" s="72">
        <v>21</v>
      </c>
      <c r="AK217" s="72">
        <v>22</v>
      </c>
      <c r="AL217" s="72">
        <v>23</v>
      </c>
    </row>
    <row r="218" spans="1:40" x14ac:dyDescent="0.3">
      <c r="A218" s="904" t="s">
        <v>410</v>
      </c>
      <c r="B218" s="905"/>
      <c r="C218" s="905"/>
      <c r="D218" s="905"/>
      <c r="E218" s="905"/>
      <c r="F218" s="905"/>
      <c r="G218" s="905"/>
      <c r="H218" s="905"/>
      <c r="I218" s="905"/>
      <c r="J218" s="905"/>
      <c r="K218" s="905"/>
      <c r="L218" s="905"/>
      <c r="M218" s="314"/>
      <c r="N218" s="138" t="s">
        <v>461</v>
      </c>
      <c r="O218" s="72" t="b">
        <f t="shared" ref="O218:AL218" si="102">IF($B222=0,0,IF(AND(IF(O$250&gt;=$A222,TRUE,FALSE),IF(O$250&lt;=$B222,TRUE,FALSE)),TRUE,0))</f>
        <v>1</v>
      </c>
      <c r="P218" s="72" t="b">
        <f t="shared" si="102"/>
        <v>1</v>
      </c>
      <c r="Q218" s="72" t="b">
        <f t="shared" si="102"/>
        <v>1</v>
      </c>
      <c r="R218" s="72" t="b">
        <f t="shared" si="102"/>
        <v>1</v>
      </c>
      <c r="S218" s="72" t="b">
        <f t="shared" si="102"/>
        <v>1</v>
      </c>
      <c r="T218" s="72" t="b">
        <f t="shared" si="102"/>
        <v>1</v>
      </c>
      <c r="U218" s="72" t="b">
        <f t="shared" si="102"/>
        <v>1</v>
      </c>
      <c r="V218" s="72" t="b">
        <f t="shared" si="102"/>
        <v>1</v>
      </c>
      <c r="W218" s="72" t="b">
        <f t="shared" si="102"/>
        <v>1</v>
      </c>
      <c r="X218" s="72" t="b">
        <f t="shared" si="102"/>
        <v>1</v>
      </c>
      <c r="Y218" s="72" t="b">
        <f t="shared" si="102"/>
        <v>1</v>
      </c>
      <c r="Z218" s="72" t="b">
        <f t="shared" si="102"/>
        <v>1</v>
      </c>
      <c r="AA218" s="72" t="b">
        <f t="shared" si="102"/>
        <v>1</v>
      </c>
      <c r="AB218" s="72" t="b">
        <f t="shared" si="102"/>
        <v>1</v>
      </c>
      <c r="AC218" s="72" t="b">
        <f t="shared" si="102"/>
        <v>1</v>
      </c>
      <c r="AD218" s="72" t="b">
        <f t="shared" si="102"/>
        <v>1</v>
      </c>
      <c r="AE218" s="72" t="b">
        <f t="shared" si="102"/>
        <v>1</v>
      </c>
      <c r="AF218" s="72" t="b">
        <f t="shared" si="102"/>
        <v>1</v>
      </c>
      <c r="AG218" s="72" t="b">
        <f t="shared" si="102"/>
        <v>1</v>
      </c>
      <c r="AH218" s="72" t="b">
        <f t="shared" si="102"/>
        <v>1</v>
      </c>
      <c r="AI218" s="72" t="b">
        <f t="shared" si="102"/>
        <v>1</v>
      </c>
      <c r="AJ218" s="72" t="b">
        <f t="shared" si="102"/>
        <v>1</v>
      </c>
      <c r="AK218" s="72" t="b">
        <f t="shared" si="102"/>
        <v>1</v>
      </c>
      <c r="AL218" s="72" t="b">
        <f t="shared" si="102"/>
        <v>1</v>
      </c>
    </row>
    <row r="219" spans="1:40" x14ac:dyDescent="0.3">
      <c r="A219" s="870" t="s">
        <v>416</v>
      </c>
      <c r="B219" s="870"/>
      <c r="C219" s="870"/>
      <c r="D219" s="870"/>
      <c r="E219" s="870"/>
      <c r="F219" s="870"/>
      <c r="G219" s="870" t="s">
        <v>420</v>
      </c>
      <c r="H219" s="593"/>
      <c r="I219" s="593"/>
      <c r="J219" s="593"/>
      <c r="K219" s="593"/>
      <c r="L219" s="593"/>
      <c r="M219" s="314"/>
      <c r="N219" s="138" t="s">
        <v>462</v>
      </c>
      <c r="O219" s="72" t="b">
        <f t="shared" ref="O219:AL219" si="103">IF($D222=0,0,IF(AND(IF(O$250&gt;=$C222,TRUE,FALSE),IF(O$250&lt;=$D222,TRUE,FALSE)),TRUE,0))</f>
        <v>1</v>
      </c>
      <c r="P219" s="72" t="b">
        <f t="shared" si="103"/>
        <v>1</v>
      </c>
      <c r="Q219" s="72" t="b">
        <f t="shared" si="103"/>
        <v>1</v>
      </c>
      <c r="R219" s="72" t="b">
        <f t="shared" si="103"/>
        <v>1</v>
      </c>
      <c r="S219" s="72" t="b">
        <f t="shared" si="103"/>
        <v>1</v>
      </c>
      <c r="T219" s="72" t="b">
        <f t="shared" si="103"/>
        <v>1</v>
      </c>
      <c r="U219" s="72" t="b">
        <f t="shared" si="103"/>
        <v>1</v>
      </c>
      <c r="V219" s="72" t="b">
        <f t="shared" si="103"/>
        <v>1</v>
      </c>
      <c r="W219" s="72" t="b">
        <f t="shared" si="103"/>
        <v>1</v>
      </c>
      <c r="X219" s="72" t="b">
        <f t="shared" si="103"/>
        <v>1</v>
      </c>
      <c r="Y219" s="72" t="b">
        <f t="shared" si="103"/>
        <v>1</v>
      </c>
      <c r="Z219" s="72" t="b">
        <f t="shared" si="103"/>
        <v>1</v>
      </c>
      <c r="AA219" s="72" t="b">
        <f t="shared" si="103"/>
        <v>1</v>
      </c>
      <c r="AB219" s="72" t="b">
        <f t="shared" si="103"/>
        <v>1</v>
      </c>
      <c r="AC219" s="72" t="b">
        <f t="shared" si="103"/>
        <v>1</v>
      </c>
      <c r="AD219" s="72" t="b">
        <f t="shared" si="103"/>
        <v>1</v>
      </c>
      <c r="AE219" s="72" t="b">
        <f t="shared" si="103"/>
        <v>1</v>
      </c>
      <c r="AF219" s="72" t="b">
        <f t="shared" si="103"/>
        <v>1</v>
      </c>
      <c r="AG219" s="72" t="b">
        <f t="shared" si="103"/>
        <v>1</v>
      </c>
      <c r="AH219" s="72" t="b">
        <f t="shared" si="103"/>
        <v>1</v>
      </c>
      <c r="AI219" s="72" t="b">
        <f t="shared" si="103"/>
        <v>1</v>
      </c>
      <c r="AJ219" s="72" t="b">
        <f t="shared" si="103"/>
        <v>1</v>
      </c>
      <c r="AK219" s="72" t="b">
        <f t="shared" si="103"/>
        <v>1</v>
      </c>
      <c r="AL219" s="72" t="b">
        <f t="shared" si="103"/>
        <v>1</v>
      </c>
    </row>
    <row r="220" spans="1:40" x14ac:dyDescent="0.3">
      <c r="A220" s="870" t="s">
        <v>417</v>
      </c>
      <c r="B220" s="870"/>
      <c r="C220" s="870" t="s">
        <v>418</v>
      </c>
      <c r="D220" s="870"/>
      <c r="E220" s="870" t="s">
        <v>419</v>
      </c>
      <c r="F220" s="870"/>
      <c r="G220" s="870" t="s">
        <v>417</v>
      </c>
      <c r="H220" s="870"/>
      <c r="I220" s="870" t="s">
        <v>418</v>
      </c>
      <c r="J220" s="870"/>
      <c r="K220" s="870" t="s">
        <v>419</v>
      </c>
      <c r="L220" s="870"/>
      <c r="M220" s="321"/>
      <c r="N220" s="138" t="s">
        <v>463</v>
      </c>
      <c r="O220" s="72" t="b">
        <f t="shared" ref="O220:AL220" si="104">IF($F222=0,0,IF(AND(IF(O$250&gt;=$E222,TRUE,FALSE),IF(O$250&lt;=$F222,TRUE,FALSE)),TRUE,0))</f>
        <v>1</v>
      </c>
      <c r="P220" s="72" t="b">
        <f t="shared" si="104"/>
        <v>1</v>
      </c>
      <c r="Q220" s="72" t="b">
        <f t="shared" si="104"/>
        <v>1</v>
      </c>
      <c r="R220" s="72" t="b">
        <f t="shared" si="104"/>
        <v>1</v>
      </c>
      <c r="S220" s="72" t="b">
        <f t="shared" si="104"/>
        <v>1</v>
      </c>
      <c r="T220" s="72" t="b">
        <f t="shared" si="104"/>
        <v>1</v>
      </c>
      <c r="U220" s="72" t="b">
        <f t="shared" si="104"/>
        <v>1</v>
      </c>
      <c r="V220" s="72" t="b">
        <f t="shared" si="104"/>
        <v>1</v>
      </c>
      <c r="W220" s="72" t="b">
        <f t="shared" si="104"/>
        <v>1</v>
      </c>
      <c r="X220" s="72" t="b">
        <f t="shared" si="104"/>
        <v>1</v>
      </c>
      <c r="Y220" s="72" t="b">
        <f t="shared" si="104"/>
        <v>1</v>
      </c>
      <c r="Z220" s="72" t="b">
        <f t="shared" si="104"/>
        <v>1</v>
      </c>
      <c r="AA220" s="72" t="b">
        <f t="shared" si="104"/>
        <v>1</v>
      </c>
      <c r="AB220" s="72" t="b">
        <f t="shared" si="104"/>
        <v>1</v>
      </c>
      <c r="AC220" s="72" t="b">
        <f t="shared" si="104"/>
        <v>1</v>
      </c>
      <c r="AD220" s="72" t="b">
        <f t="shared" si="104"/>
        <v>1</v>
      </c>
      <c r="AE220" s="72" t="b">
        <f t="shared" si="104"/>
        <v>1</v>
      </c>
      <c r="AF220" s="72" t="b">
        <f t="shared" si="104"/>
        <v>1</v>
      </c>
      <c r="AG220" s="72" t="b">
        <f t="shared" si="104"/>
        <v>1</v>
      </c>
      <c r="AH220" s="72" t="b">
        <f t="shared" si="104"/>
        <v>1</v>
      </c>
      <c r="AI220" s="72" t="b">
        <f t="shared" si="104"/>
        <v>1</v>
      </c>
      <c r="AJ220" s="72" t="b">
        <f t="shared" si="104"/>
        <v>1</v>
      </c>
      <c r="AK220" s="72" t="b">
        <f t="shared" si="104"/>
        <v>1</v>
      </c>
      <c r="AL220" s="72" t="b">
        <f t="shared" si="104"/>
        <v>1</v>
      </c>
    </row>
    <row r="221" spans="1:40" x14ac:dyDescent="0.3">
      <c r="A221" s="21" t="s">
        <v>421</v>
      </c>
      <c r="B221" s="21" t="s">
        <v>422</v>
      </c>
      <c r="C221" s="21" t="s">
        <v>423</v>
      </c>
      <c r="D221" s="21" t="s">
        <v>422</v>
      </c>
      <c r="E221" s="21" t="s">
        <v>421</v>
      </c>
      <c r="F221" s="21" t="s">
        <v>422</v>
      </c>
      <c r="G221" s="21" t="s">
        <v>421</v>
      </c>
      <c r="H221" s="21" t="s">
        <v>422</v>
      </c>
      <c r="I221" s="21" t="s">
        <v>421</v>
      </c>
      <c r="J221" s="21" t="s">
        <v>422</v>
      </c>
      <c r="K221" s="21" t="s">
        <v>421</v>
      </c>
      <c r="L221" s="21" t="s">
        <v>422</v>
      </c>
      <c r="M221" s="321">
        <f>IF(A224&lt;&gt;0,5,0)</f>
        <v>5</v>
      </c>
      <c r="N221" s="869" t="s">
        <v>411</v>
      </c>
      <c r="O221" s="869"/>
      <c r="P221" s="869"/>
      <c r="Q221" s="869"/>
      <c r="R221" s="869"/>
      <c r="S221" s="869"/>
      <c r="T221" s="869"/>
      <c r="U221" s="869"/>
      <c r="V221" s="869"/>
      <c r="W221" s="869"/>
      <c r="X221" s="869"/>
      <c r="Y221" s="869"/>
      <c r="Z221" s="869"/>
      <c r="AA221" s="869"/>
      <c r="AB221" s="869"/>
      <c r="AC221" s="869"/>
      <c r="AD221" s="869"/>
      <c r="AE221" s="869"/>
      <c r="AF221" s="869"/>
      <c r="AG221" s="869"/>
      <c r="AH221" s="869"/>
      <c r="AI221" s="869"/>
      <c r="AJ221" s="869"/>
      <c r="AK221" s="869"/>
      <c r="AL221" s="869"/>
      <c r="AM221" s="869"/>
    </row>
    <row r="222" spans="1:40" x14ac:dyDescent="0.3">
      <c r="A222" s="134">
        <v>0</v>
      </c>
      <c r="B222" s="134">
        <v>24</v>
      </c>
      <c r="C222" s="134">
        <v>0</v>
      </c>
      <c r="D222" s="134">
        <v>24</v>
      </c>
      <c r="E222" s="134">
        <v>0</v>
      </c>
      <c r="F222" s="134">
        <v>24</v>
      </c>
      <c r="G222" s="134">
        <v>0</v>
      </c>
      <c r="H222" s="134">
        <v>24</v>
      </c>
      <c r="I222" s="134">
        <v>0</v>
      </c>
      <c r="J222" s="134">
        <v>24</v>
      </c>
      <c r="K222" s="134">
        <v>0</v>
      </c>
      <c r="L222" s="134">
        <v>24</v>
      </c>
      <c r="M222" s="321">
        <f>IF(C224&lt;&gt;0,1,0)</f>
        <v>1</v>
      </c>
      <c r="N222" s="871" t="s">
        <v>482</v>
      </c>
      <c r="O222" s="871"/>
      <c r="P222" s="871"/>
      <c r="Q222" s="871"/>
      <c r="R222" s="871"/>
      <c r="S222" s="871"/>
      <c r="T222" s="871"/>
      <c r="U222" s="871"/>
      <c r="V222" s="871"/>
      <c r="W222" s="871"/>
      <c r="X222" s="871"/>
      <c r="Y222" s="871"/>
      <c r="Z222" s="871"/>
      <c r="AA222" s="871"/>
      <c r="AB222" s="871"/>
      <c r="AC222" s="871"/>
      <c r="AD222" s="871"/>
      <c r="AE222" s="871"/>
      <c r="AF222" s="871"/>
      <c r="AG222" s="871"/>
      <c r="AH222" s="871"/>
      <c r="AI222" s="871"/>
      <c r="AJ222" s="871"/>
      <c r="AK222" s="871"/>
      <c r="AL222" s="871"/>
      <c r="AM222" s="871"/>
    </row>
    <row r="223" spans="1:40" x14ac:dyDescent="0.3">
      <c r="A223" s="870" t="s">
        <v>424</v>
      </c>
      <c r="B223" s="870"/>
      <c r="C223" s="870" t="s">
        <v>424</v>
      </c>
      <c r="D223" s="870"/>
      <c r="E223" s="870" t="s">
        <v>424</v>
      </c>
      <c r="F223" s="870"/>
      <c r="G223" s="870" t="s">
        <v>424</v>
      </c>
      <c r="H223" s="870"/>
      <c r="I223" s="870" t="s">
        <v>424</v>
      </c>
      <c r="J223" s="870"/>
      <c r="K223" s="870" t="s">
        <v>424</v>
      </c>
      <c r="L223" s="870"/>
      <c r="M223" s="321">
        <f>IF(E224&lt;&gt;0,1,0)</f>
        <v>1</v>
      </c>
      <c r="O223" s="72">
        <v>0</v>
      </c>
      <c r="P223" s="72">
        <v>1</v>
      </c>
      <c r="Q223" s="72">
        <v>2</v>
      </c>
      <c r="R223" s="72">
        <v>3</v>
      </c>
      <c r="S223" s="72">
        <v>4</v>
      </c>
      <c r="T223" s="72">
        <v>5</v>
      </c>
      <c r="U223" s="72">
        <v>6</v>
      </c>
      <c r="V223" s="72">
        <v>7</v>
      </c>
      <c r="W223" s="72">
        <v>8</v>
      </c>
      <c r="X223" s="72">
        <v>9</v>
      </c>
      <c r="Y223" s="72">
        <v>10</v>
      </c>
      <c r="Z223" s="72">
        <v>11</v>
      </c>
      <c r="AA223" s="72">
        <v>12</v>
      </c>
      <c r="AB223" s="72">
        <v>13</v>
      </c>
      <c r="AC223" s="72">
        <v>14</v>
      </c>
      <c r="AD223" s="72">
        <v>15</v>
      </c>
      <c r="AE223" s="72">
        <v>16</v>
      </c>
      <c r="AF223" s="72">
        <v>17</v>
      </c>
      <c r="AG223" s="72">
        <v>18</v>
      </c>
      <c r="AH223" s="72">
        <v>19</v>
      </c>
      <c r="AI223" s="72">
        <v>20</v>
      </c>
      <c r="AJ223" s="72">
        <v>21</v>
      </c>
      <c r="AK223" s="72">
        <v>22</v>
      </c>
      <c r="AL223" s="72">
        <v>23</v>
      </c>
    </row>
    <row r="224" spans="1:40" x14ac:dyDescent="0.3">
      <c r="A224" s="870">
        <f>IF(A222=B222,0,IF(B222&gt;A222,B222-A222,24-A222+B222))</f>
        <v>24</v>
      </c>
      <c r="B224" s="870"/>
      <c r="C224" s="870">
        <f>IF(C222=D222,0,IF(D222&gt;C222,D222-C222,24-C222+D222))</f>
        <v>24</v>
      </c>
      <c r="D224" s="870"/>
      <c r="E224" s="870">
        <f>IF(E222=F222,0,IF(F222&gt;E222,F222-E222,24-E222+F222))</f>
        <v>24</v>
      </c>
      <c r="F224" s="870"/>
      <c r="G224" s="870">
        <f>IF(G222=H222,0,IF(H222&gt;G222,H222-G222,24-G222+H222))</f>
        <v>24</v>
      </c>
      <c r="H224" s="870"/>
      <c r="I224" s="870">
        <f>IF(I222=J222,0,IF(J222&gt;I222,J222-I222,24-I222+J222))</f>
        <v>24</v>
      </c>
      <c r="J224" s="870"/>
      <c r="K224" s="870">
        <f>IF(K222=L222,0,IF(L222&gt;K222,L222-K222,24-K222+L222))</f>
        <v>24</v>
      </c>
      <c r="L224" s="870"/>
      <c r="M224" s="321">
        <f>SUM(M221:M223)</f>
        <v>7</v>
      </c>
      <c r="N224" s="138" t="s">
        <v>461</v>
      </c>
      <c r="O224" s="72" t="b">
        <f t="shared" ref="O224:AL224" si="105">IF($B230=0,0,IF(AND(IF(O$250&gt;=$A230,TRUE,FALSE),IF(O$250&lt;=$B230,TRUE,FALSE)),TRUE,0))</f>
        <v>1</v>
      </c>
      <c r="P224" s="72" t="b">
        <f t="shared" si="105"/>
        <v>1</v>
      </c>
      <c r="Q224" s="72" t="b">
        <f t="shared" si="105"/>
        <v>1</v>
      </c>
      <c r="R224" s="72" t="b">
        <f t="shared" si="105"/>
        <v>1</v>
      </c>
      <c r="S224" s="72" t="b">
        <f t="shared" si="105"/>
        <v>1</v>
      </c>
      <c r="T224" s="72" t="b">
        <f t="shared" si="105"/>
        <v>1</v>
      </c>
      <c r="U224" s="72" t="b">
        <f t="shared" si="105"/>
        <v>1</v>
      </c>
      <c r="V224" s="72" t="b">
        <f t="shared" si="105"/>
        <v>1</v>
      </c>
      <c r="W224" s="72" t="b">
        <f t="shared" si="105"/>
        <v>1</v>
      </c>
      <c r="X224" s="72" t="b">
        <f t="shared" si="105"/>
        <v>1</v>
      </c>
      <c r="Y224" s="72" t="b">
        <f t="shared" si="105"/>
        <v>1</v>
      </c>
      <c r="Z224" s="72" t="b">
        <f t="shared" si="105"/>
        <v>1</v>
      </c>
      <c r="AA224" s="72" t="b">
        <f t="shared" si="105"/>
        <v>1</v>
      </c>
      <c r="AB224" s="72" t="b">
        <f t="shared" si="105"/>
        <v>1</v>
      </c>
      <c r="AC224" s="72" t="b">
        <f t="shared" si="105"/>
        <v>1</v>
      </c>
      <c r="AD224" s="72" t="b">
        <f t="shared" si="105"/>
        <v>1</v>
      </c>
      <c r="AE224" s="72" t="b">
        <f t="shared" si="105"/>
        <v>1</v>
      </c>
      <c r="AF224" s="72" t="b">
        <f t="shared" si="105"/>
        <v>1</v>
      </c>
      <c r="AG224" s="72" t="b">
        <f t="shared" si="105"/>
        <v>1</v>
      </c>
      <c r="AH224" s="72" t="b">
        <f t="shared" si="105"/>
        <v>1</v>
      </c>
      <c r="AI224" s="72" t="b">
        <f t="shared" si="105"/>
        <v>1</v>
      </c>
      <c r="AJ224" s="72" t="b">
        <f t="shared" si="105"/>
        <v>1</v>
      </c>
      <c r="AK224" s="72" t="b">
        <f t="shared" si="105"/>
        <v>1</v>
      </c>
      <c r="AL224" s="72" t="b">
        <f t="shared" si="105"/>
        <v>1</v>
      </c>
    </row>
    <row r="225" spans="1:40" x14ac:dyDescent="0.3">
      <c r="A225" s="43"/>
      <c r="B225" s="43"/>
      <c r="C225" s="43"/>
      <c r="D225" s="43"/>
      <c r="E225" s="43"/>
      <c r="F225" s="43"/>
      <c r="G225" s="43"/>
      <c r="H225" s="43"/>
      <c r="I225" s="43"/>
      <c r="J225" s="43"/>
      <c r="K225" s="43"/>
      <c r="L225" s="106"/>
      <c r="M225" s="109"/>
      <c r="N225" s="138" t="s">
        <v>462</v>
      </c>
      <c r="O225" s="72" t="b">
        <f t="shared" ref="O225:AL225" si="106">IF($D230=0,0,IF(AND(IF(O$250&gt;=$C230,TRUE,FALSE),IF(O$250&lt;=$D230,TRUE,FALSE)),TRUE,0))</f>
        <v>1</v>
      </c>
      <c r="P225" s="72" t="b">
        <f t="shared" si="106"/>
        <v>1</v>
      </c>
      <c r="Q225" s="72" t="b">
        <f t="shared" si="106"/>
        <v>1</v>
      </c>
      <c r="R225" s="72" t="b">
        <f t="shared" si="106"/>
        <v>1</v>
      </c>
      <c r="S225" s="72" t="b">
        <f t="shared" si="106"/>
        <v>1</v>
      </c>
      <c r="T225" s="72" t="b">
        <f t="shared" si="106"/>
        <v>1</v>
      </c>
      <c r="U225" s="72" t="b">
        <f t="shared" si="106"/>
        <v>1</v>
      </c>
      <c r="V225" s="72" t="b">
        <f t="shared" si="106"/>
        <v>1</v>
      </c>
      <c r="W225" s="72" t="b">
        <f t="shared" si="106"/>
        <v>1</v>
      </c>
      <c r="X225" s="72" t="b">
        <f t="shared" si="106"/>
        <v>1</v>
      </c>
      <c r="Y225" s="72" t="b">
        <f t="shared" si="106"/>
        <v>1</v>
      </c>
      <c r="Z225" s="72" t="b">
        <f t="shared" si="106"/>
        <v>1</v>
      </c>
      <c r="AA225" s="72" t="b">
        <f t="shared" si="106"/>
        <v>1</v>
      </c>
      <c r="AB225" s="72" t="b">
        <f t="shared" si="106"/>
        <v>1</v>
      </c>
      <c r="AC225" s="72" t="b">
        <f t="shared" si="106"/>
        <v>1</v>
      </c>
      <c r="AD225" s="72" t="b">
        <f t="shared" si="106"/>
        <v>1</v>
      </c>
      <c r="AE225" s="72" t="b">
        <f t="shared" si="106"/>
        <v>1</v>
      </c>
      <c r="AF225" s="72" t="b">
        <f t="shared" si="106"/>
        <v>1</v>
      </c>
      <c r="AG225" s="72" t="b">
        <f t="shared" si="106"/>
        <v>1</v>
      </c>
      <c r="AH225" s="72" t="b">
        <f t="shared" si="106"/>
        <v>1</v>
      </c>
      <c r="AI225" s="72" t="b">
        <f t="shared" si="106"/>
        <v>1</v>
      </c>
      <c r="AJ225" s="72" t="b">
        <f t="shared" si="106"/>
        <v>1</v>
      </c>
      <c r="AK225" s="72" t="b">
        <f t="shared" si="106"/>
        <v>1</v>
      </c>
      <c r="AL225" s="72" t="b">
        <f t="shared" si="106"/>
        <v>1</v>
      </c>
    </row>
    <row r="226" spans="1:40" x14ac:dyDescent="0.3">
      <c r="A226" s="904" t="s">
        <v>411</v>
      </c>
      <c r="B226" s="905"/>
      <c r="C226" s="905"/>
      <c r="D226" s="905"/>
      <c r="E226" s="905"/>
      <c r="F226" s="905"/>
      <c r="G226" s="905"/>
      <c r="H226" s="905"/>
      <c r="I226" s="905"/>
      <c r="J226" s="905"/>
      <c r="K226" s="905"/>
      <c r="L226" s="905"/>
      <c r="M226" s="314"/>
      <c r="N226" s="138" t="s">
        <v>463</v>
      </c>
      <c r="O226" s="72" t="b">
        <f t="shared" ref="O226:AL226" si="107">IF($F230=0,0,IF(AND(IF(O$250&gt;=$E230,TRUE,FALSE),IF(O$250&lt;=$F230,TRUE,FALSE)),TRUE,0))</f>
        <v>1</v>
      </c>
      <c r="P226" s="72" t="b">
        <f t="shared" si="107"/>
        <v>1</v>
      </c>
      <c r="Q226" s="72" t="b">
        <f t="shared" si="107"/>
        <v>1</v>
      </c>
      <c r="R226" s="72" t="b">
        <f t="shared" si="107"/>
        <v>1</v>
      </c>
      <c r="S226" s="72" t="b">
        <f t="shared" si="107"/>
        <v>1</v>
      </c>
      <c r="T226" s="72" t="b">
        <f t="shared" si="107"/>
        <v>1</v>
      </c>
      <c r="U226" s="72" t="b">
        <f t="shared" si="107"/>
        <v>1</v>
      </c>
      <c r="V226" s="72" t="b">
        <f t="shared" si="107"/>
        <v>1</v>
      </c>
      <c r="W226" s="72" t="b">
        <f t="shared" si="107"/>
        <v>1</v>
      </c>
      <c r="X226" s="72" t="b">
        <f t="shared" si="107"/>
        <v>1</v>
      </c>
      <c r="Y226" s="72" t="b">
        <f t="shared" si="107"/>
        <v>1</v>
      </c>
      <c r="Z226" s="72" t="b">
        <f t="shared" si="107"/>
        <v>1</v>
      </c>
      <c r="AA226" s="72" t="b">
        <f t="shared" si="107"/>
        <v>1</v>
      </c>
      <c r="AB226" s="72" t="b">
        <f t="shared" si="107"/>
        <v>1</v>
      </c>
      <c r="AC226" s="72" t="b">
        <f t="shared" si="107"/>
        <v>1</v>
      </c>
      <c r="AD226" s="72" t="b">
        <f t="shared" si="107"/>
        <v>1</v>
      </c>
      <c r="AE226" s="72" t="b">
        <f t="shared" si="107"/>
        <v>1</v>
      </c>
      <c r="AF226" s="72" t="b">
        <f t="shared" si="107"/>
        <v>1</v>
      </c>
      <c r="AG226" s="72" t="b">
        <f t="shared" si="107"/>
        <v>1</v>
      </c>
      <c r="AH226" s="72" t="b">
        <f t="shared" si="107"/>
        <v>1</v>
      </c>
      <c r="AI226" s="72" t="b">
        <f t="shared" si="107"/>
        <v>1</v>
      </c>
      <c r="AJ226" s="72" t="b">
        <f t="shared" si="107"/>
        <v>1</v>
      </c>
      <c r="AK226" s="72" t="b">
        <f t="shared" si="107"/>
        <v>1</v>
      </c>
      <c r="AL226" s="72" t="b">
        <f t="shared" si="107"/>
        <v>1</v>
      </c>
    </row>
    <row r="227" spans="1:40" x14ac:dyDescent="0.3">
      <c r="A227" s="870" t="s">
        <v>416</v>
      </c>
      <c r="B227" s="870"/>
      <c r="C227" s="870"/>
      <c r="D227" s="870"/>
      <c r="E227" s="870"/>
      <c r="F227" s="870"/>
      <c r="G227" s="870" t="s">
        <v>430</v>
      </c>
      <c r="H227" s="593"/>
      <c r="I227" s="593"/>
      <c r="J227" s="593"/>
      <c r="K227" s="593"/>
      <c r="L227" s="593"/>
      <c r="M227" s="314"/>
    </row>
    <row r="228" spans="1:40" x14ac:dyDescent="0.3">
      <c r="A228" s="870" t="s">
        <v>417</v>
      </c>
      <c r="B228" s="870"/>
      <c r="C228" s="870" t="s">
        <v>418</v>
      </c>
      <c r="D228" s="870"/>
      <c r="E228" s="870" t="s">
        <v>419</v>
      </c>
      <c r="F228" s="870"/>
      <c r="G228" s="870" t="s">
        <v>417</v>
      </c>
      <c r="H228" s="870"/>
      <c r="I228" s="870" t="s">
        <v>418</v>
      </c>
      <c r="J228" s="870"/>
      <c r="K228" s="870" t="s">
        <v>419</v>
      </c>
      <c r="L228" s="870"/>
      <c r="M228" s="321"/>
      <c r="N228" s="1" t="s">
        <v>469</v>
      </c>
      <c r="O228" s="159">
        <f>O218*23+O219*4+O220*4</f>
        <v>31</v>
      </c>
      <c r="P228" s="159">
        <f t="shared" ref="P228:AL228" si="108">P218*23+P219*4+P220*4</f>
        <v>31</v>
      </c>
      <c r="Q228" s="159">
        <f t="shared" si="108"/>
        <v>31</v>
      </c>
      <c r="R228" s="159">
        <f t="shared" si="108"/>
        <v>31</v>
      </c>
      <c r="S228" s="159">
        <f t="shared" si="108"/>
        <v>31</v>
      </c>
      <c r="T228" s="159">
        <f t="shared" si="108"/>
        <v>31</v>
      </c>
      <c r="U228" s="159">
        <f t="shared" si="108"/>
        <v>31</v>
      </c>
      <c r="V228" s="159">
        <f t="shared" si="108"/>
        <v>31</v>
      </c>
      <c r="W228" s="159">
        <f t="shared" si="108"/>
        <v>31</v>
      </c>
      <c r="X228" s="159">
        <f t="shared" si="108"/>
        <v>31</v>
      </c>
      <c r="Y228" s="159">
        <f t="shared" si="108"/>
        <v>31</v>
      </c>
      <c r="Z228" s="159">
        <f t="shared" si="108"/>
        <v>31</v>
      </c>
      <c r="AA228" s="159">
        <f t="shared" si="108"/>
        <v>31</v>
      </c>
      <c r="AB228" s="159">
        <f t="shared" si="108"/>
        <v>31</v>
      </c>
      <c r="AC228" s="159">
        <f t="shared" si="108"/>
        <v>31</v>
      </c>
      <c r="AD228" s="159">
        <f t="shared" si="108"/>
        <v>31</v>
      </c>
      <c r="AE228" s="159">
        <f t="shared" si="108"/>
        <v>31</v>
      </c>
      <c r="AF228" s="159">
        <f t="shared" si="108"/>
        <v>31</v>
      </c>
      <c r="AG228" s="159">
        <f t="shared" si="108"/>
        <v>31</v>
      </c>
      <c r="AH228" s="159">
        <f t="shared" si="108"/>
        <v>31</v>
      </c>
      <c r="AI228" s="159">
        <f t="shared" si="108"/>
        <v>31</v>
      </c>
      <c r="AJ228" s="159">
        <f t="shared" si="108"/>
        <v>31</v>
      </c>
      <c r="AK228" s="159">
        <f t="shared" si="108"/>
        <v>31</v>
      </c>
      <c r="AL228" s="159">
        <f t="shared" si="108"/>
        <v>31</v>
      </c>
    </row>
    <row r="229" spans="1:40" x14ac:dyDescent="0.3">
      <c r="A229" s="21" t="s">
        <v>421</v>
      </c>
      <c r="B229" s="21" t="s">
        <v>422</v>
      </c>
      <c r="C229" s="21" t="s">
        <v>423</v>
      </c>
      <c r="D229" s="21" t="s">
        <v>422</v>
      </c>
      <c r="E229" s="21" t="s">
        <v>421</v>
      </c>
      <c r="F229" s="21" t="s">
        <v>422</v>
      </c>
      <c r="G229" s="21" t="s">
        <v>421</v>
      </c>
      <c r="H229" s="21" t="s">
        <v>422</v>
      </c>
      <c r="I229" s="21" t="s">
        <v>421</v>
      </c>
      <c r="J229" s="21" t="s">
        <v>422</v>
      </c>
      <c r="K229" s="21" t="s">
        <v>421</v>
      </c>
      <c r="L229" s="21" t="s">
        <v>422</v>
      </c>
      <c r="M229" s="321"/>
      <c r="N229" s="1" t="s">
        <v>470</v>
      </c>
      <c r="O229" s="159">
        <f>O218*20+O219*4+O220*4</f>
        <v>28</v>
      </c>
      <c r="P229" s="159">
        <f t="shared" ref="P229:AL229" si="109">P218*20+P219*4+P220*4</f>
        <v>28</v>
      </c>
      <c r="Q229" s="159">
        <f t="shared" si="109"/>
        <v>28</v>
      </c>
      <c r="R229" s="159">
        <f t="shared" si="109"/>
        <v>28</v>
      </c>
      <c r="S229" s="159">
        <f t="shared" si="109"/>
        <v>28</v>
      </c>
      <c r="T229" s="159">
        <f t="shared" si="109"/>
        <v>28</v>
      </c>
      <c r="U229" s="159">
        <f t="shared" si="109"/>
        <v>28</v>
      </c>
      <c r="V229" s="159">
        <f t="shared" si="109"/>
        <v>28</v>
      </c>
      <c r="W229" s="159">
        <f t="shared" si="109"/>
        <v>28</v>
      </c>
      <c r="X229" s="159">
        <f t="shared" si="109"/>
        <v>28</v>
      </c>
      <c r="Y229" s="159">
        <f t="shared" si="109"/>
        <v>28</v>
      </c>
      <c r="Z229" s="159">
        <f t="shared" si="109"/>
        <v>28</v>
      </c>
      <c r="AA229" s="159">
        <f t="shared" si="109"/>
        <v>28</v>
      </c>
      <c r="AB229" s="159">
        <f t="shared" si="109"/>
        <v>28</v>
      </c>
      <c r="AC229" s="159">
        <f t="shared" si="109"/>
        <v>28</v>
      </c>
      <c r="AD229" s="159">
        <f t="shared" si="109"/>
        <v>28</v>
      </c>
      <c r="AE229" s="159">
        <f t="shared" si="109"/>
        <v>28</v>
      </c>
      <c r="AF229" s="159">
        <f t="shared" si="109"/>
        <v>28</v>
      </c>
      <c r="AG229" s="159">
        <f t="shared" si="109"/>
        <v>28</v>
      </c>
      <c r="AH229" s="159">
        <f t="shared" si="109"/>
        <v>28</v>
      </c>
      <c r="AI229" s="159">
        <f t="shared" si="109"/>
        <v>28</v>
      </c>
      <c r="AJ229" s="159">
        <f t="shared" si="109"/>
        <v>28</v>
      </c>
      <c r="AK229" s="159">
        <f t="shared" si="109"/>
        <v>28</v>
      </c>
      <c r="AL229" s="159">
        <f t="shared" si="109"/>
        <v>28</v>
      </c>
    </row>
    <row r="230" spans="1:40" x14ac:dyDescent="0.3">
      <c r="A230" s="134">
        <v>0</v>
      </c>
      <c r="B230" s="134">
        <v>24</v>
      </c>
      <c r="C230" s="134">
        <v>0</v>
      </c>
      <c r="D230" s="134">
        <v>24</v>
      </c>
      <c r="E230" s="134">
        <v>0</v>
      </c>
      <c r="F230" s="134">
        <v>24</v>
      </c>
      <c r="G230" s="134">
        <v>0</v>
      </c>
      <c r="H230" s="134">
        <v>24</v>
      </c>
      <c r="I230" s="134">
        <v>0</v>
      </c>
      <c r="J230" s="134">
        <v>24</v>
      </c>
      <c r="K230" s="134">
        <v>0</v>
      </c>
      <c r="L230" s="134">
        <v>24</v>
      </c>
      <c r="M230" s="321"/>
      <c r="N230" s="1" t="s">
        <v>471</v>
      </c>
      <c r="O230" s="159">
        <f>O218*23+O219*4+O220*4</f>
        <v>31</v>
      </c>
      <c r="P230" s="159">
        <f t="shared" ref="P230:AL230" si="110">P218*23+P219*4+P220*4</f>
        <v>31</v>
      </c>
      <c r="Q230" s="159">
        <f t="shared" si="110"/>
        <v>31</v>
      </c>
      <c r="R230" s="159">
        <f t="shared" si="110"/>
        <v>31</v>
      </c>
      <c r="S230" s="159">
        <f t="shared" si="110"/>
        <v>31</v>
      </c>
      <c r="T230" s="159">
        <f t="shared" si="110"/>
        <v>31</v>
      </c>
      <c r="U230" s="159">
        <f t="shared" si="110"/>
        <v>31</v>
      </c>
      <c r="V230" s="159">
        <f t="shared" si="110"/>
        <v>31</v>
      </c>
      <c r="W230" s="159">
        <f t="shared" si="110"/>
        <v>31</v>
      </c>
      <c r="X230" s="159">
        <f t="shared" si="110"/>
        <v>31</v>
      </c>
      <c r="Y230" s="159">
        <f t="shared" si="110"/>
        <v>31</v>
      </c>
      <c r="Z230" s="159">
        <f t="shared" si="110"/>
        <v>31</v>
      </c>
      <c r="AA230" s="159">
        <f t="shared" si="110"/>
        <v>31</v>
      </c>
      <c r="AB230" s="159">
        <f t="shared" si="110"/>
        <v>31</v>
      </c>
      <c r="AC230" s="159">
        <f t="shared" si="110"/>
        <v>31</v>
      </c>
      <c r="AD230" s="159">
        <f t="shared" si="110"/>
        <v>31</v>
      </c>
      <c r="AE230" s="159">
        <f t="shared" si="110"/>
        <v>31</v>
      </c>
      <c r="AF230" s="159">
        <f t="shared" si="110"/>
        <v>31</v>
      </c>
      <c r="AG230" s="159">
        <f t="shared" si="110"/>
        <v>31</v>
      </c>
      <c r="AH230" s="159">
        <f t="shared" si="110"/>
        <v>31</v>
      </c>
      <c r="AI230" s="159">
        <f t="shared" si="110"/>
        <v>31</v>
      </c>
      <c r="AJ230" s="159">
        <f t="shared" si="110"/>
        <v>31</v>
      </c>
      <c r="AK230" s="159">
        <f t="shared" si="110"/>
        <v>31</v>
      </c>
      <c r="AL230" s="159">
        <f t="shared" si="110"/>
        <v>31</v>
      </c>
    </row>
    <row r="231" spans="1:40" x14ac:dyDescent="0.3">
      <c r="A231" s="870" t="s">
        <v>424</v>
      </c>
      <c r="B231" s="870"/>
      <c r="C231" s="870" t="s">
        <v>424</v>
      </c>
      <c r="D231" s="870"/>
      <c r="E231" s="870" t="s">
        <v>424</v>
      </c>
      <c r="F231" s="870"/>
      <c r="G231" s="870" t="s">
        <v>424</v>
      </c>
      <c r="H231" s="870"/>
      <c r="I231" s="870" t="s">
        <v>424</v>
      </c>
      <c r="J231" s="870"/>
      <c r="K231" s="870" t="s">
        <v>424</v>
      </c>
      <c r="L231" s="870"/>
      <c r="M231" s="321"/>
      <c r="N231" s="1" t="s">
        <v>472</v>
      </c>
      <c r="O231" s="159">
        <f t="shared" ref="O231:AL231" ca="1" si="111">O218*$Q170+O219*$P170+O220*$P170</f>
        <v>19</v>
      </c>
      <c r="P231" s="159">
        <f t="shared" ca="1" si="111"/>
        <v>19</v>
      </c>
      <c r="Q231" s="159">
        <f t="shared" ca="1" si="111"/>
        <v>19</v>
      </c>
      <c r="R231" s="159">
        <f t="shared" ca="1" si="111"/>
        <v>19</v>
      </c>
      <c r="S231" s="159">
        <f t="shared" ca="1" si="111"/>
        <v>19</v>
      </c>
      <c r="T231" s="159">
        <f t="shared" ca="1" si="111"/>
        <v>19</v>
      </c>
      <c r="U231" s="159">
        <f t="shared" ca="1" si="111"/>
        <v>19</v>
      </c>
      <c r="V231" s="159">
        <f t="shared" ca="1" si="111"/>
        <v>19</v>
      </c>
      <c r="W231" s="159">
        <f t="shared" ca="1" si="111"/>
        <v>19</v>
      </c>
      <c r="X231" s="159">
        <f t="shared" ca="1" si="111"/>
        <v>19</v>
      </c>
      <c r="Y231" s="159">
        <f t="shared" ca="1" si="111"/>
        <v>19</v>
      </c>
      <c r="Z231" s="159">
        <f t="shared" ca="1" si="111"/>
        <v>19</v>
      </c>
      <c r="AA231" s="159">
        <f t="shared" ca="1" si="111"/>
        <v>19</v>
      </c>
      <c r="AB231" s="159">
        <f t="shared" ca="1" si="111"/>
        <v>19</v>
      </c>
      <c r="AC231" s="159">
        <f t="shared" ca="1" si="111"/>
        <v>19</v>
      </c>
      <c r="AD231" s="159">
        <f t="shared" ca="1" si="111"/>
        <v>19</v>
      </c>
      <c r="AE231" s="159">
        <f t="shared" ca="1" si="111"/>
        <v>19</v>
      </c>
      <c r="AF231" s="159">
        <f t="shared" ca="1" si="111"/>
        <v>19</v>
      </c>
      <c r="AG231" s="159">
        <f t="shared" ca="1" si="111"/>
        <v>19</v>
      </c>
      <c r="AH231" s="159">
        <f t="shared" ca="1" si="111"/>
        <v>19</v>
      </c>
      <c r="AI231" s="159">
        <f t="shared" ca="1" si="111"/>
        <v>19</v>
      </c>
      <c r="AJ231" s="159">
        <f t="shared" ca="1" si="111"/>
        <v>19</v>
      </c>
      <c r="AK231" s="159">
        <f t="shared" ca="1" si="111"/>
        <v>19</v>
      </c>
      <c r="AL231" s="159">
        <f t="shared" ca="1" si="111"/>
        <v>19</v>
      </c>
    </row>
    <row r="232" spans="1:40" x14ac:dyDescent="0.3">
      <c r="A232" s="870">
        <f>IF(A230=B230,0,IF(B230&gt;A230,B230-A230,24-A230+B230))</f>
        <v>24</v>
      </c>
      <c r="B232" s="870"/>
      <c r="C232" s="870">
        <f>IF(C230=D230,0,IF(D230&gt;C230,D230-C230,24-C230+D230))</f>
        <v>24</v>
      </c>
      <c r="D232" s="870"/>
      <c r="E232" s="870">
        <f>IF(E230=F230,0,IF(F230&gt;E230,F230-E230,24-E230+F230))</f>
        <v>24</v>
      </c>
      <c r="F232" s="870"/>
      <c r="G232" s="870">
        <f>IF(G230=H230,0,IF(H230&gt;G230,H230-G230,24-G230+H230))</f>
        <v>24</v>
      </c>
      <c r="H232" s="870"/>
      <c r="I232" s="870">
        <f>IF(I230=J230,0,IF(J230&gt;I230,J230-I230,24-I230+J230))</f>
        <v>24</v>
      </c>
      <c r="J232" s="870"/>
      <c r="K232" s="870">
        <f>IF(K230=L230,0,IF(L230&gt;K230,L230-K230,24-K230+L230))</f>
        <v>24</v>
      </c>
      <c r="L232" s="870"/>
      <c r="M232" s="321"/>
      <c r="N232" s="1" t="s">
        <v>473</v>
      </c>
      <c r="O232" s="158">
        <f>O224*23+O225*4+O226*4</f>
        <v>31</v>
      </c>
      <c r="P232" s="158">
        <f t="shared" ref="P232:AL232" si="112">P224*23+P225*4+P226*4</f>
        <v>31</v>
      </c>
      <c r="Q232" s="158">
        <f t="shared" si="112"/>
        <v>31</v>
      </c>
      <c r="R232" s="158">
        <f t="shared" si="112"/>
        <v>31</v>
      </c>
      <c r="S232" s="158">
        <f t="shared" si="112"/>
        <v>31</v>
      </c>
      <c r="T232" s="158">
        <f t="shared" si="112"/>
        <v>31</v>
      </c>
      <c r="U232" s="158">
        <f t="shared" si="112"/>
        <v>31</v>
      </c>
      <c r="V232" s="158">
        <f t="shared" si="112"/>
        <v>31</v>
      </c>
      <c r="W232" s="158">
        <f t="shared" si="112"/>
        <v>31</v>
      </c>
      <c r="X232" s="158">
        <f t="shared" si="112"/>
        <v>31</v>
      </c>
      <c r="Y232" s="158">
        <f t="shared" si="112"/>
        <v>31</v>
      </c>
      <c r="Z232" s="158">
        <f t="shared" si="112"/>
        <v>31</v>
      </c>
      <c r="AA232" s="158">
        <f t="shared" si="112"/>
        <v>31</v>
      </c>
      <c r="AB232" s="158">
        <f t="shared" si="112"/>
        <v>31</v>
      </c>
      <c r="AC232" s="158">
        <f t="shared" si="112"/>
        <v>31</v>
      </c>
      <c r="AD232" s="158">
        <f t="shared" si="112"/>
        <v>31</v>
      </c>
      <c r="AE232" s="158">
        <f t="shared" si="112"/>
        <v>31</v>
      </c>
      <c r="AF232" s="158">
        <f t="shared" si="112"/>
        <v>31</v>
      </c>
      <c r="AG232" s="158">
        <f t="shared" si="112"/>
        <v>31</v>
      </c>
      <c r="AH232" s="158">
        <f t="shared" si="112"/>
        <v>31</v>
      </c>
      <c r="AI232" s="158">
        <f t="shared" si="112"/>
        <v>31</v>
      </c>
      <c r="AJ232" s="158">
        <f t="shared" si="112"/>
        <v>31</v>
      </c>
      <c r="AK232" s="158">
        <f t="shared" si="112"/>
        <v>31</v>
      </c>
      <c r="AL232" s="158">
        <f t="shared" si="112"/>
        <v>31</v>
      </c>
      <c r="AN232" s="24">
        <f>SUM(O232:AL232)</f>
        <v>744</v>
      </c>
    </row>
    <row r="233" spans="1:40" x14ac:dyDescent="0.3">
      <c r="A233" s="43"/>
      <c r="B233" s="43"/>
      <c r="C233" s="43"/>
      <c r="D233" s="43"/>
      <c r="E233" s="43"/>
      <c r="F233" s="43"/>
      <c r="G233" s="43"/>
      <c r="H233" s="43"/>
      <c r="I233" s="43"/>
      <c r="J233" s="43"/>
      <c r="K233" s="43"/>
      <c r="L233" s="106"/>
      <c r="M233" s="109"/>
      <c r="N233" s="1" t="s">
        <v>474</v>
      </c>
      <c r="O233" s="158">
        <f>O224*22+O225*4+O226*4</f>
        <v>30</v>
      </c>
      <c r="P233" s="158">
        <f t="shared" ref="P233:AL233" si="113">P224*22+P225*4+P226*4</f>
        <v>30</v>
      </c>
      <c r="Q233" s="158">
        <f t="shared" si="113"/>
        <v>30</v>
      </c>
      <c r="R233" s="158">
        <f t="shared" si="113"/>
        <v>30</v>
      </c>
      <c r="S233" s="158">
        <f t="shared" si="113"/>
        <v>30</v>
      </c>
      <c r="T233" s="158">
        <f t="shared" si="113"/>
        <v>30</v>
      </c>
      <c r="U233" s="158">
        <f t="shared" si="113"/>
        <v>30</v>
      </c>
      <c r="V233" s="158">
        <f t="shared" si="113"/>
        <v>30</v>
      </c>
      <c r="W233" s="158">
        <f t="shared" si="113"/>
        <v>30</v>
      </c>
      <c r="X233" s="158">
        <f t="shared" si="113"/>
        <v>30</v>
      </c>
      <c r="Y233" s="158">
        <f t="shared" si="113"/>
        <v>30</v>
      </c>
      <c r="Z233" s="158">
        <f t="shared" si="113"/>
        <v>30</v>
      </c>
      <c r="AA233" s="158">
        <f t="shared" si="113"/>
        <v>30</v>
      </c>
      <c r="AB233" s="158">
        <f t="shared" si="113"/>
        <v>30</v>
      </c>
      <c r="AC233" s="158">
        <f t="shared" si="113"/>
        <v>30</v>
      </c>
      <c r="AD233" s="158">
        <f t="shared" si="113"/>
        <v>30</v>
      </c>
      <c r="AE233" s="158">
        <f t="shared" si="113"/>
        <v>30</v>
      </c>
      <c r="AF233" s="158">
        <f t="shared" si="113"/>
        <v>30</v>
      </c>
      <c r="AG233" s="158">
        <f t="shared" si="113"/>
        <v>30</v>
      </c>
      <c r="AH233" s="158">
        <f t="shared" si="113"/>
        <v>30</v>
      </c>
      <c r="AI233" s="158">
        <f t="shared" si="113"/>
        <v>30</v>
      </c>
      <c r="AJ233" s="158">
        <f t="shared" si="113"/>
        <v>30</v>
      </c>
      <c r="AK233" s="158">
        <f t="shared" si="113"/>
        <v>30</v>
      </c>
      <c r="AL233" s="158">
        <f t="shared" si="113"/>
        <v>30</v>
      </c>
      <c r="AN233" s="24">
        <f>SUM(O233:AL233)</f>
        <v>720</v>
      </c>
    </row>
    <row r="234" spans="1:40" ht="18.600000000000001" x14ac:dyDescent="0.4">
      <c r="A234" s="586" t="s">
        <v>441</v>
      </c>
      <c r="B234" s="586"/>
      <c r="C234" s="586"/>
      <c r="D234" s="586"/>
      <c r="E234" s="586"/>
      <c r="F234" s="586"/>
      <c r="G234" s="586"/>
      <c r="H234" s="586"/>
      <c r="I234" s="589"/>
      <c r="J234" s="589"/>
      <c r="K234" s="45" t="s">
        <v>269</v>
      </c>
      <c r="L234" s="119">
        <f>(A224*21+C224*4+E224*5)/(24*(30))</f>
        <v>1</v>
      </c>
      <c r="M234" s="322"/>
      <c r="N234" s="1" t="s">
        <v>475</v>
      </c>
      <c r="O234" s="158">
        <f>O224*23+O225*4+O226*4</f>
        <v>31</v>
      </c>
      <c r="P234" s="158">
        <f t="shared" ref="P234:AL234" si="114">P224*23+P225*4+P226*4</f>
        <v>31</v>
      </c>
      <c r="Q234" s="158">
        <f t="shared" si="114"/>
        <v>31</v>
      </c>
      <c r="R234" s="158">
        <f t="shared" si="114"/>
        <v>31</v>
      </c>
      <c r="S234" s="158">
        <f t="shared" si="114"/>
        <v>31</v>
      </c>
      <c r="T234" s="158">
        <f t="shared" si="114"/>
        <v>31</v>
      </c>
      <c r="U234" s="158">
        <f t="shared" si="114"/>
        <v>31</v>
      </c>
      <c r="V234" s="158">
        <f t="shared" si="114"/>
        <v>31</v>
      </c>
      <c r="W234" s="158">
        <f t="shared" si="114"/>
        <v>31</v>
      </c>
      <c r="X234" s="158">
        <f t="shared" si="114"/>
        <v>31</v>
      </c>
      <c r="Y234" s="158">
        <f t="shared" si="114"/>
        <v>31</v>
      </c>
      <c r="Z234" s="158">
        <f t="shared" si="114"/>
        <v>31</v>
      </c>
      <c r="AA234" s="158">
        <f t="shared" si="114"/>
        <v>31</v>
      </c>
      <c r="AB234" s="158">
        <f t="shared" si="114"/>
        <v>31</v>
      </c>
      <c r="AC234" s="158">
        <f t="shared" si="114"/>
        <v>31</v>
      </c>
      <c r="AD234" s="158">
        <f t="shared" si="114"/>
        <v>31</v>
      </c>
      <c r="AE234" s="158">
        <f t="shared" si="114"/>
        <v>31</v>
      </c>
      <c r="AF234" s="158">
        <f t="shared" si="114"/>
        <v>31</v>
      </c>
      <c r="AG234" s="158">
        <f t="shared" si="114"/>
        <v>31</v>
      </c>
      <c r="AH234" s="158">
        <f t="shared" si="114"/>
        <v>31</v>
      </c>
      <c r="AI234" s="158">
        <f t="shared" si="114"/>
        <v>31</v>
      </c>
      <c r="AJ234" s="158">
        <f t="shared" si="114"/>
        <v>31</v>
      </c>
      <c r="AK234" s="158">
        <f t="shared" si="114"/>
        <v>31</v>
      </c>
      <c r="AL234" s="158">
        <f t="shared" si="114"/>
        <v>31</v>
      </c>
      <c r="AN234" s="24">
        <f>SUM(O234:AL234)</f>
        <v>744</v>
      </c>
    </row>
    <row r="235" spans="1:40" ht="18.600000000000001" x14ac:dyDescent="0.4">
      <c r="A235" s="586" t="s">
        <v>635</v>
      </c>
      <c r="B235" s="586"/>
      <c r="C235" s="586"/>
      <c r="D235" s="586"/>
      <c r="E235" s="586"/>
      <c r="F235" s="586"/>
      <c r="G235" s="586"/>
      <c r="H235" s="586"/>
      <c r="I235" s="589"/>
      <c r="J235" s="589"/>
      <c r="K235" s="45" t="s">
        <v>269</v>
      </c>
      <c r="L235" s="119">
        <f>(A232*21+C232*4+E232*5)/(24*(30))</f>
        <v>1</v>
      </c>
      <c r="M235" s="322"/>
      <c r="N235" s="1" t="s">
        <v>476</v>
      </c>
      <c r="O235" s="158">
        <f>O224*23+O225*4+O226*4</f>
        <v>31</v>
      </c>
      <c r="P235" s="158">
        <f t="shared" ref="P235:AL235" si="115">P224*23+P225*4+P226*4</f>
        <v>31</v>
      </c>
      <c r="Q235" s="158">
        <f t="shared" si="115"/>
        <v>31</v>
      </c>
      <c r="R235" s="158">
        <f t="shared" si="115"/>
        <v>31</v>
      </c>
      <c r="S235" s="158">
        <f t="shared" si="115"/>
        <v>31</v>
      </c>
      <c r="T235" s="158">
        <f t="shared" si="115"/>
        <v>31</v>
      </c>
      <c r="U235" s="158">
        <f t="shared" si="115"/>
        <v>31</v>
      </c>
      <c r="V235" s="158">
        <f t="shared" si="115"/>
        <v>31</v>
      </c>
      <c r="W235" s="158">
        <f t="shared" si="115"/>
        <v>31</v>
      </c>
      <c r="X235" s="158">
        <f t="shared" si="115"/>
        <v>31</v>
      </c>
      <c r="Y235" s="158">
        <f t="shared" si="115"/>
        <v>31</v>
      </c>
      <c r="Z235" s="158">
        <f t="shared" si="115"/>
        <v>31</v>
      </c>
      <c r="AA235" s="158">
        <f t="shared" si="115"/>
        <v>31</v>
      </c>
      <c r="AB235" s="158">
        <f t="shared" si="115"/>
        <v>31</v>
      </c>
      <c r="AC235" s="158">
        <f t="shared" si="115"/>
        <v>31</v>
      </c>
      <c r="AD235" s="158">
        <f t="shared" si="115"/>
        <v>31</v>
      </c>
      <c r="AE235" s="158">
        <f t="shared" si="115"/>
        <v>31</v>
      </c>
      <c r="AF235" s="158">
        <f t="shared" si="115"/>
        <v>31</v>
      </c>
      <c r="AG235" s="158">
        <f t="shared" si="115"/>
        <v>31</v>
      </c>
      <c r="AH235" s="158">
        <f t="shared" si="115"/>
        <v>31</v>
      </c>
      <c r="AI235" s="158">
        <f t="shared" si="115"/>
        <v>31</v>
      </c>
      <c r="AJ235" s="158">
        <f t="shared" si="115"/>
        <v>31</v>
      </c>
      <c r="AK235" s="158">
        <f t="shared" si="115"/>
        <v>31</v>
      </c>
      <c r="AL235" s="158">
        <f t="shared" si="115"/>
        <v>31</v>
      </c>
      <c r="AN235" s="24">
        <f>SUM(O235:AL235)</f>
        <v>744</v>
      </c>
    </row>
    <row r="236" spans="1:40" x14ac:dyDescent="0.3">
      <c r="A236" s="36"/>
      <c r="B236" s="36"/>
      <c r="C236" s="36"/>
      <c r="D236" s="36"/>
      <c r="E236" s="36"/>
      <c r="F236" s="36"/>
      <c r="G236" s="36"/>
      <c r="H236" s="36"/>
      <c r="J236" s="45"/>
      <c r="K236" s="119"/>
      <c r="L236" s="1"/>
      <c r="N236" s="1" t="s">
        <v>477</v>
      </c>
      <c r="O236" s="158">
        <f>O224*22+O225*4+O226*4</f>
        <v>30</v>
      </c>
      <c r="P236" s="158">
        <f t="shared" ref="P236:AL236" si="116">P224*22+P225*4+P226*4</f>
        <v>30</v>
      </c>
      <c r="Q236" s="158">
        <f t="shared" si="116"/>
        <v>30</v>
      </c>
      <c r="R236" s="158">
        <f t="shared" si="116"/>
        <v>30</v>
      </c>
      <c r="S236" s="158">
        <f t="shared" si="116"/>
        <v>30</v>
      </c>
      <c r="T236" s="158">
        <f t="shared" si="116"/>
        <v>30</v>
      </c>
      <c r="U236" s="158">
        <f t="shared" si="116"/>
        <v>30</v>
      </c>
      <c r="V236" s="158">
        <f t="shared" si="116"/>
        <v>30</v>
      </c>
      <c r="W236" s="158">
        <f t="shared" si="116"/>
        <v>30</v>
      </c>
      <c r="X236" s="158">
        <f t="shared" si="116"/>
        <v>30</v>
      </c>
      <c r="Y236" s="158">
        <f t="shared" si="116"/>
        <v>30</v>
      </c>
      <c r="Z236" s="158">
        <f t="shared" si="116"/>
        <v>30</v>
      </c>
      <c r="AA236" s="158">
        <f t="shared" si="116"/>
        <v>30</v>
      </c>
      <c r="AB236" s="158">
        <f t="shared" si="116"/>
        <v>30</v>
      </c>
      <c r="AC236" s="158">
        <f t="shared" si="116"/>
        <v>30</v>
      </c>
      <c r="AD236" s="158">
        <f t="shared" si="116"/>
        <v>30</v>
      </c>
      <c r="AE236" s="158">
        <f t="shared" si="116"/>
        <v>30</v>
      </c>
      <c r="AF236" s="158">
        <f t="shared" si="116"/>
        <v>30</v>
      </c>
      <c r="AG236" s="158">
        <f t="shared" si="116"/>
        <v>30</v>
      </c>
      <c r="AH236" s="158">
        <f t="shared" si="116"/>
        <v>30</v>
      </c>
      <c r="AI236" s="158">
        <f t="shared" si="116"/>
        <v>30</v>
      </c>
      <c r="AJ236" s="158">
        <f t="shared" si="116"/>
        <v>30</v>
      </c>
      <c r="AK236" s="158">
        <f t="shared" si="116"/>
        <v>30</v>
      </c>
      <c r="AL236" s="158">
        <f t="shared" si="116"/>
        <v>30</v>
      </c>
      <c r="AN236" s="24">
        <f>SUM(O236:AL236)</f>
        <v>720</v>
      </c>
    </row>
    <row r="237" spans="1:40" x14ac:dyDescent="0.3">
      <c r="A237" s="586" t="s">
        <v>654</v>
      </c>
      <c r="B237" s="586"/>
      <c r="C237" s="586"/>
      <c r="D237" s="586"/>
      <c r="E237" s="586"/>
      <c r="F237" s="586"/>
      <c r="G237" s="586"/>
      <c r="H237" s="586"/>
      <c r="I237" s="589"/>
      <c r="J237" s="589"/>
      <c r="K237" s="589"/>
      <c r="L237" s="589"/>
      <c r="M237" s="199"/>
      <c r="N237" s="1" t="s">
        <v>478</v>
      </c>
      <c r="O237" s="159">
        <f t="shared" ref="O237:AL237" ca="1" si="117">O218*$R171+O219*$Q171+O220*$Q171</f>
        <v>7</v>
      </c>
      <c r="P237" s="159">
        <f t="shared" ca="1" si="117"/>
        <v>7</v>
      </c>
      <c r="Q237" s="159">
        <f t="shared" ca="1" si="117"/>
        <v>7</v>
      </c>
      <c r="R237" s="159">
        <f t="shared" ca="1" si="117"/>
        <v>7</v>
      </c>
      <c r="S237" s="159">
        <f t="shared" ca="1" si="117"/>
        <v>7</v>
      </c>
      <c r="T237" s="159">
        <f t="shared" ca="1" si="117"/>
        <v>7</v>
      </c>
      <c r="U237" s="159">
        <f t="shared" ca="1" si="117"/>
        <v>7</v>
      </c>
      <c r="V237" s="159">
        <f t="shared" ca="1" si="117"/>
        <v>7</v>
      </c>
      <c r="W237" s="159">
        <f t="shared" ca="1" si="117"/>
        <v>7</v>
      </c>
      <c r="X237" s="159">
        <f t="shared" ca="1" si="117"/>
        <v>7</v>
      </c>
      <c r="Y237" s="159">
        <f t="shared" ca="1" si="117"/>
        <v>7</v>
      </c>
      <c r="Z237" s="159">
        <f t="shared" ca="1" si="117"/>
        <v>7</v>
      </c>
      <c r="AA237" s="159">
        <f t="shared" ca="1" si="117"/>
        <v>7</v>
      </c>
      <c r="AB237" s="159">
        <f t="shared" ca="1" si="117"/>
        <v>7</v>
      </c>
      <c r="AC237" s="159">
        <f t="shared" ca="1" si="117"/>
        <v>7</v>
      </c>
      <c r="AD237" s="159">
        <f t="shared" ca="1" si="117"/>
        <v>7</v>
      </c>
      <c r="AE237" s="159">
        <f t="shared" ca="1" si="117"/>
        <v>7</v>
      </c>
      <c r="AF237" s="159">
        <f t="shared" ca="1" si="117"/>
        <v>7</v>
      </c>
      <c r="AG237" s="159">
        <f t="shared" ca="1" si="117"/>
        <v>7</v>
      </c>
      <c r="AH237" s="159">
        <f t="shared" ca="1" si="117"/>
        <v>7</v>
      </c>
      <c r="AI237" s="159">
        <f t="shared" ca="1" si="117"/>
        <v>7</v>
      </c>
      <c r="AJ237" s="159">
        <f t="shared" ca="1" si="117"/>
        <v>7</v>
      </c>
      <c r="AK237" s="159">
        <f t="shared" ca="1" si="117"/>
        <v>7</v>
      </c>
      <c r="AL237" s="159">
        <f t="shared" ca="1" si="117"/>
        <v>7</v>
      </c>
    </row>
    <row r="238" spans="1:40" x14ac:dyDescent="0.3">
      <c r="A238" s="586" t="s">
        <v>273</v>
      </c>
      <c r="B238" s="586"/>
      <c r="C238" s="586"/>
      <c r="D238" s="586"/>
      <c r="E238" s="586"/>
      <c r="F238" s="586"/>
      <c r="G238" s="586"/>
      <c r="H238" s="586"/>
      <c r="I238" s="589"/>
      <c r="J238" s="589"/>
      <c r="K238" s="589"/>
      <c r="L238" s="589"/>
      <c r="M238" s="199"/>
      <c r="N238" s="1" t="s">
        <v>479</v>
      </c>
      <c r="O238" s="159">
        <f>O218*22+O219*4+O220*4</f>
        <v>30</v>
      </c>
      <c r="P238" s="159">
        <f t="shared" ref="P238:AL238" si="118">P218*22+P219*4+P220*4</f>
        <v>30</v>
      </c>
      <c r="Q238" s="159">
        <f t="shared" si="118"/>
        <v>30</v>
      </c>
      <c r="R238" s="159">
        <f t="shared" si="118"/>
        <v>30</v>
      </c>
      <c r="S238" s="159">
        <f t="shared" si="118"/>
        <v>30</v>
      </c>
      <c r="T238" s="159">
        <f t="shared" si="118"/>
        <v>30</v>
      </c>
      <c r="U238" s="159">
        <f t="shared" si="118"/>
        <v>30</v>
      </c>
      <c r="V238" s="159">
        <f t="shared" si="118"/>
        <v>30</v>
      </c>
      <c r="W238" s="159">
        <f t="shared" si="118"/>
        <v>30</v>
      </c>
      <c r="X238" s="159">
        <f t="shared" si="118"/>
        <v>30</v>
      </c>
      <c r="Y238" s="159">
        <f t="shared" si="118"/>
        <v>30</v>
      </c>
      <c r="Z238" s="159">
        <f t="shared" si="118"/>
        <v>30</v>
      </c>
      <c r="AA238" s="159">
        <f t="shared" si="118"/>
        <v>30</v>
      </c>
      <c r="AB238" s="159">
        <f t="shared" si="118"/>
        <v>30</v>
      </c>
      <c r="AC238" s="159">
        <f t="shared" si="118"/>
        <v>30</v>
      </c>
      <c r="AD238" s="159">
        <f t="shared" si="118"/>
        <v>30</v>
      </c>
      <c r="AE238" s="159">
        <f t="shared" si="118"/>
        <v>30</v>
      </c>
      <c r="AF238" s="159">
        <f t="shared" si="118"/>
        <v>30</v>
      </c>
      <c r="AG238" s="159">
        <f t="shared" si="118"/>
        <v>30</v>
      </c>
      <c r="AH238" s="159">
        <f t="shared" si="118"/>
        <v>30</v>
      </c>
      <c r="AI238" s="159">
        <f t="shared" si="118"/>
        <v>30</v>
      </c>
      <c r="AJ238" s="159">
        <f t="shared" si="118"/>
        <v>30</v>
      </c>
      <c r="AK238" s="159">
        <f t="shared" si="118"/>
        <v>30</v>
      </c>
      <c r="AL238" s="159">
        <f t="shared" si="118"/>
        <v>30</v>
      </c>
    </row>
    <row r="239" spans="1:40" x14ac:dyDescent="0.3">
      <c r="A239" s="586" t="s">
        <v>442</v>
      </c>
      <c r="B239" s="586"/>
      <c r="C239" s="586"/>
      <c r="D239" s="586"/>
      <c r="E239" s="586"/>
      <c r="F239" s="586"/>
      <c r="G239" s="586"/>
      <c r="H239" s="586"/>
      <c r="I239" s="589"/>
      <c r="J239" s="589"/>
      <c r="K239" s="589"/>
      <c r="L239" s="589"/>
      <c r="M239" s="199"/>
      <c r="N239" s="1" t="s">
        <v>480</v>
      </c>
      <c r="O239" s="159">
        <f>O218*23+O219*4+O220*4</f>
        <v>31</v>
      </c>
      <c r="P239" s="159">
        <f t="shared" ref="P239:AL239" si="119">P218*23+P219*4+P220*4</f>
        <v>31</v>
      </c>
      <c r="Q239" s="159">
        <f t="shared" si="119"/>
        <v>31</v>
      </c>
      <c r="R239" s="159">
        <f t="shared" si="119"/>
        <v>31</v>
      </c>
      <c r="S239" s="159">
        <f t="shared" si="119"/>
        <v>31</v>
      </c>
      <c r="T239" s="159">
        <f t="shared" si="119"/>
        <v>31</v>
      </c>
      <c r="U239" s="159">
        <f t="shared" si="119"/>
        <v>31</v>
      </c>
      <c r="V239" s="159">
        <f t="shared" si="119"/>
        <v>31</v>
      </c>
      <c r="W239" s="159">
        <f t="shared" si="119"/>
        <v>31</v>
      </c>
      <c r="X239" s="159">
        <f t="shared" si="119"/>
        <v>31</v>
      </c>
      <c r="Y239" s="159">
        <f t="shared" si="119"/>
        <v>31</v>
      </c>
      <c r="Z239" s="159">
        <f t="shared" si="119"/>
        <v>31</v>
      </c>
      <c r="AA239" s="159">
        <f t="shared" si="119"/>
        <v>31</v>
      </c>
      <c r="AB239" s="159">
        <f t="shared" si="119"/>
        <v>31</v>
      </c>
      <c r="AC239" s="159">
        <f t="shared" si="119"/>
        <v>31</v>
      </c>
      <c r="AD239" s="159">
        <f t="shared" si="119"/>
        <v>31</v>
      </c>
      <c r="AE239" s="159">
        <f t="shared" si="119"/>
        <v>31</v>
      </c>
      <c r="AF239" s="159">
        <f t="shared" si="119"/>
        <v>31</v>
      </c>
      <c r="AG239" s="159">
        <f t="shared" si="119"/>
        <v>31</v>
      </c>
      <c r="AH239" s="159">
        <f t="shared" si="119"/>
        <v>31</v>
      </c>
      <c r="AI239" s="159">
        <f t="shared" si="119"/>
        <v>31</v>
      </c>
      <c r="AJ239" s="159">
        <f t="shared" si="119"/>
        <v>31</v>
      </c>
      <c r="AK239" s="159">
        <f t="shared" si="119"/>
        <v>31</v>
      </c>
      <c r="AL239" s="159">
        <f t="shared" si="119"/>
        <v>31</v>
      </c>
    </row>
    <row r="240" spans="1:40" x14ac:dyDescent="0.3">
      <c r="A240" s="586" t="s">
        <v>443</v>
      </c>
      <c r="B240" s="586"/>
      <c r="C240" s="586"/>
      <c r="D240" s="586"/>
      <c r="E240" s="586"/>
      <c r="F240" s="586"/>
      <c r="G240" s="586"/>
      <c r="H240" s="586"/>
      <c r="I240" s="589"/>
      <c r="J240" s="589"/>
      <c r="K240" s="589"/>
      <c r="L240" s="589"/>
      <c r="M240" s="199"/>
    </row>
    <row r="241" spans="1:38" x14ac:dyDescent="0.3">
      <c r="A241" s="586" t="s">
        <v>444</v>
      </c>
      <c r="B241" s="586"/>
      <c r="C241" s="586"/>
      <c r="D241" s="586"/>
      <c r="E241" s="586"/>
      <c r="F241" s="586"/>
      <c r="G241" s="586"/>
      <c r="H241" s="586"/>
      <c r="I241" s="589"/>
      <c r="J241" s="589"/>
      <c r="K241" s="589"/>
      <c r="L241" s="589"/>
      <c r="M241" s="199"/>
    </row>
    <row r="242" spans="1:38" x14ac:dyDescent="0.3">
      <c r="A242" s="36"/>
      <c r="B242" s="36"/>
      <c r="C242" s="36"/>
      <c r="D242" s="36"/>
      <c r="E242" s="36"/>
      <c r="F242" s="36"/>
      <c r="G242" s="36"/>
      <c r="H242" s="36"/>
      <c r="I242" s="14"/>
      <c r="J242" s="14"/>
      <c r="K242" s="14"/>
    </row>
    <row r="243" spans="1:38" x14ac:dyDescent="0.3">
      <c r="A243" s="873" t="s">
        <v>1212</v>
      </c>
      <c r="B243" s="874"/>
      <c r="C243" s="874"/>
      <c r="D243" s="874"/>
      <c r="E243" s="874"/>
      <c r="F243" s="874"/>
      <c r="G243" s="874"/>
      <c r="H243" s="874"/>
      <c r="I243" s="874"/>
      <c r="J243" s="874"/>
      <c r="K243" s="874"/>
      <c r="L243" s="875"/>
      <c r="M243" s="199"/>
    </row>
    <row r="244" spans="1:38" x14ac:dyDescent="0.3">
      <c r="A244" s="21" t="s">
        <v>167</v>
      </c>
      <c r="B244" s="21" t="s">
        <v>168</v>
      </c>
      <c r="C244" s="21" t="s">
        <v>923</v>
      </c>
      <c r="D244" s="21" t="s">
        <v>924</v>
      </c>
      <c r="E244" s="21" t="s">
        <v>169</v>
      </c>
      <c r="F244" s="21" t="s">
        <v>170</v>
      </c>
      <c r="G244" s="21" t="s">
        <v>171</v>
      </c>
      <c r="H244" s="21" t="s">
        <v>172</v>
      </c>
      <c r="I244" s="21" t="s">
        <v>268</v>
      </c>
      <c r="J244" s="21" t="s">
        <v>925</v>
      </c>
      <c r="K244" s="21" t="s">
        <v>673</v>
      </c>
      <c r="L244" s="21" t="s">
        <v>927</v>
      </c>
      <c r="M244" s="199"/>
    </row>
    <row r="245" spans="1:38" x14ac:dyDescent="0.3">
      <c r="A245" s="134">
        <f ca="1">Стойности!F23</f>
        <v>0</v>
      </c>
      <c r="B245" s="134">
        <f ca="1">Стойности!G23</f>
        <v>0</v>
      </c>
      <c r="C245" s="134">
        <f ca="1">Стойности!H23</f>
        <v>0</v>
      </c>
      <c r="D245" s="134">
        <f ca="1">Стойности!I23</f>
        <v>0</v>
      </c>
      <c r="E245" s="134">
        <f ca="1">Стойности!J23</f>
        <v>0</v>
      </c>
      <c r="F245" s="134">
        <f ca="1">Стойности!K23</f>
        <v>0</v>
      </c>
      <c r="G245" s="134">
        <f ca="1">Стойности!L23</f>
        <v>0</v>
      </c>
      <c r="H245" s="134">
        <f ca="1">Стойности!M23</f>
        <v>0</v>
      </c>
      <c r="I245" s="134">
        <f ca="1">Стойности!N23</f>
        <v>0</v>
      </c>
      <c r="J245" s="134">
        <f ca="1">Стойности!O23</f>
        <v>0</v>
      </c>
      <c r="K245" s="134">
        <f ca="1">Стойности!P23</f>
        <v>0</v>
      </c>
      <c r="L245" s="134">
        <f ca="1">Стойности!Q23</f>
        <v>0</v>
      </c>
      <c r="M245" s="199"/>
    </row>
    <row r="246" spans="1:38" x14ac:dyDescent="0.3">
      <c r="A246" s="36"/>
      <c r="B246" s="36"/>
      <c r="C246" s="36"/>
      <c r="D246" s="36"/>
      <c r="E246" s="36"/>
      <c r="F246" s="36"/>
      <c r="G246" s="36"/>
      <c r="H246" s="36"/>
      <c r="I246" s="14"/>
      <c r="J246" s="14"/>
      <c r="K246" s="14"/>
      <c r="L246" s="14"/>
      <c r="M246" s="199"/>
    </row>
    <row r="247" spans="1:38" x14ac:dyDescent="0.3">
      <c r="A247" s="586" t="s">
        <v>1213</v>
      </c>
      <c r="B247" s="586"/>
      <c r="C247" s="586"/>
      <c r="D247" s="586"/>
      <c r="E247" s="586"/>
      <c r="F247" s="586"/>
      <c r="G247" s="586"/>
      <c r="H247" s="586"/>
      <c r="I247" s="589"/>
      <c r="J247" s="589"/>
      <c r="K247" s="589"/>
      <c r="L247" s="589"/>
      <c r="M247" s="199"/>
    </row>
    <row r="248" spans="1:38" x14ac:dyDescent="0.3">
      <c r="A248" s="36"/>
      <c r="B248" s="36"/>
      <c r="C248" s="36"/>
      <c r="D248" s="36"/>
      <c r="E248" s="36"/>
      <c r="F248" s="36"/>
      <c r="G248" s="36"/>
      <c r="H248" s="36"/>
      <c r="I248" s="14"/>
      <c r="J248" s="14"/>
      <c r="K248" s="14"/>
    </row>
    <row r="249" spans="1:38" x14ac:dyDescent="0.3">
      <c r="A249" s="902" t="s">
        <v>458</v>
      </c>
      <c r="B249" s="903"/>
      <c r="C249" s="903"/>
      <c r="D249" s="903"/>
      <c r="E249" s="903"/>
      <c r="F249" s="903"/>
      <c r="G249" s="903"/>
      <c r="H249" s="903"/>
      <c r="I249" s="903"/>
      <c r="J249" s="903"/>
      <c r="K249" s="903"/>
      <c r="L249" s="903"/>
      <c r="M249" s="323"/>
      <c r="N249" s="863" t="s">
        <v>489</v>
      </c>
      <c r="O249" s="864"/>
      <c r="P249" s="864"/>
      <c r="Q249" s="864"/>
      <c r="R249" s="864"/>
      <c r="S249" s="864"/>
      <c r="T249" s="864"/>
      <c r="U249" s="864"/>
      <c r="V249" s="864"/>
      <c r="W249" s="864"/>
      <c r="X249" s="864"/>
      <c r="Y249" s="864"/>
      <c r="Z249" s="864"/>
      <c r="AA249" s="864"/>
      <c r="AB249" s="864"/>
      <c r="AC249" s="864"/>
      <c r="AD249" s="864"/>
      <c r="AE249" s="864"/>
      <c r="AF249" s="864"/>
      <c r="AG249" s="864"/>
      <c r="AH249" s="864"/>
      <c r="AI249" s="864"/>
      <c r="AJ249" s="864"/>
      <c r="AK249" s="864"/>
      <c r="AL249" s="864"/>
    </row>
    <row r="250" spans="1:38" x14ac:dyDescent="0.3">
      <c r="A250" s="867" t="s">
        <v>455</v>
      </c>
      <c r="B250" s="868"/>
      <c r="C250" s="868"/>
      <c r="D250" s="868"/>
      <c r="E250" s="868"/>
      <c r="F250" s="868"/>
      <c r="G250" s="868"/>
      <c r="H250" s="868"/>
      <c r="I250" s="868"/>
      <c r="J250" s="868"/>
      <c r="K250" s="868"/>
      <c r="L250" s="868"/>
      <c r="M250" s="324"/>
      <c r="O250" s="72">
        <v>0</v>
      </c>
      <c r="P250" s="72">
        <v>1</v>
      </c>
      <c r="Q250" s="72">
        <v>2</v>
      </c>
      <c r="R250" s="72">
        <v>3</v>
      </c>
      <c r="S250" s="72">
        <v>4</v>
      </c>
      <c r="T250" s="72">
        <v>5</v>
      </c>
      <c r="U250" s="72">
        <v>6</v>
      </c>
      <c r="V250" s="72">
        <v>7</v>
      </c>
      <c r="W250" s="72">
        <v>8</v>
      </c>
      <c r="X250" s="72">
        <v>9</v>
      </c>
      <c r="Y250" s="72">
        <v>10</v>
      </c>
      <c r="Z250" s="72">
        <v>11</v>
      </c>
      <c r="AA250" s="72">
        <v>12</v>
      </c>
      <c r="AB250" s="72">
        <v>13</v>
      </c>
      <c r="AC250" s="72">
        <v>14</v>
      </c>
      <c r="AD250" s="72">
        <v>15</v>
      </c>
      <c r="AE250" s="72">
        <v>16</v>
      </c>
      <c r="AF250" s="72">
        <v>17</v>
      </c>
      <c r="AG250" s="72">
        <v>18</v>
      </c>
      <c r="AH250" s="72">
        <v>19</v>
      </c>
      <c r="AI250" s="72">
        <v>20</v>
      </c>
      <c r="AJ250" s="72">
        <v>21</v>
      </c>
      <c r="AK250" s="72">
        <v>22</v>
      </c>
      <c r="AL250" s="72">
        <v>23</v>
      </c>
    </row>
    <row r="251" spans="1:38" x14ac:dyDescent="0.3">
      <c r="A251" s="870" t="s">
        <v>417</v>
      </c>
      <c r="B251" s="870"/>
      <c r="C251" s="865" t="s">
        <v>445</v>
      </c>
      <c r="D251" s="865"/>
      <c r="E251" s="870" t="s">
        <v>418</v>
      </c>
      <c r="F251" s="870"/>
      <c r="G251" s="865" t="s">
        <v>445</v>
      </c>
      <c r="H251" s="865"/>
      <c r="I251" s="870" t="s">
        <v>419</v>
      </c>
      <c r="J251" s="870"/>
      <c r="K251" s="865" t="s">
        <v>445</v>
      </c>
      <c r="L251" s="865"/>
      <c r="M251" s="325"/>
      <c r="N251" s="138" t="s">
        <v>461</v>
      </c>
      <c r="O251" s="72">
        <f>IF($B253=0,0,IF(AND(IF(O$250&gt;=$A253,TRUE,FALSE),IF(O$250&lt;=$B253,TRUE,FALSE)),$C253,0))</f>
        <v>0</v>
      </c>
      <c r="P251" s="72">
        <f t="shared" ref="P251:AL251" si="120">IF($B253=0,0,IF(AND(IF(P$250&gt;=$A253,TRUE,FALSE),IF(P$250&lt;=$B253,TRUE,FALSE)),$C253,0))</f>
        <v>0</v>
      </c>
      <c r="Q251" s="72">
        <f t="shared" si="120"/>
        <v>0</v>
      </c>
      <c r="R251" s="72">
        <f t="shared" si="120"/>
        <v>0</v>
      </c>
      <c r="S251" s="72">
        <f t="shared" si="120"/>
        <v>0</v>
      </c>
      <c r="T251" s="72">
        <f t="shared" si="120"/>
        <v>0</v>
      </c>
      <c r="U251" s="72">
        <f t="shared" si="120"/>
        <v>0</v>
      </c>
      <c r="V251" s="72">
        <f t="shared" si="120"/>
        <v>0</v>
      </c>
      <c r="W251" s="72">
        <f t="shared" si="120"/>
        <v>0</v>
      </c>
      <c r="X251" s="72">
        <f t="shared" si="120"/>
        <v>0</v>
      </c>
      <c r="Y251" s="72">
        <f t="shared" si="120"/>
        <v>0</v>
      </c>
      <c r="Z251" s="72">
        <f t="shared" si="120"/>
        <v>0</v>
      </c>
      <c r="AA251" s="72">
        <f t="shared" si="120"/>
        <v>0</v>
      </c>
      <c r="AB251" s="72">
        <f t="shared" si="120"/>
        <v>0</v>
      </c>
      <c r="AC251" s="72">
        <f t="shared" si="120"/>
        <v>0</v>
      </c>
      <c r="AD251" s="72">
        <f t="shared" si="120"/>
        <v>0</v>
      </c>
      <c r="AE251" s="72">
        <f t="shared" si="120"/>
        <v>0</v>
      </c>
      <c r="AF251" s="72">
        <f t="shared" si="120"/>
        <v>0</v>
      </c>
      <c r="AG251" s="72">
        <f t="shared" si="120"/>
        <v>0</v>
      </c>
      <c r="AH251" s="72">
        <f t="shared" si="120"/>
        <v>0</v>
      </c>
      <c r="AI251" s="72">
        <f t="shared" si="120"/>
        <v>0</v>
      </c>
      <c r="AJ251" s="72">
        <f t="shared" si="120"/>
        <v>0</v>
      </c>
      <c r="AK251" s="72">
        <f t="shared" si="120"/>
        <v>0</v>
      </c>
      <c r="AL251" s="72">
        <f t="shared" si="120"/>
        <v>0</v>
      </c>
    </row>
    <row r="252" spans="1:38" x14ac:dyDescent="0.3">
      <c r="A252" s="21" t="s">
        <v>421</v>
      </c>
      <c r="B252" s="21" t="s">
        <v>422</v>
      </c>
      <c r="C252" s="566"/>
      <c r="D252" s="566"/>
      <c r="E252" s="21" t="s">
        <v>421</v>
      </c>
      <c r="F252" s="21" t="s">
        <v>422</v>
      </c>
      <c r="G252" s="566"/>
      <c r="H252" s="566"/>
      <c r="I252" s="21" t="s">
        <v>421</v>
      </c>
      <c r="J252" s="21" t="s">
        <v>422</v>
      </c>
      <c r="K252" s="566"/>
      <c r="L252" s="566"/>
      <c r="M252" s="199"/>
      <c r="N252" s="138" t="s">
        <v>462</v>
      </c>
      <c r="O252" s="72">
        <f>IF($F253=0,0,IF(AND(IF(O$250&gt;=$E253,TRUE,FALSE),IF(O$250&lt;=$F253,TRUE,FALSE)),$G253,0))</f>
        <v>0</v>
      </c>
      <c r="P252" s="72">
        <f t="shared" ref="P252:AL252" si="121">IF($F253=0,0,IF(AND(IF(P$250&gt;=$E253,TRUE,FALSE),IF(P$250&lt;=$F253,TRUE,FALSE)),$G253,0))</f>
        <v>0</v>
      </c>
      <c r="Q252" s="72">
        <f t="shared" si="121"/>
        <v>0</v>
      </c>
      <c r="R252" s="72">
        <f t="shared" si="121"/>
        <v>0</v>
      </c>
      <c r="S252" s="72">
        <f t="shared" si="121"/>
        <v>0</v>
      </c>
      <c r="T252" s="72">
        <f t="shared" si="121"/>
        <v>0</v>
      </c>
      <c r="U252" s="72">
        <f t="shared" si="121"/>
        <v>0</v>
      </c>
      <c r="V252" s="72">
        <f t="shared" si="121"/>
        <v>0</v>
      </c>
      <c r="W252" s="72">
        <f t="shared" si="121"/>
        <v>0</v>
      </c>
      <c r="X252" s="72">
        <f t="shared" si="121"/>
        <v>0</v>
      </c>
      <c r="Y252" s="72">
        <f t="shared" si="121"/>
        <v>0</v>
      </c>
      <c r="Z252" s="72">
        <f t="shared" si="121"/>
        <v>0</v>
      </c>
      <c r="AA252" s="72">
        <f t="shared" si="121"/>
        <v>0</v>
      </c>
      <c r="AB252" s="72">
        <f t="shared" si="121"/>
        <v>0</v>
      </c>
      <c r="AC252" s="72">
        <f t="shared" si="121"/>
        <v>0</v>
      </c>
      <c r="AD252" s="72">
        <f t="shared" si="121"/>
        <v>0</v>
      </c>
      <c r="AE252" s="72">
        <f t="shared" si="121"/>
        <v>0</v>
      </c>
      <c r="AF252" s="72">
        <f t="shared" si="121"/>
        <v>0</v>
      </c>
      <c r="AG252" s="72">
        <f t="shared" si="121"/>
        <v>0</v>
      </c>
      <c r="AH252" s="72">
        <f t="shared" si="121"/>
        <v>0</v>
      </c>
      <c r="AI252" s="72">
        <f t="shared" si="121"/>
        <v>0</v>
      </c>
      <c r="AJ252" s="72">
        <f t="shared" si="121"/>
        <v>0</v>
      </c>
      <c r="AK252" s="72">
        <f t="shared" si="121"/>
        <v>0</v>
      </c>
      <c r="AL252" s="72">
        <f t="shared" si="121"/>
        <v>0</v>
      </c>
    </row>
    <row r="253" spans="1:38" x14ac:dyDescent="0.3">
      <c r="A253" s="134"/>
      <c r="B253" s="134"/>
      <c r="C253" s="851">
        <v>0</v>
      </c>
      <c r="D253" s="851"/>
      <c r="E253" s="134"/>
      <c r="F253" s="134"/>
      <c r="G253" s="851">
        <v>0</v>
      </c>
      <c r="H253" s="851"/>
      <c r="I253" s="134"/>
      <c r="J253" s="134"/>
      <c r="K253" s="851">
        <v>0</v>
      </c>
      <c r="L253" s="851"/>
      <c r="M253" s="326"/>
      <c r="N253" s="138" t="s">
        <v>463</v>
      </c>
      <c r="O253" s="72">
        <f>IF($J253=0,0,IF(AND(IF(O$250&gt;=$I253,TRUE,FALSE),IF(O$250&lt;=$J253,TRUE,FALSE)),$K253,0))</f>
        <v>0</v>
      </c>
      <c r="P253" s="72">
        <f t="shared" ref="P253:AL253" si="122">IF($J253=0,0,IF(AND(IF(P$250&gt;=$I253,TRUE,FALSE),IF(P$250&lt;=$J253,TRUE,FALSE)),$K253,0))</f>
        <v>0</v>
      </c>
      <c r="Q253" s="72">
        <f t="shared" si="122"/>
        <v>0</v>
      </c>
      <c r="R253" s="72">
        <f t="shared" si="122"/>
        <v>0</v>
      </c>
      <c r="S253" s="72">
        <f t="shared" si="122"/>
        <v>0</v>
      </c>
      <c r="T253" s="72">
        <f t="shared" si="122"/>
        <v>0</v>
      </c>
      <c r="U253" s="72">
        <f t="shared" si="122"/>
        <v>0</v>
      </c>
      <c r="V253" s="72">
        <f t="shared" si="122"/>
        <v>0</v>
      </c>
      <c r="W253" s="72">
        <f t="shared" si="122"/>
        <v>0</v>
      </c>
      <c r="X253" s="72">
        <f t="shared" si="122"/>
        <v>0</v>
      </c>
      <c r="Y253" s="72">
        <f t="shared" si="122"/>
        <v>0</v>
      </c>
      <c r="Z253" s="72">
        <f t="shared" si="122"/>
        <v>0</v>
      </c>
      <c r="AA253" s="72">
        <f t="shared" si="122"/>
        <v>0</v>
      </c>
      <c r="AB253" s="72">
        <f t="shared" si="122"/>
        <v>0</v>
      </c>
      <c r="AC253" s="72">
        <f t="shared" si="122"/>
        <v>0</v>
      </c>
      <c r="AD253" s="72">
        <f t="shared" si="122"/>
        <v>0</v>
      </c>
      <c r="AE253" s="72">
        <f t="shared" si="122"/>
        <v>0</v>
      </c>
      <c r="AF253" s="72">
        <f t="shared" si="122"/>
        <v>0</v>
      </c>
      <c r="AG253" s="72">
        <f t="shared" si="122"/>
        <v>0</v>
      </c>
      <c r="AH253" s="72">
        <f t="shared" si="122"/>
        <v>0</v>
      </c>
      <c r="AI253" s="72">
        <f t="shared" si="122"/>
        <v>0</v>
      </c>
      <c r="AJ253" s="72">
        <f t="shared" si="122"/>
        <v>0</v>
      </c>
      <c r="AK253" s="72">
        <f t="shared" si="122"/>
        <v>0</v>
      </c>
      <c r="AL253" s="72">
        <f t="shared" si="122"/>
        <v>0</v>
      </c>
    </row>
    <row r="254" spans="1:38" hidden="1" x14ac:dyDescent="0.3">
      <c r="A254" s="872">
        <f>IF(A253=B253,0,IF(B253&gt;A253,B253-A253,24-A253+B253))</f>
        <v>0</v>
      </c>
      <c r="B254" s="872"/>
      <c r="C254" s="140"/>
      <c r="D254" s="140"/>
      <c r="E254" s="872">
        <f>IF(E253=F253,0,IF(F253&gt;E253,F253-E253,24-E253+F253))</f>
        <v>0</v>
      </c>
      <c r="F254" s="872"/>
      <c r="G254" s="140"/>
      <c r="H254" s="140"/>
      <c r="I254" s="872">
        <f>IF(I253=J253,0,IF(J253&gt;I253,J253-I253,24-I253+J253))</f>
        <v>0</v>
      </c>
      <c r="J254" s="872"/>
      <c r="K254" s="397"/>
      <c r="L254" s="398"/>
      <c r="M254" s="326"/>
      <c r="N254" s="138"/>
      <c r="O254" s="72"/>
      <c r="P254" s="72"/>
      <c r="Q254" s="72"/>
      <c r="R254" s="72"/>
      <c r="S254" s="72"/>
      <c r="T254" s="72"/>
      <c r="U254" s="72"/>
      <c r="V254" s="72"/>
      <c r="W254" s="72"/>
      <c r="X254" s="72"/>
      <c r="Y254" s="72"/>
      <c r="Z254" s="72"/>
      <c r="AA254" s="72"/>
      <c r="AB254" s="72"/>
      <c r="AC254" s="72"/>
      <c r="AD254" s="72"/>
      <c r="AE254" s="72"/>
      <c r="AF254" s="72"/>
      <c r="AG254" s="72"/>
      <c r="AH254" s="72"/>
      <c r="AI254" s="72"/>
      <c r="AJ254" s="72"/>
      <c r="AK254" s="72"/>
      <c r="AL254" s="72"/>
    </row>
    <row r="255" spans="1:38" x14ac:dyDescent="0.3">
      <c r="A255" s="139"/>
      <c r="B255" s="139"/>
      <c r="C255" s="140"/>
      <c r="D255" s="140"/>
      <c r="E255" s="139"/>
      <c r="F255" s="139"/>
      <c r="G255" s="140"/>
      <c r="H255" s="140"/>
      <c r="I255" s="139"/>
      <c r="J255" s="139"/>
      <c r="K255" s="858"/>
      <c r="L255" s="858"/>
      <c r="M255" s="199"/>
      <c r="N255" s="141" t="s">
        <v>464</v>
      </c>
      <c r="O255" s="142">
        <f>(O251*5+O252+O253)/7</f>
        <v>0</v>
      </c>
      <c r="P255" s="142">
        <f t="shared" ref="P255:AL255" si="123">(P251*5+P252+P253)/7</f>
        <v>0</v>
      </c>
      <c r="Q255" s="142">
        <f t="shared" si="123"/>
        <v>0</v>
      </c>
      <c r="R255" s="142">
        <f t="shared" si="123"/>
        <v>0</v>
      </c>
      <c r="S255" s="142">
        <f t="shared" si="123"/>
        <v>0</v>
      </c>
      <c r="T255" s="142">
        <f t="shared" si="123"/>
        <v>0</v>
      </c>
      <c r="U255" s="142">
        <f t="shared" si="123"/>
        <v>0</v>
      </c>
      <c r="V255" s="142">
        <f t="shared" si="123"/>
        <v>0</v>
      </c>
      <c r="W255" s="142">
        <f t="shared" si="123"/>
        <v>0</v>
      </c>
      <c r="X255" s="142">
        <f t="shared" si="123"/>
        <v>0</v>
      </c>
      <c r="Y255" s="142">
        <f t="shared" si="123"/>
        <v>0</v>
      </c>
      <c r="Z255" s="142">
        <f t="shared" si="123"/>
        <v>0</v>
      </c>
      <c r="AA255" s="142">
        <f t="shared" si="123"/>
        <v>0</v>
      </c>
      <c r="AB255" s="142">
        <f t="shared" si="123"/>
        <v>0</v>
      </c>
      <c r="AC255" s="142">
        <f t="shared" si="123"/>
        <v>0</v>
      </c>
      <c r="AD255" s="142">
        <f t="shared" si="123"/>
        <v>0</v>
      </c>
      <c r="AE255" s="142">
        <f t="shared" si="123"/>
        <v>0</v>
      </c>
      <c r="AF255" s="142">
        <f t="shared" si="123"/>
        <v>0</v>
      </c>
      <c r="AG255" s="142">
        <f t="shared" si="123"/>
        <v>0</v>
      </c>
      <c r="AH255" s="142">
        <f t="shared" si="123"/>
        <v>0</v>
      </c>
      <c r="AI255" s="142">
        <f t="shared" si="123"/>
        <v>0</v>
      </c>
      <c r="AJ255" s="142">
        <f t="shared" si="123"/>
        <v>0</v>
      </c>
      <c r="AK255" s="142">
        <f t="shared" si="123"/>
        <v>0</v>
      </c>
      <c r="AL255" s="142">
        <f t="shared" si="123"/>
        <v>0</v>
      </c>
    </row>
    <row r="256" spans="1:38" x14ac:dyDescent="0.3">
      <c r="A256" s="867" t="s">
        <v>456</v>
      </c>
      <c r="B256" s="868"/>
      <c r="C256" s="868"/>
      <c r="D256" s="868"/>
      <c r="E256" s="868"/>
      <c r="F256" s="868"/>
      <c r="G256" s="868"/>
      <c r="H256" s="868"/>
      <c r="I256" s="868"/>
      <c r="J256" s="868"/>
      <c r="K256" s="868"/>
      <c r="L256" s="868"/>
      <c r="M256" s="324"/>
      <c r="N256" s="863" t="s">
        <v>490</v>
      </c>
      <c r="O256" s="864"/>
      <c r="P256" s="864"/>
      <c r="Q256" s="864"/>
      <c r="R256" s="864"/>
      <c r="S256" s="864"/>
      <c r="T256" s="864"/>
      <c r="U256" s="864"/>
      <c r="V256" s="864"/>
      <c r="W256" s="864"/>
      <c r="X256" s="864"/>
      <c r="Y256" s="864"/>
      <c r="Z256" s="864"/>
      <c r="AA256" s="864"/>
      <c r="AB256" s="864"/>
      <c r="AC256" s="864"/>
      <c r="AD256" s="864"/>
      <c r="AE256" s="864"/>
      <c r="AF256" s="864"/>
      <c r="AG256" s="864"/>
      <c r="AH256" s="864"/>
      <c r="AI256" s="864"/>
      <c r="AJ256" s="864"/>
      <c r="AK256" s="864"/>
      <c r="AL256" s="864"/>
    </row>
    <row r="257" spans="1:38" x14ac:dyDescent="0.3">
      <c r="A257" s="870" t="s">
        <v>417</v>
      </c>
      <c r="B257" s="870"/>
      <c r="C257" s="865" t="s">
        <v>445</v>
      </c>
      <c r="D257" s="865"/>
      <c r="E257" s="870" t="s">
        <v>418</v>
      </c>
      <c r="F257" s="870"/>
      <c r="G257" s="865" t="s">
        <v>445</v>
      </c>
      <c r="H257" s="865"/>
      <c r="I257" s="870" t="s">
        <v>419</v>
      </c>
      <c r="J257" s="870"/>
      <c r="K257" s="865" t="s">
        <v>445</v>
      </c>
      <c r="L257" s="865"/>
      <c r="M257" s="325"/>
      <c r="N257" s="138" t="s">
        <v>461</v>
      </c>
      <c r="O257" s="72">
        <f>IF($B259=0,0,IF(AND(IF(O$250&gt;=$A259,TRUE,FALSE),IF(O$250&lt;=$B259,TRUE,FALSE)),$C259,0))</f>
        <v>0</v>
      </c>
      <c r="P257" s="72">
        <f t="shared" ref="P257:AL257" si="124">IF($B259=0,0,IF(AND(IF(P$250&gt;=$A259,TRUE,FALSE),IF(P$250&lt;=$B259,TRUE,FALSE)),$C259,0))</f>
        <v>0</v>
      </c>
      <c r="Q257" s="72">
        <f t="shared" si="124"/>
        <v>0</v>
      </c>
      <c r="R257" s="72">
        <f t="shared" si="124"/>
        <v>0</v>
      </c>
      <c r="S257" s="72">
        <f t="shared" si="124"/>
        <v>0</v>
      </c>
      <c r="T257" s="72">
        <f t="shared" si="124"/>
        <v>0</v>
      </c>
      <c r="U257" s="72">
        <f t="shared" si="124"/>
        <v>0</v>
      </c>
      <c r="V257" s="72">
        <f t="shared" si="124"/>
        <v>0</v>
      </c>
      <c r="W257" s="72">
        <f t="shared" si="124"/>
        <v>0</v>
      </c>
      <c r="X257" s="72">
        <f t="shared" si="124"/>
        <v>0</v>
      </c>
      <c r="Y257" s="72">
        <f t="shared" si="124"/>
        <v>0</v>
      </c>
      <c r="Z257" s="72">
        <f t="shared" si="124"/>
        <v>0</v>
      </c>
      <c r="AA257" s="72">
        <f t="shared" si="124"/>
        <v>0</v>
      </c>
      <c r="AB257" s="72">
        <f t="shared" si="124"/>
        <v>0</v>
      </c>
      <c r="AC257" s="72">
        <f t="shared" si="124"/>
        <v>0</v>
      </c>
      <c r="AD257" s="72">
        <f t="shared" si="124"/>
        <v>0</v>
      </c>
      <c r="AE257" s="72">
        <f t="shared" si="124"/>
        <v>0</v>
      </c>
      <c r="AF257" s="72">
        <f t="shared" si="124"/>
        <v>0</v>
      </c>
      <c r="AG257" s="72">
        <f t="shared" si="124"/>
        <v>0</v>
      </c>
      <c r="AH257" s="72">
        <f t="shared" si="124"/>
        <v>0</v>
      </c>
      <c r="AI257" s="72">
        <f t="shared" si="124"/>
        <v>0</v>
      </c>
      <c r="AJ257" s="72">
        <f t="shared" si="124"/>
        <v>0</v>
      </c>
      <c r="AK257" s="72">
        <f t="shared" si="124"/>
        <v>0</v>
      </c>
      <c r="AL257" s="72">
        <f t="shared" si="124"/>
        <v>0</v>
      </c>
    </row>
    <row r="258" spans="1:38" x14ac:dyDescent="0.3">
      <c r="A258" s="21" t="s">
        <v>421</v>
      </c>
      <c r="B258" s="21" t="s">
        <v>422</v>
      </c>
      <c r="C258" s="566"/>
      <c r="D258" s="566"/>
      <c r="E258" s="21" t="s">
        <v>421</v>
      </c>
      <c r="F258" s="21" t="s">
        <v>422</v>
      </c>
      <c r="G258" s="566"/>
      <c r="H258" s="566"/>
      <c r="I258" s="21" t="s">
        <v>421</v>
      </c>
      <c r="J258" s="21" t="s">
        <v>422</v>
      </c>
      <c r="K258" s="566"/>
      <c r="L258" s="566"/>
      <c r="M258" s="199"/>
      <c r="N258" s="138" t="s">
        <v>462</v>
      </c>
      <c r="O258" s="72">
        <f>IF($F259=0,0,IF(AND(IF(O$250&gt;=$E259,TRUE,FALSE),IF(O$250&lt;=$F259,TRUE,FALSE)),$G259,0))</f>
        <v>0</v>
      </c>
      <c r="P258" s="72">
        <f t="shared" ref="P258:AL258" si="125">IF($F259=0,0,IF(AND(IF(P$250&gt;=$E259,TRUE,FALSE),IF(P$250&lt;=$F259,TRUE,FALSE)),$G259,0))</f>
        <v>0</v>
      </c>
      <c r="Q258" s="72">
        <f t="shared" si="125"/>
        <v>0</v>
      </c>
      <c r="R258" s="72">
        <f t="shared" si="125"/>
        <v>0</v>
      </c>
      <c r="S258" s="72">
        <f t="shared" si="125"/>
        <v>0</v>
      </c>
      <c r="T258" s="72">
        <f t="shared" si="125"/>
        <v>0</v>
      </c>
      <c r="U258" s="72">
        <f t="shared" si="125"/>
        <v>0</v>
      </c>
      <c r="V258" s="72">
        <f t="shared" si="125"/>
        <v>0</v>
      </c>
      <c r="W258" s="72">
        <f t="shared" si="125"/>
        <v>0</v>
      </c>
      <c r="X258" s="72">
        <f t="shared" si="125"/>
        <v>0</v>
      </c>
      <c r="Y258" s="72">
        <f t="shared" si="125"/>
        <v>0</v>
      </c>
      <c r="Z258" s="72">
        <f t="shared" si="125"/>
        <v>0</v>
      </c>
      <c r="AA258" s="72">
        <f t="shared" si="125"/>
        <v>0</v>
      </c>
      <c r="AB258" s="72">
        <f t="shared" si="125"/>
        <v>0</v>
      </c>
      <c r="AC258" s="72">
        <f t="shared" si="125"/>
        <v>0</v>
      </c>
      <c r="AD258" s="72">
        <f t="shared" si="125"/>
        <v>0</v>
      </c>
      <c r="AE258" s="72">
        <f t="shared" si="125"/>
        <v>0</v>
      </c>
      <c r="AF258" s="72">
        <f t="shared" si="125"/>
        <v>0</v>
      </c>
      <c r="AG258" s="72">
        <f t="shared" si="125"/>
        <v>0</v>
      </c>
      <c r="AH258" s="72">
        <f t="shared" si="125"/>
        <v>0</v>
      </c>
      <c r="AI258" s="72">
        <f t="shared" si="125"/>
        <v>0</v>
      </c>
      <c r="AJ258" s="72">
        <f t="shared" si="125"/>
        <v>0</v>
      </c>
      <c r="AK258" s="72">
        <f t="shared" si="125"/>
        <v>0</v>
      </c>
      <c r="AL258" s="72">
        <f t="shared" si="125"/>
        <v>0</v>
      </c>
    </row>
    <row r="259" spans="1:38" x14ac:dyDescent="0.3">
      <c r="A259" s="134"/>
      <c r="B259" s="134"/>
      <c r="C259" s="851">
        <v>0</v>
      </c>
      <c r="D259" s="851"/>
      <c r="E259" s="134"/>
      <c r="F259" s="134"/>
      <c r="G259" s="851">
        <v>0</v>
      </c>
      <c r="H259" s="851"/>
      <c r="I259" s="134"/>
      <c r="J259" s="134"/>
      <c r="K259" s="851">
        <v>0</v>
      </c>
      <c r="L259" s="851"/>
      <c r="M259" s="326"/>
      <c r="N259" s="138" t="s">
        <v>463</v>
      </c>
      <c r="O259" s="72">
        <f>IF($J259=0,0,IF(AND(IF(O$250&gt;=$I259,TRUE,FALSE),IF(O$250&lt;=$J259,TRUE,FALSE)),$K259,0))</f>
        <v>0</v>
      </c>
      <c r="P259" s="72">
        <f t="shared" ref="P259:AL259" si="126">IF($J259=0,0,IF(AND(IF(P$250&gt;=$I259,TRUE,FALSE),IF(P$250&lt;=$J259,TRUE,FALSE)),$K259,0))</f>
        <v>0</v>
      </c>
      <c r="Q259" s="72">
        <f t="shared" si="126"/>
        <v>0</v>
      </c>
      <c r="R259" s="72">
        <f t="shared" si="126"/>
        <v>0</v>
      </c>
      <c r="S259" s="72">
        <f t="shared" si="126"/>
        <v>0</v>
      </c>
      <c r="T259" s="72">
        <f t="shared" si="126"/>
        <v>0</v>
      </c>
      <c r="U259" s="72">
        <f t="shared" si="126"/>
        <v>0</v>
      </c>
      <c r="V259" s="72">
        <f t="shared" si="126"/>
        <v>0</v>
      </c>
      <c r="W259" s="72">
        <f t="shared" si="126"/>
        <v>0</v>
      </c>
      <c r="X259" s="72">
        <f t="shared" si="126"/>
        <v>0</v>
      </c>
      <c r="Y259" s="72">
        <f t="shared" si="126"/>
        <v>0</v>
      </c>
      <c r="Z259" s="72">
        <f t="shared" si="126"/>
        <v>0</v>
      </c>
      <c r="AA259" s="72">
        <f t="shared" si="126"/>
        <v>0</v>
      </c>
      <c r="AB259" s="72">
        <f t="shared" si="126"/>
        <v>0</v>
      </c>
      <c r="AC259" s="72">
        <f t="shared" si="126"/>
        <v>0</v>
      </c>
      <c r="AD259" s="72">
        <f t="shared" si="126"/>
        <v>0</v>
      </c>
      <c r="AE259" s="72">
        <f t="shared" si="126"/>
        <v>0</v>
      </c>
      <c r="AF259" s="72">
        <f t="shared" si="126"/>
        <v>0</v>
      </c>
      <c r="AG259" s="72">
        <f t="shared" si="126"/>
        <v>0</v>
      </c>
      <c r="AH259" s="72">
        <f t="shared" si="126"/>
        <v>0</v>
      </c>
      <c r="AI259" s="72">
        <f t="shared" si="126"/>
        <v>0</v>
      </c>
      <c r="AJ259" s="72">
        <f t="shared" si="126"/>
        <v>0</v>
      </c>
      <c r="AK259" s="72">
        <f t="shared" si="126"/>
        <v>0</v>
      </c>
      <c r="AL259" s="72">
        <f t="shared" si="126"/>
        <v>0</v>
      </c>
    </row>
    <row r="260" spans="1:38" hidden="1" x14ac:dyDescent="0.3">
      <c r="A260" s="872">
        <f>IF(A259=B259,0,IF(B259&gt;A259,B259-A259,24-A259+B259))</f>
        <v>0</v>
      </c>
      <c r="B260" s="872"/>
      <c r="C260" s="140"/>
      <c r="D260" s="140"/>
      <c r="E260" s="872">
        <f>IF(E259=F259,0,IF(F259&gt;E259,F259-E259,24-E259+F259))</f>
        <v>0</v>
      </c>
      <c r="F260" s="872"/>
      <c r="G260" s="140"/>
      <c r="H260" s="140"/>
      <c r="I260" s="872">
        <f>IF(I259=J259,0,IF(J259&gt;I259,J259-I259,24-I259+J259))</f>
        <v>0</v>
      </c>
      <c r="J260" s="872"/>
      <c r="K260" s="397"/>
      <c r="L260" s="398"/>
      <c r="M260" s="326"/>
      <c r="N260" s="138"/>
      <c r="O260" s="72"/>
      <c r="P260" s="72"/>
      <c r="Q260" s="72"/>
      <c r="R260" s="72"/>
      <c r="S260" s="72"/>
      <c r="T260" s="72"/>
      <c r="U260" s="72"/>
      <c r="V260" s="72"/>
      <c r="W260" s="72"/>
      <c r="X260" s="72"/>
      <c r="Y260" s="72"/>
      <c r="Z260" s="72"/>
      <c r="AA260" s="72"/>
      <c r="AB260" s="72"/>
      <c r="AC260" s="72"/>
      <c r="AD260" s="72"/>
      <c r="AE260" s="72"/>
      <c r="AF260" s="72"/>
      <c r="AG260" s="72"/>
      <c r="AH260" s="72"/>
      <c r="AI260" s="72"/>
      <c r="AJ260" s="72"/>
      <c r="AK260" s="72"/>
      <c r="AL260" s="72"/>
    </row>
    <row r="261" spans="1:38" x14ac:dyDescent="0.3">
      <c r="A261" s="139"/>
      <c r="B261" s="139"/>
      <c r="C261" s="140"/>
      <c r="D261" s="140"/>
      <c r="E261" s="139"/>
      <c r="F261" s="139"/>
      <c r="G261" s="140"/>
      <c r="H261" s="140"/>
      <c r="I261" s="139"/>
      <c r="J261" s="139"/>
      <c r="K261" s="858"/>
      <c r="L261" s="858"/>
      <c r="M261" s="199"/>
      <c r="N261" s="141" t="s">
        <v>464</v>
      </c>
      <c r="O261" s="142">
        <f>(O257*5+O258+O259)/7</f>
        <v>0</v>
      </c>
      <c r="P261" s="142">
        <f t="shared" ref="P261:AL261" si="127">(P257*5+P258+P259)/7</f>
        <v>0</v>
      </c>
      <c r="Q261" s="142">
        <f t="shared" si="127"/>
        <v>0</v>
      </c>
      <c r="R261" s="142">
        <f t="shared" si="127"/>
        <v>0</v>
      </c>
      <c r="S261" s="142">
        <f t="shared" si="127"/>
        <v>0</v>
      </c>
      <c r="T261" s="142">
        <f t="shared" si="127"/>
        <v>0</v>
      </c>
      <c r="U261" s="142">
        <f t="shared" si="127"/>
        <v>0</v>
      </c>
      <c r="V261" s="142">
        <f t="shared" si="127"/>
        <v>0</v>
      </c>
      <c r="W261" s="142">
        <f t="shared" si="127"/>
        <v>0</v>
      </c>
      <c r="X261" s="142">
        <f t="shared" si="127"/>
        <v>0</v>
      </c>
      <c r="Y261" s="142">
        <f t="shared" si="127"/>
        <v>0</v>
      </c>
      <c r="Z261" s="142">
        <f t="shared" si="127"/>
        <v>0</v>
      </c>
      <c r="AA261" s="142">
        <f t="shared" si="127"/>
        <v>0</v>
      </c>
      <c r="AB261" s="142">
        <f t="shared" si="127"/>
        <v>0</v>
      </c>
      <c r="AC261" s="142">
        <f t="shared" si="127"/>
        <v>0</v>
      </c>
      <c r="AD261" s="142">
        <f t="shared" si="127"/>
        <v>0</v>
      </c>
      <c r="AE261" s="142">
        <f t="shared" si="127"/>
        <v>0</v>
      </c>
      <c r="AF261" s="142">
        <f t="shared" si="127"/>
        <v>0</v>
      </c>
      <c r="AG261" s="142">
        <f t="shared" si="127"/>
        <v>0</v>
      </c>
      <c r="AH261" s="142">
        <f t="shared" si="127"/>
        <v>0</v>
      </c>
      <c r="AI261" s="142">
        <f t="shared" si="127"/>
        <v>0</v>
      </c>
      <c r="AJ261" s="142">
        <f t="shared" si="127"/>
        <v>0</v>
      </c>
      <c r="AK261" s="142">
        <f t="shared" si="127"/>
        <v>0</v>
      </c>
      <c r="AL261" s="142">
        <f t="shared" si="127"/>
        <v>0</v>
      </c>
    </row>
    <row r="262" spans="1:38" x14ac:dyDescent="0.3">
      <c r="A262" s="867" t="s">
        <v>457</v>
      </c>
      <c r="B262" s="868"/>
      <c r="C262" s="868"/>
      <c r="D262" s="868"/>
      <c r="E262" s="868"/>
      <c r="F262" s="868"/>
      <c r="G262" s="868"/>
      <c r="H262" s="868"/>
      <c r="I262" s="868"/>
      <c r="J262" s="868"/>
      <c r="K262" s="868"/>
      <c r="L262" s="868"/>
      <c r="M262" s="324"/>
      <c r="N262" s="863" t="s">
        <v>491</v>
      </c>
      <c r="O262" s="864"/>
      <c r="P262" s="864"/>
      <c r="Q262" s="864"/>
      <c r="R262" s="864"/>
      <c r="S262" s="864"/>
      <c r="T262" s="864"/>
      <c r="U262" s="864"/>
      <c r="V262" s="864"/>
      <c r="W262" s="864"/>
      <c r="X262" s="864"/>
      <c r="Y262" s="864"/>
      <c r="Z262" s="864"/>
      <c r="AA262" s="864"/>
      <c r="AB262" s="864"/>
      <c r="AC262" s="864"/>
      <c r="AD262" s="864"/>
      <c r="AE262" s="864"/>
      <c r="AF262" s="864"/>
      <c r="AG262" s="864"/>
      <c r="AH262" s="864"/>
      <c r="AI262" s="864"/>
      <c r="AJ262" s="864"/>
      <c r="AK262" s="864"/>
      <c r="AL262" s="864"/>
    </row>
    <row r="263" spans="1:38" x14ac:dyDescent="0.3">
      <c r="A263" s="870" t="s">
        <v>417</v>
      </c>
      <c r="B263" s="870"/>
      <c r="C263" s="865" t="s">
        <v>445</v>
      </c>
      <c r="D263" s="865"/>
      <c r="E263" s="870" t="s">
        <v>418</v>
      </c>
      <c r="F263" s="870"/>
      <c r="G263" s="865" t="s">
        <v>445</v>
      </c>
      <c r="H263" s="865"/>
      <c r="I263" s="870" t="s">
        <v>419</v>
      </c>
      <c r="J263" s="870"/>
      <c r="K263" s="865" t="s">
        <v>445</v>
      </c>
      <c r="L263" s="865"/>
      <c r="M263" s="325"/>
      <c r="N263" s="138" t="s">
        <v>461</v>
      </c>
      <c r="O263" s="72">
        <f>IF($B265=0,0,IF(AND(IF(O$250&gt;=$A265,TRUE,FALSE),IF(O$250&lt;=$B265,TRUE,FALSE)),$C265,0))</f>
        <v>0</v>
      </c>
      <c r="P263" s="72">
        <f t="shared" ref="P263:AL263" si="128">IF($B265=0,0,IF(AND(IF(P$250&gt;=$A265,TRUE,FALSE),IF(P$250&lt;=$B265,TRUE,FALSE)),$C265,0))</f>
        <v>0</v>
      </c>
      <c r="Q263" s="72">
        <f t="shared" si="128"/>
        <v>0</v>
      </c>
      <c r="R263" s="72">
        <f t="shared" si="128"/>
        <v>0</v>
      </c>
      <c r="S263" s="72">
        <f t="shared" si="128"/>
        <v>0</v>
      </c>
      <c r="T263" s="72">
        <f t="shared" si="128"/>
        <v>0</v>
      </c>
      <c r="U263" s="72">
        <f t="shared" si="128"/>
        <v>0</v>
      </c>
      <c r="V263" s="72">
        <f t="shared" si="128"/>
        <v>0</v>
      </c>
      <c r="W263" s="72">
        <f t="shared" si="128"/>
        <v>0</v>
      </c>
      <c r="X263" s="72">
        <f t="shared" si="128"/>
        <v>0</v>
      </c>
      <c r="Y263" s="72">
        <f t="shared" si="128"/>
        <v>0</v>
      </c>
      <c r="Z263" s="72">
        <f t="shared" si="128"/>
        <v>0</v>
      </c>
      <c r="AA263" s="72">
        <f t="shared" si="128"/>
        <v>0</v>
      </c>
      <c r="AB263" s="72">
        <f t="shared" si="128"/>
        <v>0</v>
      </c>
      <c r="AC263" s="72">
        <f t="shared" si="128"/>
        <v>0</v>
      </c>
      <c r="AD263" s="72">
        <f t="shared" si="128"/>
        <v>0</v>
      </c>
      <c r="AE263" s="72">
        <f t="shared" si="128"/>
        <v>0</v>
      </c>
      <c r="AF263" s="72">
        <f t="shared" si="128"/>
        <v>0</v>
      </c>
      <c r="AG263" s="72">
        <f t="shared" si="128"/>
        <v>0</v>
      </c>
      <c r="AH263" s="72">
        <f t="shared" si="128"/>
        <v>0</v>
      </c>
      <c r="AI263" s="72">
        <f t="shared" si="128"/>
        <v>0</v>
      </c>
      <c r="AJ263" s="72">
        <f t="shared" si="128"/>
        <v>0</v>
      </c>
      <c r="AK263" s="72">
        <f t="shared" si="128"/>
        <v>0</v>
      </c>
      <c r="AL263" s="72">
        <f t="shared" si="128"/>
        <v>0</v>
      </c>
    </row>
    <row r="264" spans="1:38" x14ac:dyDescent="0.3">
      <c r="A264" s="21" t="s">
        <v>421</v>
      </c>
      <c r="B264" s="21" t="s">
        <v>422</v>
      </c>
      <c r="C264" s="566"/>
      <c r="D264" s="566"/>
      <c r="E264" s="21" t="s">
        <v>421</v>
      </c>
      <c r="F264" s="21" t="s">
        <v>422</v>
      </c>
      <c r="G264" s="566"/>
      <c r="H264" s="566"/>
      <c r="I264" s="21" t="s">
        <v>421</v>
      </c>
      <c r="J264" s="21" t="s">
        <v>422</v>
      </c>
      <c r="K264" s="566"/>
      <c r="L264" s="566"/>
      <c r="M264" s="199"/>
      <c r="N264" s="138" t="s">
        <v>462</v>
      </c>
      <c r="O264" s="72">
        <f>IF($F265=0,0,IF(AND(IF(O$250&gt;=$E265,TRUE,FALSE),IF(O$250&lt;=$F265,TRUE,FALSE)),$G265,0))</f>
        <v>0</v>
      </c>
      <c r="P264" s="72">
        <f t="shared" ref="P264:AL264" si="129">IF($F265=0,0,IF(AND(IF(P$250&gt;=$E265,TRUE,FALSE),IF(P$250&lt;=$F265,TRUE,FALSE)),$G265,0))</f>
        <v>0</v>
      </c>
      <c r="Q264" s="72">
        <f t="shared" si="129"/>
        <v>0</v>
      </c>
      <c r="R264" s="72">
        <f t="shared" si="129"/>
        <v>0</v>
      </c>
      <c r="S264" s="72">
        <f t="shared" si="129"/>
        <v>0</v>
      </c>
      <c r="T264" s="72">
        <f t="shared" si="129"/>
        <v>0</v>
      </c>
      <c r="U264" s="72">
        <f t="shared" si="129"/>
        <v>0</v>
      </c>
      <c r="V264" s="72">
        <f t="shared" si="129"/>
        <v>0</v>
      </c>
      <c r="W264" s="72">
        <f t="shared" si="129"/>
        <v>0</v>
      </c>
      <c r="X264" s="72">
        <f t="shared" si="129"/>
        <v>0</v>
      </c>
      <c r="Y264" s="72">
        <f t="shared" si="129"/>
        <v>0</v>
      </c>
      <c r="Z264" s="72">
        <f t="shared" si="129"/>
        <v>0</v>
      </c>
      <c r="AA264" s="72">
        <f t="shared" si="129"/>
        <v>0</v>
      </c>
      <c r="AB264" s="72">
        <f t="shared" si="129"/>
        <v>0</v>
      </c>
      <c r="AC264" s="72">
        <f t="shared" si="129"/>
        <v>0</v>
      </c>
      <c r="AD264" s="72">
        <f t="shared" si="129"/>
        <v>0</v>
      </c>
      <c r="AE264" s="72">
        <f t="shared" si="129"/>
        <v>0</v>
      </c>
      <c r="AF264" s="72">
        <f t="shared" si="129"/>
        <v>0</v>
      </c>
      <c r="AG264" s="72">
        <f t="shared" si="129"/>
        <v>0</v>
      </c>
      <c r="AH264" s="72">
        <f t="shared" si="129"/>
        <v>0</v>
      </c>
      <c r="AI264" s="72">
        <f t="shared" si="129"/>
        <v>0</v>
      </c>
      <c r="AJ264" s="72">
        <f t="shared" si="129"/>
        <v>0</v>
      </c>
      <c r="AK264" s="72">
        <f t="shared" si="129"/>
        <v>0</v>
      </c>
      <c r="AL264" s="72">
        <f t="shared" si="129"/>
        <v>0</v>
      </c>
    </row>
    <row r="265" spans="1:38" x14ac:dyDescent="0.3">
      <c r="A265" s="134"/>
      <c r="B265" s="134"/>
      <c r="C265" s="851">
        <v>0</v>
      </c>
      <c r="D265" s="851"/>
      <c r="E265" s="134"/>
      <c r="F265" s="134"/>
      <c r="G265" s="851">
        <v>0</v>
      </c>
      <c r="H265" s="851"/>
      <c r="I265" s="134"/>
      <c r="J265" s="134"/>
      <c r="K265" s="851">
        <v>0</v>
      </c>
      <c r="L265" s="851"/>
      <c r="M265" s="326"/>
      <c r="N265" s="138" t="s">
        <v>463</v>
      </c>
      <c r="O265" s="72">
        <f>IF($J265=0,0,IF(AND(IF(O$250&gt;=$I265,TRUE,FALSE),IF(O$250&lt;=$J265,TRUE,FALSE)),$K265,0))</f>
        <v>0</v>
      </c>
      <c r="P265" s="72">
        <f t="shared" ref="P265:AL265" si="130">IF($J265=0,0,IF(AND(IF(P$250&gt;=$I265,TRUE,FALSE),IF(P$250&lt;=$J265,TRUE,FALSE)),$K265,0))</f>
        <v>0</v>
      </c>
      <c r="Q265" s="72">
        <f t="shared" si="130"/>
        <v>0</v>
      </c>
      <c r="R265" s="72">
        <f t="shared" si="130"/>
        <v>0</v>
      </c>
      <c r="S265" s="72">
        <f t="shared" si="130"/>
        <v>0</v>
      </c>
      <c r="T265" s="72">
        <f t="shared" si="130"/>
        <v>0</v>
      </c>
      <c r="U265" s="72">
        <f t="shared" si="130"/>
        <v>0</v>
      </c>
      <c r="V265" s="72">
        <f t="shared" si="130"/>
        <v>0</v>
      </c>
      <c r="W265" s="72">
        <f t="shared" si="130"/>
        <v>0</v>
      </c>
      <c r="X265" s="72">
        <f t="shared" si="130"/>
        <v>0</v>
      </c>
      <c r="Y265" s="72">
        <f t="shared" si="130"/>
        <v>0</v>
      </c>
      <c r="Z265" s="72">
        <f t="shared" si="130"/>
        <v>0</v>
      </c>
      <c r="AA265" s="72">
        <f t="shared" si="130"/>
        <v>0</v>
      </c>
      <c r="AB265" s="72">
        <f t="shared" si="130"/>
        <v>0</v>
      </c>
      <c r="AC265" s="72">
        <f t="shared" si="130"/>
        <v>0</v>
      </c>
      <c r="AD265" s="72">
        <f t="shared" si="130"/>
        <v>0</v>
      </c>
      <c r="AE265" s="72">
        <f t="shared" si="130"/>
        <v>0</v>
      </c>
      <c r="AF265" s="72">
        <f t="shared" si="130"/>
        <v>0</v>
      </c>
      <c r="AG265" s="72">
        <f t="shared" si="130"/>
        <v>0</v>
      </c>
      <c r="AH265" s="72">
        <f t="shared" si="130"/>
        <v>0</v>
      </c>
      <c r="AI265" s="72">
        <f t="shared" si="130"/>
        <v>0</v>
      </c>
      <c r="AJ265" s="72">
        <f t="shared" si="130"/>
        <v>0</v>
      </c>
      <c r="AK265" s="72">
        <f t="shared" si="130"/>
        <v>0</v>
      </c>
      <c r="AL265" s="72">
        <f t="shared" si="130"/>
        <v>0</v>
      </c>
    </row>
    <row r="266" spans="1:38" hidden="1" x14ac:dyDescent="0.3">
      <c r="A266" s="872">
        <f>IF(A265=B265,0,IF(B265&gt;A265,B265-A265,24-A265+B265))</f>
        <v>0</v>
      </c>
      <c r="B266" s="872"/>
      <c r="C266" s="140"/>
      <c r="D266" s="140"/>
      <c r="E266" s="872">
        <f>IF(E265=F265,0,IF(F265&gt;E265,F265-E265,24-E265+F265))</f>
        <v>0</v>
      </c>
      <c r="F266" s="872"/>
      <c r="G266" s="140"/>
      <c r="H266" s="140"/>
      <c r="I266" s="872">
        <f>IF(I265=J265,0,IF(J265&gt;I265,J265-I265,24-I265+J265))</f>
        <v>0</v>
      </c>
      <c r="J266" s="872"/>
      <c r="K266" s="397"/>
      <c r="L266" s="398"/>
      <c r="M266" s="326"/>
      <c r="N266" s="138"/>
      <c r="O266" s="72"/>
      <c r="P266" s="72"/>
      <c r="Q266" s="72"/>
      <c r="R266" s="72"/>
      <c r="S266" s="72"/>
      <c r="T266" s="72"/>
      <c r="U266" s="72"/>
      <c r="V266" s="72"/>
      <c r="W266" s="72"/>
      <c r="X266" s="72"/>
      <c r="Y266" s="72"/>
      <c r="Z266" s="72"/>
      <c r="AA266" s="72"/>
      <c r="AB266" s="72"/>
      <c r="AC266" s="72"/>
      <c r="AD266" s="72"/>
      <c r="AE266" s="72"/>
      <c r="AF266" s="72"/>
      <c r="AG266" s="72"/>
      <c r="AH266" s="72"/>
      <c r="AI266" s="72"/>
      <c r="AJ266" s="72"/>
      <c r="AK266" s="72"/>
      <c r="AL266" s="72"/>
    </row>
    <row r="267" spans="1:38" x14ac:dyDescent="0.3">
      <c r="A267" s="139"/>
      <c r="B267" s="139"/>
      <c r="C267" s="140"/>
      <c r="D267" s="140"/>
      <c r="E267" s="139"/>
      <c r="F267" s="139"/>
      <c r="G267" s="140"/>
      <c r="H267" s="140"/>
      <c r="I267" s="139"/>
      <c r="J267" s="139"/>
      <c r="K267" s="858"/>
      <c r="L267" s="858"/>
      <c r="M267" s="199"/>
      <c r="N267" s="141" t="s">
        <v>464</v>
      </c>
      <c r="O267" s="142">
        <f>(O263*5+O264+O265)/7</f>
        <v>0</v>
      </c>
      <c r="P267" s="142">
        <f t="shared" ref="P267:AL267" si="131">(P263*5+P264+P265)/7</f>
        <v>0</v>
      </c>
      <c r="Q267" s="142">
        <f t="shared" si="131"/>
        <v>0</v>
      </c>
      <c r="R267" s="142">
        <f t="shared" si="131"/>
        <v>0</v>
      </c>
      <c r="S267" s="142">
        <f t="shared" si="131"/>
        <v>0</v>
      </c>
      <c r="T267" s="142">
        <f t="shared" si="131"/>
        <v>0</v>
      </c>
      <c r="U267" s="142">
        <f t="shared" si="131"/>
        <v>0</v>
      </c>
      <c r="V267" s="142">
        <f t="shared" si="131"/>
        <v>0</v>
      </c>
      <c r="W267" s="142">
        <f t="shared" si="131"/>
        <v>0</v>
      </c>
      <c r="X267" s="142">
        <f t="shared" si="131"/>
        <v>0</v>
      </c>
      <c r="Y267" s="142">
        <f t="shared" si="131"/>
        <v>0</v>
      </c>
      <c r="Z267" s="142">
        <f t="shared" si="131"/>
        <v>0</v>
      </c>
      <c r="AA267" s="142">
        <f t="shared" si="131"/>
        <v>0</v>
      </c>
      <c r="AB267" s="142">
        <f t="shared" si="131"/>
        <v>0</v>
      </c>
      <c r="AC267" s="142">
        <f t="shared" si="131"/>
        <v>0</v>
      </c>
      <c r="AD267" s="142">
        <f t="shared" si="131"/>
        <v>0</v>
      </c>
      <c r="AE267" s="142">
        <f t="shared" si="131"/>
        <v>0</v>
      </c>
      <c r="AF267" s="142">
        <f t="shared" si="131"/>
        <v>0</v>
      </c>
      <c r="AG267" s="142">
        <f t="shared" si="131"/>
        <v>0</v>
      </c>
      <c r="AH267" s="142">
        <f t="shared" si="131"/>
        <v>0</v>
      </c>
      <c r="AI267" s="142">
        <f t="shared" si="131"/>
        <v>0</v>
      </c>
      <c r="AJ267" s="142">
        <f t="shared" si="131"/>
        <v>0</v>
      </c>
      <c r="AK267" s="142">
        <f t="shared" si="131"/>
        <v>0</v>
      </c>
      <c r="AL267" s="142">
        <f t="shared" si="131"/>
        <v>0</v>
      </c>
    </row>
    <row r="268" spans="1:38" x14ac:dyDescent="0.3">
      <c r="A268" s="867" t="s">
        <v>459</v>
      </c>
      <c r="B268" s="868"/>
      <c r="C268" s="868"/>
      <c r="D268" s="868"/>
      <c r="E268" s="868"/>
      <c r="F268" s="868"/>
      <c r="G268" s="868"/>
      <c r="H268" s="868"/>
      <c r="I268" s="868"/>
      <c r="J268" s="868"/>
      <c r="K268" s="868"/>
      <c r="L268" s="868"/>
      <c r="M268" s="324"/>
      <c r="N268" s="863" t="s">
        <v>492</v>
      </c>
      <c r="O268" s="864"/>
      <c r="P268" s="864"/>
      <c r="Q268" s="864"/>
      <c r="R268" s="864"/>
      <c r="S268" s="864"/>
      <c r="T268" s="864"/>
      <c r="U268" s="864"/>
      <c r="V268" s="864"/>
      <c r="W268" s="864"/>
      <c r="X268" s="864"/>
      <c r="Y268" s="864"/>
      <c r="Z268" s="864"/>
      <c r="AA268" s="864"/>
      <c r="AB268" s="864"/>
      <c r="AC268" s="864"/>
      <c r="AD268" s="864"/>
      <c r="AE268" s="864"/>
      <c r="AF268" s="864"/>
      <c r="AG268" s="864"/>
      <c r="AH268" s="864"/>
      <c r="AI268" s="864"/>
      <c r="AJ268" s="864"/>
      <c r="AK268" s="864"/>
      <c r="AL268" s="864"/>
    </row>
    <row r="269" spans="1:38" x14ac:dyDescent="0.3">
      <c r="A269" s="870" t="s">
        <v>417</v>
      </c>
      <c r="B269" s="870"/>
      <c r="C269" s="865" t="s">
        <v>445</v>
      </c>
      <c r="D269" s="865"/>
      <c r="E269" s="870" t="s">
        <v>418</v>
      </c>
      <c r="F269" s="870"/>
      <c r="G269" s="865" t="s">
        <v>445</v>
      </c>
      <c r="H269" s="865"/>
      <c r="I269" s="870" t="s">
        <v>419</v>
      </c>
      <c r="J269" s="870"/>
      <c r="K269" s="865" t="s">
        <v>445</v>
      </c>
      <c r="L269" s="865"/>
      <c r="M269" s="325"/>
      <c r="N269" s="138" t="s">
        <v>461</v>
      </c>
      <c r="O269" s="72">
        <f>IF($B271=0,0,IF(AND(IF(O$250&gt;=$A271,TRUE,FALSE),IF(O$250&lt;=$B271,TRUE,FALSE)),$C271,0))</f>
        <v>0</v>
      </c>
      <c r="P269" s="72">
        <f t="shared" ref="P269:AL269" si="132">IF($B271=0,0,IF(AND(IF(P$250&gt;=$A271,TRUE,FALSE),IF(P$250&lt;=$B271,TRUE,FALSE)),$C271,0))</f>
        <v>0</v>
      </c>
      <c r="Q269" s="72">
        <f t="shared" si="132"/>
        <v>0</v>
      </c>
      <c r="R269" s="72">
        <f t="shared" si="132"/>
        <v>0</v>
      </c>
      <c r="S269" s="72">
        <f t="shared" si="132"/>
        <v>0</v>
      </c>
      <c r="T269" s="72">
        <f t="shared" si="132"/>
        <v>0</v>
      </c>
      <c r="U269" s="72">
        <f t="shared" si="132"/>
        <v>0</v>
      </c>
      <c r="V269" s="72">
        <f t="shared" si="132"/>
        <v>0</v>
      </c>
      <c r="W269" s="72">
        <f t="shared" si="132"/>
        <v>0</v>
      </c>
      <c r="X269" s="72">
        <f t="shared" si="132"/>
        <v>0</v>
      </c>
      <c r="Y269" s="72">
        <f t="shared" si="132"/>
        <v>0</v>
      </c>
      <c r="Z269" s="72">
        <f t="shared" si="132"/>
        <v>0</v>
      </c>
      <c r="AA269" s="72">
        <f t="shared" si="132"/>
        <v>0</v>
      </c>
      <c r="AB269" s="72">
        <f t="shared" si="132"/>
        <v>0</v>
      </c>
      <c r="AC269" s="72">
        <f t="shared" si="132"/>
        <v>0</v>
      </c>
      <c r="AD269" s="72">
        <f t="shared" si="132"/>
        <v>0</v>
      </c>
      <c r="AE269" s="72">
        <f t="shared" si="132"/>
        <v>0</v>
      </c>
      <c r="AF269" s="72">
        <f t="shared" si="132"/>
        <v>0</v>
      </c>
      <c r="AG269" s="72">
        <f t="shared" si="132"/>
        <v>0</v>
      </c>
      <c r="AH269" s="72">
        <f t="shared" si="132"/>
        <v>0</v>
      </c>
      <c r="AI269" s="72">
        <f t="shared" si="132"/>
        <v>0</v>
      </c>
      <c r="AJ269" s="72">
        <f t="shared" si="132"/>
        <v>0</v>
      </c>
      <c r="AK269" s="72">
        <f t="shared" si="132"/>
        <v>0</v>
      </c>
      <c r="AL269" s="72">
        <f t="shared" si="132"/>
        <v>0</v>
      </c>
    </row>
    <row r="270" spans="1:38" x14ac:dyDescent="0.3">
      <c r="A270" s="21" t="s">
        <v>421</v>
      </c>
      <c r="B270" s="21" t="s">
        <v>422</v>
      </c>
      <c r="C270" s="566"/>
      <c r="D270" s="566"/>
      <c r="E270" s="21" t="s">
        <v>421</v>
      </c>
      <c r="F270" s="21" t="s">
        <v>422</v>
      </c>
      <c r="G270" s="566"/>
      <c r="H270" s="566"/>
      <c r="I270" s="21" t="s">
        <v>421</v>
      </c>
      <c r="J270" s="21" t="s">
        <v>422</v>
      </c>
      <c r="K270" s="566"/>
      <c r="L270" s="566"/>
      <c r="M270" s="199"/>
      <c r="N270" s="138" t="s">
        <v>462</v>
      </c>
      <c r="O270" s="72">
        <f>IF($F271=0,0,IF(AND(IF(O$250&gt;=$E271,TRUE,FALSE),IF(O$250&lt;=$F271,TRUE,FALSE)),$G271,0))</f>
        <v>0</v>
      </c>
      <c r="P270" s="72">
        <f t="shared" ref="P270:AL270" si="133">IF($F271=0,0,IF(AND(IF(P$250&gt;=$E271,TRUE,FALSE),IF(P$250&lt;=$F271,TRUE,FALSE)),$G271,0))</f>
        <v>0</v>
      </c>
      <c r="Q270" s="72">
        <f t="shared" si="133"/>
        <v>0</v>
      </c>
      <c r="R270" s="72">
        <f t="shared" si="133"/>
        <v>0</v>
      </c>
      <c r="S270" s="72">
        <f t="shared" si="133"/>
        <v>0</v>
      </c>
      <c r="T270" s="72">
        <f t="shared" si="133"/>
        <v>0</v>
      </c>
      <c r="U270" s="72">
        <f t="shared" si="133"/>
        <v>0</v>
      </c>
      <c r="V270" s="72">
        <f t="shared" si="133"/>
        <v>0</v>
      </c>
      <c r="W270" s="72">
        <f t="shared" si="133"/>
        <v>0</v>
      </c>
      <c r="X270" s="72">
        <f t="shared" si="133"/>
        <v>0</v>
      </c>
      <c r="Y270" s="72">
        <f t="shared" si="133"/>
        <v>0</v>
      </c>
      <c r="Z270" s="72">
        <f t="shared" si="133"/>
        <v>0</v>
      </c>
      <c r="AA270" s="72">
        <f t="shared" si="133"/>
        <v>0</v>
      </c>
      <c r="AB270" s="72">
        <f t="shared" si="133"/>
        <v>0</v>
      </c>
      <c r="AC270" s="72">
        <f t="shared" si="133"/>
        <v>0</v>
      </c>
      <c r="AD270" s="72">
        <f t="shared" si="133"/>
        <v>0</v>
      </c>
      <c r="AE270" s="72">
        <f t="shared" si="133"/>
        <v>0</v>
      </c>
      <c r="AF270" s="72">
        <f t="shared" si="133"/>
        <v>0</v>
      </c>
      <c r="AG270" s="72">
        <f t="shared" si="133"/>
        <v>0</v>
      </c>
      <c r="AH270" s="72">
        <f t="shared" si="133"/>
        <v>0</v>
      </c>
      <c r="AI270" s="72">
        <f t="shared" si="133"/>
        <v>0</v>
      </c>
      <c r="AJ270" s="72">
        <f t="shared" si="133"/>
        <v>0</v>
      </c>
      <c r="AK270" s="72">
        <f t="shared" si="133"/>
        <v>0</v>
      </c>
      <c r="AL270" s="72">
        <f t="shared" si="133"/>
        <v>0</v>
      </c>
    </row>
    <row r="271" spans="1:38" x14ac:dyDescent="0.3">
      <c r="A271" s="134"/>
      <c r="B271" s="134"/>
      <c r="C271" s="851">
        <v>0</v>
      </c>
      <c r="D271" s="851"/>
      <c r="E271" s="134"/>
      <c r="F271" s="134"/>
      <c r="G271" s="851">
        <v>0</v>
      </c>
      <c r="H271" s="851"/>
      <c r="I271" s="134"/>
      <c r="J271" s="134"/>
      <c r="K271" s="851">
        <v>0</v>
      </c>
      <c r="L271" s="851"/>
      <c r="M271" s="326"/>
      <c r="N271" s="138" t="s">
        <v>463</v>
      </c>
      <c r="O271" s="72">
        <f>IF($J271=0,0,IF(AND(IF(O$250&gt;=$I271,TRUE,FALSE),IF(O$250&lt;=$J271,TRUE,FALSE)),$K271,0))</f>
        <v>0</v>
      </c>
      <c r="P271" s="72">
        <f t="shared" ref="P271:AL271" si="134">IF($J271=0,0,IF(AND(IF(P$250&gt;=$I271,TRUE,FALSE),IF(P$250&lt;=$J271,TRUE,FALSE)),$K271,0))</f>
        <v>0</v>
      </c>
      <c r="Q271" s="72">
        <f t="shared" si="134"/>
        <v>0</v>
      </c>
      <c r="R271" s="72">
        <f t="shared" si="134"/>
        <v>0</v>
      </c>
      <c r="S271" s="72">
        <f t="shared" si="134"/>
        <v>0</v>
      </c>
      <c r="T271" s="72">
        <f t="shared" si="134"/>
        <v>0</v>
      </c>
      <c r="U271" s="72">
        <f t="shared" si="134"/>
        <v>0</v>
      </c>
      <c r="V271" s="72">
        <f t="shared" si="134"/>
        <v>0</v>
      </c>
      <c r="W271" s="72">
        <f t="shared" si="134"/>
        <v>0</v>
      </c>
      <c r="X271" s="72">
        <f t="shared" si="134"/>
        <v>0</v>
      </c>
      <c r="Y271" s="72">
        <f t="shared" si="134"/>
        <v>0</v>
      </c>
      <c r="Z271" s="72">
        <f t="shared" si="134"/>
        <v>0</v>
      </c>
      <c r="AA271" s="72">
        <f t="shared" si="134"/>
        <v>0</v>
      </c>
      <c r="AB271" s="72">
        <f t="shared" si="134"/>
        <v>0</v>
      </c>
      <c r="AC271" s="72">
        <f t="shared" si="134"/>
        <v>0</v>
      </c>
      <c r="AD271" s="72">
        <f t="shared" si="134"/>
        <v>0</v>
      </c>
      <c r="AE271" s="72">
        <f t="shared" si="134"/>
        <v>0</v>
      </c>
      <c r="AF271" s="72">
        <f t="shared" si="134"/>
        <v>0</v>
      </c>
      <c r="AG271" s="72">
        <f t="shared" si="134"/>
        <v>0</v>
      </c>
      <c r="AH271" s="72">
        <f t="shared" si="134"/>
        <v>0</v>
      </c>
      <c r="AI271" s="72">
        <f t="shared" si="134"/>
        <v>0</v>
      </c>
      <c r="AJ271" s="72">
        <f t="shared" si="134"/>
        <v>0</v>
      </c>
      <c r="AK271" s="72">
        <f t="shared" si="134"/>
        <v>0</v>
      </c>
      <c r="AL271" s="72">
        <f t="shared" si="134"/>
        <v>0</v>
      </c>
    </row>
    <row r="272" spans="1:38" hidden="1" x14ac:dyDescent="0.3">
      <c r="A272" s="872">
        <f>IF(A271=B271,0,IF(B271&gt;A271,B271-A271,24-A271+B271))</f>
        <v>0</v>
      </c>
      <c r="B272" s="872"/>
      <c r="C272" s="140"/>
      <c r="D272" s="140"/>
      <c r="E272" s="872">
        <f>IF(E271=F271,0,IF(F271&gt;E271,F271-E271,24-E271+F271))</f>
        <v>0</v>
      </c>
      <c r="F272" s="872"/>
      <c r="G272" s="140"/>
      <c r="H272" s="140"/>
      <c r="I272" s="872">
        <f>IF(I271=J271,0,IF(J271&gt;I271,J271-I271,24-I271+J271))</f>
        <v>0</v>
      </c>
      <c r="J272" s="872"/>
      <c r="K272" s="397"/>
      <c r="L272" s="398"/>
      <c r="M272" s="326"/>
      <c r="N272" s="138"/>
      <c r="O272" s="72"/>
      <c r="P272" s="72"/>
      <c r="Q272" s="72"/>
      <c r="R272" s="72"/>
      <c r="S272" s="72"/>
      <c r="T272" s="72"/>
      <c r="U272" s="72"/>
      <c r="V272" s="72"/>
      <c r="W272" s="72"/>
      <c r="X272" s="72"/>
      <c r="Y272" s="72"/>
      <c r="Z272" s="72"/>
      <c r="AA272" s="72"/>
      <c r="AB272" s="72"/>
      <c r="AC272" s="72"/>
      <c r="AD272" s="72"/>
      <c r="AE272" s="72"/>
      <c r="AF272" s="72"/>
      <c r="AG272" s="72"/>
      <c r="AH272" s="72"/>
      <c r="AI272" s="72"/>
      <c r="AJ272" s="72"/>
      <c r="AK272" s="72"/>
      <c r="AL272" s="72"/>
    </row>
    <row r="273" spans="1:38" x14ac:dyDescent="0.3">
      <c r="A273" s="139"/>
      <c r="B273" s="139"/>
      <c r="C273" s="140"/>
      <c r="D273" s="140"/>
      <c r="E273" s="139"/>
      <c r="F273" s="139"/>
      <c r="G273" s="140"/>
      <c r="H273" s="140"/>
      <c r="I273" s="139"/>
      <c r="J273" s="139"/>
      <c r="K273" s="858"/>
      <c r="L273" s="858"/>
      <c r="M273" s="199"/>
      <c r="N273" s="141" t="s">
        <v>464</v>
      </c>
      <c r="O273" s="142">
        <f>(O269*5+O270+O271)/7</f>
        <v>0</v>
      </c>
      <c r="P273" s="142">
        <f t="shared" ref="P273:AL273" si="135">(P269*5+P270+P271)/7</f>
        <v>0</v>
      </c>
      <c r="Q273" s="142">
        <f t="shared" si="135"/>
        <v>0</v>
      </c>
      <c r="R273" s="142">
        <f t="shared" si="135"/>
        <v>0</v>
      </c>
      <c r="S273" s="142">
        <f t="shared" si="135"/>
        <v>0</v>
      </c>
      <c r="T273" s="142">
        <f t="shared" si="135"/>
        <v>0</v>
      </c>
      <c r="U273" s="142">
        <f t="shared" si="135"/>
        <v>0</v>
      </c>
      <c r="V273" s="142">
        <f t="shared" si="135"/>
        <v>0</v>
      </c>
      <c r="W273" s="142">
        <f t="shared" si="135"/>
        <v>0</v>
      </c>
      <c r="X273" s="142">
        <f t="shared" si="135"/>
        <v>0</v>
      </c>
      <c r="Y273" s="142">
        <f t="shared" si="135"/>
        <v>0</v>
      </c>
      <c r="Z273" s="142">
        <f t="shared" si="135"/>
        <v>0</v>
      </c>
      <c r="AA273" s="142">
        <f t="shared" si="135"/>
        <v>0</v>
      </c>
      <c r="AB273" s="142">
        <f t="shared" si="135"/>
        <v>0</v>
      </c>
      <c r="AC273" s="142">
        <f t="shared" si="135"/>
        <v>0</v>
      </c>
      <c r="AD273" s="142">
        <f t="shared" si="135"/>
        <v>0</v>
      </c>
      <c r="AE273" s="142">
        <f t="shared" si="135"/>
        <v>0</v>
      </c>
      <c r="AF273" s="142">
        <f t="shared" si="135"/>
        <v>0</v>
      </c>
      <c r="AG273" s="142">
        <f t="shared" si="135"/>
        <v>0</v>
      </c>
      <c r="AH273" s="142">
        <f t="shared" si="135"/>
        <v>0</v>
      </c>
      <c r="AI273" s="142">
        <f t="shared" si="135"/>
        <v>0</v>
      </c>
      <c r="AJ273" s="142">
        <f t="shared" si="135"/>
        <v>0</v>
      </c>
      <c r="AK273" s="142">
        <f t="shared" si="135"/>
        <v>0</v>
      </c>
      <c r="AL273" s="142">
        <f t="shared" si="135"/>
        <v>0</v>
      </c>
    </row>
    <row r="274" spans="1:38" x14ac:dyDescent="0.3">
      <c r="A274" s="867" t="s">
        <v>460</v>
      </c>
      <c r="B274" s="868"/>
      <c r="C274" s="868"/>
      <c r="D274" s="868"/>
      <c r="E274" s="868"/>
      <c r="F274" s="868"/>
      <c r="G274" s="868"/>
      <c r="H274" s="868"/>
      <c r="I274" s="868"/>
      <c r="J274" s="868"/>
      <c r="K274" s="868"/>
      <c r="L274" s="868"/>
      <c r="M274" s="324"/>
      <c r="N274" s="863" t="s">
        <v>493</v>
      </c>
      <c r="O274" s="864"/>
      <c r="P274" s="864"/>
      <c r="Q274" s="864"/>
      <c r="R274" s="864"/>
      <c r="S274" s="864"/>
      <c r="T274" s="864"/>
      <c r="U274" s="864"/>
      <c r="V274" s="864"/>
      <c r="W274" s="864"/>
      <c r="X274" s="864"/>
      <c r="Y274" s="864"/>
      <c r="Z274" s="864"/>
      <c r="AA274" s="864"/>
      <c r="AB274" s="864"/>
      <c r="AC274" s="864"/>
      <c r="AD274" s="864"/>
      <c r="AE274" s="864"/>
      <c r="AF274" s="864"/>
      <c r="AG274" s="864"/>
      <c r="AH274" s="864"/>
      <c r="AI274" s="864"/>
      <c r="AJ274" s="864"/>
      <c r="AK274" s="864"/>
      <c r="AL274" s="864"/>
    </row>
    <row r="275" spans="1:38" x14ac:dyDescent="0.3">
      <c r="A275" s="870" t="s">
        <v>417</v>
      </c>
      <c r="B275" s="870"/>
      <c r="C275" s="865" t="s">
        <v>445</v>
      </c>
      <c r="D275" s="865"/>
      <c r="E275" s="870" t="s">
        <v>418</v>
      </c>
      <c r="F275" s="870"/>
      <c r="G275" s="865" t="s">
        <v>445</v>
      </c>
      <c r="H275" s="865"/>
      <c r="I275" s="870" t="s">
        <v>419</v>
      </c>
      <c r="J275" s="870"/>
      <c r="K275" s="865" t="s">
        <v>445</v>
      </c>
      <c r="L275" s="865"/>
      <c r="M275" s="325"/>
      <c r="N275" s="138" t="s">
        <v>461</v>
      </c>
      <c r="O275" s="72">
        <f>IF($B277=0,0,IF(AND(IF(O$250&gt;=$A277,TRUE,FALSE),IF(O$250&lt;=$B277,TRUE,FALSE)),$C277,0))</f>
        <v>0</v>
      </c>
      <c r="P275" s="72">
        <f t="shared" ref="P275:AL275" si="136">IF($B277=0,0,IF(AND(IF(P$250&gt;=$A277,TRUE,FALSE),IF(P$250&lt;=$B277,TRUE,FALSE)),$C277,0))</f>
        <v>0</v>
      </c>
      <c r="Q275" s="72">
        <f t="shared" si="136"/>
        <v>0</v>
      </c>
      <c r="R275" s="72">
        <f t="shared" si="136"/>
        <v>0</v>
      </c>
      <c r="S275" s="72">
        <f t="shared" si="136"/>
        <v>0</v>
      </c>
      <c r="T275" s="72">
        <f t="shared" si="136"/>
        <v>0</v>
      </c>
      <c r="U275" s="72">
        <f t="shared" si="136"/>
        <v>0</v>
      </c>
      <c r="V275" s="72">
        <f t="shared" si="136"/>
        <v>0</v>
      </c>
      <c r="W275" s="72">
        <f t="shared" si="136"/>
        <v>0</v>
      </c>
      <c r="X275" s="72">
        <f t="shared" si="136"/>
        <v>0</v>
      </c>
      <c r="Y275" s="72">
        <f t="shared" si="136"/>
        <v>0</v>
      </c>
      <c r="Z275" s="72">
        <f t="shared" si="136"/>
        <v>0</v>
      </c>
      <c r="AA275" s="72">
        <f t="shared" si="136"/>
        <v>0</v>
      </c>
      <c r="AB275" s="72">
        <f t="shared" si="136"/>
        <v>0</v>
      </c>
      <c r="AC275" s="72">
        <f t="shared" si="136"/>
        <v>0</v>
      </c>
      <c r="AD275" s="72">
        <f t="shared" si="136"/>
        <v>0</v>
      </c>
      <c r="AE275" s="72">
        <f t="shared" si="136"/>
        <v>0</v>
      </c>
      <c r="AF275" s="72">
        <f t="shared" si="136"/>
        <v>0</v>
      </c>
      <c r="AG275" s="72">
        <f t="shared" si="136"/>
        <v>0</v>
      </c>
      <c r="AH275" s="72">
        <f t="shared" si="136"/>
        <v>0</v>
      </c>
      <c r="AI275" s="72">
        <f t="shared" si="136"/>
        <v>0</v>
      </c>
      <c r="AJ275" s="72">
        <f t="shared" si="136"/>
        <v>0</v>
      </c>
      <c r="AK275" s="72">
        <f t="shared" si="136"/>
        <v>0</v>
      </c>
      <c r="AL275" s="72">
        <f t="shared" si="136"/>
        <v>0</v>
      </c>
    </row>
    <row r="276" spans="1:38" x14ac:dyDescent="0.3">
      <c r="A276" s="21" t="s">
        <v>421</v>
      </c>
      <c r="B276" s="21" t="s">
        <v>422</v>
      </c>
      <c r="C276" s="566"/>
      <c r="D276" s="566"/>
      <c r="E276" s="21" t="s">
        <v>421</v>
      </c>
      <c r="F276" s="21" t="s">
        <v>422</v>
      </c>
      <c r="G276" s="566"/>
      <c r="H276" s="566"/>
      <c r="I276" s="21" t="s">
        <v>421</v>
      </c>
      <c r="J276" s="21" t="s">
        <v>422</v>
      </c>
      <c r="K276" s="566"/>
      <c r="L276" s="566"/>
      <c r="M276" s="199"/>
      <c r="N276" s="138" t="s">
        <v>462</v>
      </c>
      <c r="O276" s="72">
        <f>IF($F277=0,0,IF(AND(IF(O$250&gt;=$E277,TRUE,FALSE),IF(O$250&lt;=$F277,TRUE,FALSE)),$G277,0))</f>
        <v>0</v>
      </c>
      <c r="P276" s="72">
        <f t="shared" ref="P276:AL276" si="137">IF($F277=0,0,IF(AND(IF(P$250&gt;=$E277,TRUE,FALSE),IF(P$250&lt;=$F277,TRUE,FALSE)),$G277,0))</f>
        <v>0</v>
      </c>
      <c r="Q276" s="72">
        <f t="shared" si="137"/>
        <v>0</v>
      </c>
      <c r="R276" s="72">
        <f t="shared" si="137"/>
        <v>0</v>
      </c>
      <c r="S276" s="72">
        <f t="shared" si="137"/>
        <v>0</v>
      </c>
      <c r="T276" s="72">
        <f t="shared" si="137"/>
        <v>0</v>
      </c>
      <c r="U276" s="72">
        <f t="shared" si="137"/>
        <v>0</v>
      </c>
      <c r="V276" s="72">
        <f t="shared" si="137"/>
        <v>0</v>
      </c>
      <c r="W276" s="72">
        <f t="shared" si="137"/>
        <v>0</v>
      </c>
      <c r="X276" s="72">
        <f t="shared" si="137"/>
        <v>0</v>
      </c>
      <c r="Y276" s="72">
        <f t="shared" si="137"/>
        <v>0</v>
      </c>
      <c r="Z276" s="72">
        <f t="shared" si="137"/>
        <v>0</v>
      </c>
      <c r="AA276" s="72">
        <f t="shared" si="137"/>
        <v>0</v>
      </c>
      <c r="AB276" s="72">
        <f t="shared" si="137"/>
        <v>0</v>
      </c>
      <c r="AC276" s="72">
        <f t="shared" si="137"/>
        <v>0</v>
      </c>
      <c r="AD276" s="72">
        <f t="shared" si="137"/>
        <v>0</v>
      </c>
      <c r="AE276" s="72">
        <f t="shared" si="137"/>
        <v>0</v>
      </c>
      <c r="AF276" s="72">
        <f t="shared" si="137"/>
        <v>0</v>
      </c>
      <c r="AG276" s="72">
        <f t="shared" si="137"/>
        <v>0</v>
      </c>
      <c r="AH276" s="72">
        <f t="shared" si="137"/>
        <v>0</v>
      </c>
      <c r="AI276" s="72">
        <f t="shared" si="137"/>
        <v>0</v>
      </c>
      <c r="AJ276" s="72">
        <f t="shared" si="137"/>
        <v>0</v>
      </c>
      <c r="AK276" s="72">
        <f t="shared" si="137"/>
        <v>0</v>
      </c>
      <c r="AL276" s="72">
        <f t="shared" si="137"/>
        <v>0</v>
      </c>
    </row>
    <row r="277" spans="1:38" x14ac:dyDescent="0.3">
      <c r="A277" s="134"/>
      <c r="B277" s="134"/>
      <c r="C277" s="851">
        <v>0</v>
      </c>
      <c r="D277" s="851"/>
      <c r="E277" s="134"/>
      <c r="F277" s="134"/>
      <c r="G277" s="851">
        <v>0</v>
      </c>
      <c r="H277" s="851"/>
      <c r="I277" s="134"/>
      <c r="J277" s="134"/>
      <c r="K277" s="851">
        <v>0</v>
      </c>
      <c r="L277" s="851"/>
      <c r="M277" s="326"/>
      <c r="N277" s="138" t="s">
        <v>463</v>
      </c>
      <c r="O277" s="72">
        <f>IF($J277=0,0,IF(AND(IF(O$250&gt;=$I277,TRUE,FALSE),IF(O$250&lt;=$J277,TRUE,FALSE)),$K277,0))</f>
        <v>0</v>
      </c>
      <c r="P277" s="72">
        <f t="shared" ref="P277:AL277" si="138">IF($J277=0,0,IF(AND(IF(P$250&gt;=$I277,TRUE,FALSE),IF(P$250&lt;=$J277,TRUE,FALSE)),$K277,0))</f>
        <v>0</v>
      </c>
      <c r="Q277" s="72">
        <f t="shared" si="138"/>
        <v>0</v>
      </c>
      <c r="R277" s="72">
        <f t="shared" si="138"/>
        <v>0</v>
      </c>
      <c r="S277" s="72">
        <f t="shared" si="138"/>
        <v>0</v>
      </c>
      <c r="T277" s="72">
        <f t="shared" si="138"/>
        <v>0</v>
      </c>
      <c r="U277" s="72">
        <f t="shared" si="138"/>
        <v>0</v>
      </c>
      <c r="V277" s="72">
        <f t="shared" si="138"/>
        <v>0</v>
      </c>
      <c r="W277" s="72">
        <f t="shared" si="138"/>
        <v>0</v>
      </c>
      <c r="X277" s="72">
        <f t="shared" si="138"/>
        <v>0</v>
      </c>
      <c r="Y277" s="72">
        <f t="shared" si="138"/>
        <v>0</v>
      </c>
      <c r="Z277" s="72">
        <f t="shared" si="138"/>
        <v>0</v>
      </c>
      <c r="AA277" s="72">
        <f t="shared" si="138"/>
        <v>0</v>
      </c>
      <c r="AB277" s="72">
        <f t="shared" si="138"/>
        <v>0</v>
      </c>
      <c r="AC277" s="72">
        <f t="shared" si="138"/>
        <v>0</v>
      </c>
      <c r="AD277" s="72">
        <f t="shared" si="138"/>
        <v>0</v>
      </c>
      <c r="AE277" s="72">
        <f t="shared" si="138"/>
        <v>0</v>
      </c>
      <c r="AF277" s="72">
        <f t="shared" si="138"/>
        <v>0</v>
      </c>
      <c r="AG277" s="72">
        <f t="shared" si="138"/>
        <v>0</v>
      </c>
      <c r="AH277" s="72">
        <f t="shared" si="138"/>
        <v>0</v>
      </c>
      <c r="AI277" s="72">
        <f t="shared" si="138"/>
        <v>0</v>
      </c>
      <c r="AJ277" s="72">
        <f t="shared" si="138"/>
        <v>0</v>
      </c>
      <c r="AK277" s="72">
        <f t="shared" si="138"/>
        <v>0</v>
      </c>
      <c r="AL277" s="72">
        <f t="shared" si="138"/>
        <v>0</v>
      </c>
    </row>
    <row r="278" spans="1:38" hidden="1" x14ac:dyDescent="0.3">
      <c r="A278" s="872">
        <f>IF(A277=B277,0,IF(B277&gt;A277,B277-A277,24-A277+B277))</f>
        <v>0</v>
      </c>
      <c r="B278" s="872"/>
      <c r="C278" s="140"/>
      <c r="D278" s="140"/>
      <c r="E278" s="872">
        <f>IF(E277=F277,0,IF(F277&gt;E277,F277-E277,24-E277+F277))</f>
        <v>0</v>
      </c>
      <c r="F278" s="872"/>
      <c r="G278" s="140"/>
      <c r="H278" s="140"/>
      <c r="I278" s="872">
        <f>IF(I277=J277,0,IF(J277&gt;I277,J277-I277,24-I277+J277))</f>
        <v>0</v>
      </c>
      <c r="J278" s="872"/>
      <c r="K278" s="397"/>
      <c r="L278" s="398"/>
      <c r="M278" s="326"/>
      <c r="N278" s="138"/>
      <c r="O278" s="72"/>
      <c r="P278" s="72"/>
      <c r="Q278" s="72"/>
      <c r="R278" s="72"/>
      <c r="S278" s="72"/>
      <c r="T278" s="72"/>
      <c r="U278" s="72"/>
      <c r="V278" s="72"/>
      <c r="W278" s="72"/>
      <c r="X278" s="72"/>
      <c r="Y278" s="72"/>
      <c r="Z278" s="72"/>
      <c r="AA278" s="72"/>
      <c r="AB278" s="72"/>
      <c r="AC278" s="72"/>
      <c r="AD278" s="72"/>
      <c r="AE278" s="72"/>
      <c r="AF278" s="72"/>
      <c r="AG278" s="72"/>
      <c r="AH278" s="72"/>
      <c r="AI278" s="72"/>
      <c r="AJ278" s="72"/>
      <c r="AK278" s="72"/>
      <c r="AL278" s="72"/>
    </row>
    <row r="279" spans="1:38" x14ac:dyDescent="0.3">
      <c r="A279" s="36"/>
      <c r="B279" s="36"/>
      <c r="C279" s="36"/>
      <c r="D279" s="36"/>
      <c r="E279" s="36"/>
      <c r="F279" s="36"/>
      <c r="G279" s="36"/>
      <c r="H279" s="36"/>
      <c r="I279" s="14"/>
      <c r="J279" s="14"/>
      <c r="K279" s="858"/>
      <c r="L279" s="858"/>
      <c r="M279" s="199"/>
      <c r="N279" s="141" t="s">
        <v>464</v>
      </c>
      <c r="O279" s="142">
        <f>(O275*5+O276+O277)/7</f>
        <v>0</v>
      </c>
      <c r="P279" s="142">
        <f t="shared" ref="P279:AL279" si="139">(P275*5+P276+P277)/7</f>
        <v>0</v>
      </c>
      <c r="Q279" s="142">
        <f t="shared" si="139"/>
        <v>0</v>
      </c>
      <c r="R279" s="142">
        <f t="shared" si="139"/>
        <v>0</v>
      </c>
      <c r="S279" s="142">
        <f t="shared" si="139"/>
        <v>0</v>
      </c>
      <c r="T279" s="142">
        <f t="shared" si="139"/>
        <v>0</v>
      </c>
      <c r="U279" s="142">
        <f t="shared" si="139"/>
        <v>0</v>
      </c>
      <c r="V279" s="142">
        <f t="shared" si="139"/>
        <v>0</v>
      </c>
      <c r="W279" s="142">
        <f t="shared" si="139"/>
        <v>0</v>
      </c>
      <c r="X279" s="142">
        <f t="shared" si="139"/>
        <v>0</v>
      </c>
      <c r="Y279" s="142">
        <f t="shared" si="139"/>
        <v>0</v>
      </c>
      <c r="Z279" s="142">
        <f t="shared" si="139"/>
        <v>0</v>
      </c>
      <c r="AA279" s="142">
        <f t="shared" si="139"/>
        <v>0</v>
      </c>
      <c r="AB279" s="142">
        <f t="shared" si="139"/>
        <v>0</v>
      </c>
      <c r="AC279" s="142">
        <f t="shared" si="139"/>
        <v>0</v>
      </c>
      <c r="AD279" s="142">
        <f t="shared" si="139"/>
        <v>0</v>
      </c>
      <c r="AE279" s="142">
        <f t="shared" si="139"/>
        <v>0</v>
      </c>
      <c r="AF279" s="142">
        <f t="shared" si="139"/>
        <v>0</v>
      </c>
      <c r="AG279" s="142">
        <f t="shared" si="139"/>
        <v>0</v>
      </c>
      <c r="AH279" s="142">
        <f t="shared" si="139"/>
        <v>0</v>
      </c>
      <c r="AI279" s="142">
        <f t="shared" si="139"/>
        <v>0</v>
      </c>
      <c r="AJ279" s="142">
        <f t="shared" si="139"/>
        <v>0</v>
      </c>
      <c r="AK279" s="142">
        <f t="shared" si="139"/>
        <v>0</v>
      </c>
      <c r="AL279" s="142">
        <f t="shared" si="139"/>
        <v>0</v>
      </c>
    </row>
    <row r="280" spans="1:38" x14ac:dyDescent="0.3">
      <c r="A280" s="918" t="s">
        <v>578</v>
      </c>
      <c r="B280" s="918"/>
      <c r="C280" s="918"/>
      <c r="D280" s="918"/>
      <c r="E280" s="918"/>
      <c r="F280" s="918"/>
      <c r="G280" s="918"/>
      <c r="H280" s="918"/>
      <c r="I280" s="918"/>
      <c r="J280" s="918"/>
      <c r="K280" s="918"/>
      <c r="L280" s="918"/>
      <c r="M280" s="199"/>
      <c r="N280" s="141"/>
      <c r="O280" s="142"/>
      <c r="P280" s="142"/>
      <c r="Q280" s="142"/>
      <c r="R280" s="142"/>
      <c r="S280" s="142"/>
      <c r="T280" s="142"/>
      <c r="U280" s="142"/>
      <c r="V280" s="142"/>
      <c r="W280" s="142"/>
      <c r="X280" s="142"/>
      <c r="Y280" s="142"/>
      <c r="Z280" s="142"/>
      <c r="AA280" s="142"/>
      <c r="AB280" s="142"/>
      <c r="AC280" s="142"/>
      <c r="AD280" s="142"/>
      <c r="AE280" s="142"/>
      <c r="AF280" s="142"/>
      <c r="AG280" s="142"/>
      <c r="AH280" s="142"/>
      <c r="AI280" s="142"/>
      <c r="AJ280" s="142"/>
      <c r="AK280" s="142"/>
      <c r="AL280" s="142"/>
    </row>
    <row r="281" spans="1:38" x14ac:dyDescent="0.3">
      <c r="A281" s="13" t="s">
        <v>672</v>
      </c>
      <c r="B281" s="13" t="s">
        <v>922</v>
      </c>
      <c r="C281" s="13" t="s">
        <v>923</v>
      </c>
      <c r="D281" s="13" t="s">
        <v>924</v>
      </c>
      <c r="E281" s="13" t="s">
        <v>169</v>
      </c>
      <c r="F281" s="13" t="s">
        <v>170</v>
      </c>
      <c r="G281" s="13" t="s">
        <v>171</v>
      </c>
      <c r="H281" s="13" t="s">
        <v>674</v>
      </c>
      <c r="I281" s="13" t="s">
        <v>268</v>
      </c>
      <c r="J281" s="13" t="s">
        <v>925</v>
      </c>
      <c r="K281" s="13" t="s">
        <v>673</v>
      </c>
      <c r="L281" s="13" t="s">
        <v>927</v>
      </c>
      <c r="M281" s="199"/>
      <c r="N281" s="141"/>
      <c r="O281" s="462" t="s">
        <v>644</v>
      </c>
      <c r="P281" s="396"/>
      <c r="Q281" s="396"/>
      <c r="R281" s="142"/>
      <c r="S281" s="142"/>
      <c r="T281" s="462" t="s">
        <v>652</v>
      </c>
      <c r="U281" s="396"/>
      <c r="V281" s="396"/>
      <c r="W281" s="142"/>
      <c r="X281" s="462" t="s">
        <v>652</v>
      </c>
      <c r="Y281" s="396"/>
      <c r="Z281" s="396"/>
      <c r="AA281" s="142"/>
      <c r="AB281" s="142"/>
      <c r="AC281" s="142"/>
      <c r="AD281" s="142"/>
      <c r="AE281" s="142"/>
      <c r="AF281" s="142"/>
      <c r="AG281" s="142"/>
      <c r="AH281" s="142"/>
      <c r="AI281" s="142"/>
      <c r="AJ281" s="142"/>
      <c r="AK281" s="142"/>
      <c r="AL281" s="142"/>
    </row>
    <row r="282" spans="1:38" x14ac:dyDescent="0.3">
      <c r="A282" s="41">
        <v>1</v>
      </c>
      <c r="B282" s="41">
        <v>1</v>
      </c>
      <c r="C282" s="41">
        <v>1</v>
      </c>
      <c r="D282" s="41">
        <v>1</v>
      </c>
      <c r="E282" s="41">
        <v>1</v>
      </c>
      <c r="F282" s="41">
        <v>1</v>
      </c>
      <c r="G282" s="41">
        <v>1</v>
      </c>
      <c r="H282" s="41">
        <v>1</v>
      </c>
      <c r="I282" s="41">
        <v>1</v>
      </c>
      <c r="J282" s="41">
        <v>1</v>
      </c>
      <c r="K282" s="41">
        <v>1</v>
      </c>
      <c r="L282" s="41">
        <v>1</v>
      </c>
      <c r="M282" s="199"/>
      <c r="N282" s="141"/>
      <c r="O282" s="396">
        <f>F291*I291</f>
        <v>0</v>
      </c>
      <c r="P282" s="396">
        <f>G291*H291*D291</f>
        <v>0</v>
      </c>
      <c r="Q282" s="396">
        <f>P282*O282</f>
        <v>0</v>
      </c>
      <c r="R282" s="142">
        <f>D291</f>
        <v>0</v>
      </c>
      <c r="S282" s="142"/>
      <c r="T282" s="396">
        <f t="shared" ref="T282:T301" si="140">F317*I317</f>
        <v>0</v>
      </c>
      <c r="U282" s="396">
        <f>G317*H317*D317</f>
        <v>0</v>
      </c>
      <c r="V282" s="396">
        <f t="shared" ref="V282:V301" si="141">U282*T282</f>
        <v>0</v>
      </c>
      <c r="W282" s="142">
        <f>D317</f>
        <v>0</v>
      </c>
      <c r="X282" s="396">
        <f t="shared" ref="X282:X292" si="142">F348*I348</f>
        <v>0</v>
      </c>
      <c r="Y282" s="396">
        <f>G348*H348*D348</f>
        <v>0</v>
      </c>
      <c r="Z282" s="396">
        <f>Y282*X282</f>
        <v>0</v>
      </c>
      <c r="AA282" s="142">
        <f>D348</f>
        <v>0</v>
      </c>
      <c r="AB282" s="142"/>
      <c r="AC282" s="142"/>
      <c r="AD282" s="142"/>
      <c r="AE282" s="142"/>
      <c r="AF282" s="142"/>
      <c r="AG282" s="142"/>
      <c r="AH282" s="142"/>
      <c r="AI282" s="142"/>
      <c r="AJ282" s="142"/>
      <c r="AK282" s="142"/>
      <c r="AL282" s="142"/>
    </row>
    <row r="283" spans="1:38" x14ac:dyDescent="0.3">
      <c r="A283" s="586" t="s">
        <v>579</v>
      </c>
      <c r="B283" s="586"/>
      <c r="C283" s="586"/>
      <c r="D283" s="586"/>
      <c r="E283" s="586"/>
      <c r="F283" s="586"/>
      <c r="G283" s="586"/>
      <c r="H283" s="586"/>
      <c r="I283" s="589"/>
      <c r="J283" s="589"/>
      <c r="K283" s="589"/>
      <c r="L283" s="589"/>
      <c r="M283" s="199"/>
      <c r="N283" s="141"/>
      <c r="O283" s="396">
        <f>F292*I292</f>
        <v>0</v>
      </c>
      <c r="P283" s="396">
        <f t="shared" ref="P283:P297" si="143">G292*H292*D292</f>
        <v>0</v>
      </c>
      <c r="Q283" s="396">
        <f>P283*O283</f>
        <v>0</v>
      </c>
      <c r="R283" s="142">
        <f t="shared" ref="R283:R297" si="144">D292</f>
        <v>0</v>
      </c>
      <c r="S283" s="142"/>
      <c r="T283" s="396">
        <f t="shared" si="140"/>
        <v>0</v>
      </c>
      <c r="U283" s="396">
        <f t="shared" ref="U283:U301" si="145">G318*H318*D318</f>
        <v>0</v>
      </c>
      <c r="V283" s="396">
        <f t="shared" si="141"/>
        <v>0</v>
      </c>
      <c r="W283" s="142">
        <f t="shared" ref="W283:W301" si="146">D318</f>
        <v>0</v>
      </c>
      <c r="X283" s="396">
        <f t="shared" si="142"/>
        <v>0</v>
      </c>
      <c r="Y283" s="396">
        <f t="shared" ref="Y283:Y292" si="147">G349*H349*D349</f>
        <v>0</v>
      </c>
      <c r="Z283" s="396">
        <f t="shared" ref="Z283:Z292" si="148">Y283*X283</f>
        <v>0</v>
      </c>
      <c r="AA283" s="142">
        <f t="shared" ref="AA283:AA292" si="149">D349</f>
        <v>0</v>
      </c>
      <c r="AB283" s="142"/>
      <c r="AC283" s="142"/>
      <c r="AD283" s="142"/>
      <c r="AE283" s="142"/>
      <c r="AF283" s="142"/>
      <c r="AG283" s="142"/>
      <c r="AH283" s="142"/>
      <c r="AI283" s="142"/>
      <c r="AJ283" s="142"/>
      <c r="AK283" s="142"/>
      <c r="AL283" s="142"/>
    </row>
    <row r="284" spans="1:38" x14ac:dyDescent="0.3">
      <c r="A284" s="36"/>
      <c r="B284" s="36"/>
      <c r="C284" s="36"/>
      <c r="D284" s="36"/>
      <c r="E284" s="36"/>
      <c r="F284" s="36"/>
      <c r="G284" s="36"/>
      <c r="H284" s="36"/>
      <c r="I284" s="14"/>
      <c r="J284" s="14"/>
      <c r="K284" s="23"/>
      <c r="L284" s="23"/>
      <c r="M284" s="199"/>
      <c r="N284" s="141"/>
      <c r="O284" s="396">
        <f>F293*I293</f>
        <v>0</v>
      </c>
      <c r="P284" s="396">
        <f t="shared" si="143"/>
        <v>0</v>
      </c>
      <c r="Q284" s="396">
        <f>P284*O284</f>
        <v>0</v>
      </c>
      <c r="R284" s="142">
        <f t="shared" si="144"/>
        <v>0</v>
      </c>
      <c r="S284" s="142"/>
      <c r="T284" s="396">
        <f t="shared" si="140"/>
        <v>0</v>
      </c>
      <c r="U284" s="396">
        <f t="shared" si="145"/>
        <v>0</v>
      </c>
      <c r="V284" s="396">
        <f t="shared" si="141"/>
        <v>0</v>
      </c>
      <c r="W284" s="142">
        <f t="shared" si="146"/>
        <v>0</v>
      </c>
      <c r="X284" s="396">
        <f t="shared" si="142"/>
        <v>0</v>
      </c>
      <c r="Y284" s="396">
        <f t="shared" si="147"/>
        <v>0</v>
      </c>
      <c r="Z284" s="396">
        <f t="shared" si="148"/>
        <v>0</v>
      </c>
      <c r="AA284" s="142">
        <f t="shared" si="149"/>
        <v>0</v>
      </c>
      <c r="AB284" s="142"/>
      <c r="AC284" s="142"/>
      <c r="AD284" s="142"/>
      <c r="AE284" s="142"/>
      <c r="AF284" s="142"/>
      <c r="AG284" s="142"/>
      <c r="AH284" s="142"/>
      <c r="AI284" s="142"/>
      <c r="AJ284" s="142"/>
      <c r="AK284" s="142"/>
      <c r="AL284" s="142"/>
    </row>
    <row r="285" spans="1:38" x14ac:dyDescent="0.3">
      <c r="A285" s="637" t="s">
        <v>299</v>
      </c>
      <c r="B285" s="637"/>
      <c r="C285" s="637"/>
      <c r="D285" s="637"/>
      <c r="E285" s="637"/>
      <c r="F285" s="637"/>
      <c r="G285" s="637"/>
      <c r="H285" s="637"/>
      <c r="I285" s="716"/>
      <c r="J285" s="716"/>
      <c r="K285" s="716"/>
      <c r="N285" s="141"/>
      <c r="O285" s="396">
        <f>F294*I294</f>
        <v>0</v>
      </c>
      <c r="P285" s="396">
        <f t="shared" si="143"/>
        <v>0</v>
      </c>
      <c r="Q285" s="396">
        <f>P285*O285</f>
        <v>0</v>
      </c>
      <c r="R285" s="142">
        <f t="shared" si="144"/>
        <v>0</v>
      </c>
      <c r="S285" s="142"/>
      <c r="T285" s="396">
        <f t="shared" si="140"/>
        <v>0</v>
      </c>
      <c r="U285" s="396">
        <f t="shared" si="145"/>
        <v>0</v>
      </c>
      <c r="V285" s="396">
        <f t="shared" si="141"/>
        <v>0</v>
      </c>
      <c r="W285" s="142">
        <f t="shared" si="146"/>
        <v>0</v>
      </c>
      <c r="X285" s="396">
        <f t="shared" si="142"/>
        <v>0</v>
      </c>
      <c r="Y285" s="396">
        <f t="shared" si="147"/>
        <v>0</v>
      </c>
      <c r="Z285" s="396">
        <f t="shared" si="148"/>
        <v>0</v>
      </c>
      <c r="AA285" s="142">
        <f t="shared" si="149"/>
        <v>0</v>
      </c>
      <c r="AB285" s="142"/>
      <c r="AC285" s="142"/>
      <c r="AD285" s="142"/>
      <c r="AE285" s="142"/>
      <c r="AF285" s="142"/>
      <c r="AG285" s="142"/>
      <c r="AH285" s="142"/>
      <c r="AI285" s="142"/>
      <c r="AJ285" s="142"/>
      <c r="AK285" s="142"/>
      <c r="AL285" s="142"/>
    </row>
    <row r="286" spans="1:38" x14ac:dyDescent="0.3">
      <c r="A286" s="859" t="s">
        <v>1077</v>
      </c>
      <c r="B286" s="742"/>
      <c r="C286" s="743"/>
      <c r="D286" s="915" t="s">
        <v>1078</v>
      </c>
      <c r="E286" s="852" t="s">
        <v>53</v>
      </c>
      <c r="F286" s="852" t="s">
        <v>54</v>
      </c>
      <c r="G286" s="852" t="s">
        <v>55</v>
      </c>
      <c r="H286" s="852" t="s">
        <v>55</v>
      </c>
      <c r="I286" s="852" t="s">
        <v>56</v>
      </c>
      <c r="J286" s="866" t="s">
        <v>1209</v>
      </c>
      <c r="M286" s="855" t="s">
        <v>615</v>
      </c>
      <c r="N286" s="852" t="s">
        <v>58</v>
      </c>
      <c r="O286" s="396">
        <f>F295*I295</f>
        <v>0</v>
      </c>
      <c r="P286" s="396">
        <f t="shared" si="143"/>
        <v>0</v>
      </c>
      <c r="Q286" s="396">
        <f>P286*O286</f>
        <v>0</v>
      </c>
      <c r="R286" s="142">
        <f t="shared" si="144"/>
        <v>0</v>
      </c>
      <c r="S286" s="852" t="s">
        <v>671</v>
      </c>
      <c r="T286" s="396">
        <f t="shared" si="140"/>
        <v>0</v>
      </c>
      <c r="U286" s="396">
        <f t="shared" si="145"/>
        <v>0</v>
      </c>
      <c r="V286" s="396">
        <f t="shared" si="141"/>
        <v>0</v>
      </c>
      <c r="W286" s="142">
        <f t="shared" si="146"/>
        <v>0</v>
      </c>
      <c r="X286" s="396">
        <f t="shared" si="142"/>
        <v>0</v>
      </c>
      <c r="Y286" s="396">
        <f t="shared" si="147"/>
        <v>0</v>
      </c>
      <c r="Z286" s="396">
        <f t="shared" si="148"/>
        <v>0</v>
      </c>
      <c r="AA286" s="142">
        <f t="shared" si="149"/>
        <v>0</v>
      </c>
      <c r="AB286" s="142"/>
      <c r="AC286" s="142"/>
      <c r="AD286" s="142"/>
      <c r="AE286" s="142"/>
      <c r="AF286" s="142"/>
      <c r="AG286" s="142"/>
      <c r="AH286" s="142"/>
      <c r="AI286" s="142"/>
      <c r="AJ286" s="142"/>
      <c r="AK286" s="142"/>
      <c r="AL286" s="142"/>
    </row>
    <row r="287" spans="1:38" x14ac:dyDescent="0.3">
      <c r="A287" s="860"/>
      <c r="B287" s="861"/>
      <c r="C287" s="862"/>
      <c r="D287" s="916"/>
      <c r="E287" s="853"/>
      <c r="F287" s="853"/>
      <c r="G287" s="853"/>
      <c r="H287" s="853"/>
      <c r="I287" s="853"/>
      <c r="J287" s="853"/>
      <c r="M287" s="856"/>
      <c r="N287" s="853"/>
      <c r="O287" s="396">
        <f t="shared" ref="O287:O296" si="150">F296*I296</f>
        <v>0</v>
      </c>
      <c r="P287" s="396">
        <f t="shared" si="143"/>
        <v>0</v>
      </c>
      <c r="Q287" s="396">
        <f t="shared" ref="Q287:Q296" si="151">P287*O287</f>
        <v>0</v>
      </c>
      <c r="R287" s="142">
        <f t="shared" si="144"/>
        <v>0</v>
      </c>
      <c r="S287" s="853"/>
      <c r="T287" s="396">
        <f t="shared" si="140"/>
        <v>0</v>
      </c>
      <c r="U287" s="396">
        <f t="shared" si="145"/>
        <v>0</v>
      </c>
      <c r="V287" s="396">
        <f t="shared" si="141"/>
        <v>0</v>
      </c>
      <c r="W287" s="142">
        <f t="shared" si="146"/>
        <v>0</v>
      </c>
      <c r="X287" s="396">
        <f t="shared" si="142"/>
        <v>0</v>
      </c>
      <c r="Y287" s="396">
        <f t="shared" si="147"/>
        <v>0</v>
      </c>
      <c r="Z287" s="396">
        <f t="shared" si="148"/>
        <v>0</v>
      </c>
      <c r="AA287" s="142">
        <f t="shared" si="149"/>
        <v>0</v>
      </c>
      <c r="AB287" s="142"/>
      <c r="AC287" s="142"/>
      <c r="AD287" s="142"/>
      <c r="AE287" s="142"/>
      <c r="AF287" s="142"/>
      <c r="AG287" s="142"/>
      <c r="AH287" s="142"/>
      <c r="AI287" s="142"/>
      <c r="AJ287" s="142"/>
      <c r="AK287" s="142"/>
      <c r="AL287" s="142"/>
    </row>
    <row r="288" spans="1:38" x14ac:dyDescent="0.3">
      <c r="A288" s="860"/>
      <c r="B288" s="861"/>
      <c r="C288" s="862"/>
      <c r="D288" s="916"/>
      <c r="E288" s="853"/>
      <c r="F288" s="853"/>
      <c r="G288" s="853"/>
      <c r="H288" s="853"/>
      <c r="I288" s="853"/>
      <c r="J288" s="853"/>
      <c r="M288" s="856"/>
      <c r="N288" s="853"/>
      <c r="O288" s="396">
        <f t="shared" si="150"/>
        <v>0</v>
      </c>
      <c r="P288" s="396">
        <f t="shared" si="143"/>
        <v>0</v>
      </c>
      <c r="Q288" s="396">
        <f t="shared" si="151"/>
        <v>0</v>
      </c>
      <c r="R288" s="142">
        <f t="shared" si="144"/>
        <v>0</v>
      </c>
      <c r="S288" s="853"/>
      <c r="T288" s="396">
        <f t="shared" si="140"/>
        <v>0</v>
      </c>
      <c r="U288" s="396">
        <f t="shared" si="145"/>
        <v>0</v>
      </c>
      <c r="V288" s="396">
        <f t="shared" si="141"/>
        <v>0</v>
      </c>
      <c r="W288" s="142">
        <f t="shared" si="146"/>
        <v>0</v>
      </c>
      <c r="X288" s="396">
        <f t="shared" si="142"/>
        <v>0</v>
      </c>
      <c r="Y288" s="396">
        <f t="shared" si="147"/>
        <v>0</v>
      </c>
      <c r="Z288" s="396">
        <f t="shared" si="148"/>
        <v>0</v>
      </c>
      <c r="AA288" s="142">
        <f t="shared" si="149"/>
        <v>0</v>
      </c>
      <c r="AB288" s="142"/>
      <c r="AC288" s="142"/>
      <c r="AD288" s="142"/>
      <c r="AE288" s="142"/>
      <c r="AF288" s="142"/>
      <c r="AG288" s="142"/>
      <c r="AH288" s="142"/>
      <c r="AI288" s="142"/>
      <c r="AJ288" s="142"/>
      <c r="AK288" s="142"/>
      <c r="AL288" s="142"/>
    </row>
    <row r="289" spans="1:38" x14ac:dyDescent="0.3">
      <c r="A289" s="860"/>
      <c r="B289" s="861"/>
      <c r="C289" s="862"/>
      <c r="D289" s="917"/>
      <c r="E289" s="854"/>
      <c r="F289" s="854"/>
      <c r="G289" s="854"/>
      <c r="H289" s="854"/>
      <c r="I289" s="854"/>
      <c r="J289" s="854"/>
      <c r="M289" s="857"/>
      <c r="N289" s="854"/>
      <c r="O289" s="396">
        <f t="shared" si="150"/>
        <v>0</v>
      </c>
      <c r="P289" s="396">
        <f t="shared" si="143"/>
        <v>0</v>
      </c>
      <c r="Q289" s="396">
        <f t="shared" si="151"/>
        <v>0</v>
      </c>
      <c r="R289" s="142">
        <f t="shared" si="144"/>
        <v>0</v>
      </c>
      <c r="S289" s="854"/>
      <c r="T289" s="396">
        <f t="shared" si="140"/>
        <v>0</v>
      </c>
      <c r="U289" s="396">
        <f t="shared" si="145"/>
        <v>0</v>
      </c>
      <c r="V289" s="396">
        <f t="shared" si="141"/>
        <v>0</v>
      </c>
      <c r="W289" s="142">
        <f t="shared" si="146"/>
        <v>0</v>
      </c>
      <c r="X289" s="396">
        <f t="shared" si="142"/>
        <v>0</v>
      </c>
      <c r="Y289" s="396">
        <f t="shared" si="147"/>
        <v>0</v>
      </c>
      <c r="Z289" s="396">
        <f t="shared" si="148"/>
        <v>0</v>
      </c>
      <c r="AA289" s="142">
        <f t="shared" si="149"/>
        <v>0</v>
      </c>
      <c r="AB289" s="142"/>
      <c r="AC289" s="142"/>
      <c r="AD289" s="142"/>
      <c r="AE289" s="142"/>
      <c r="AF289" s="142"/>
      <c r="AG289" s="142"/>
      <c r="AH289" s="142"/>
      <c r="AI289" s="142"/>
      <c r="AJ289" s="142"/>
      <c r="AK289" s="142"/>
      <c r="AL289" s="142"/>
    </row>
    <row r="290" spans="1:38" x14ac:dyDescent="0.3">
      <c r="A290" s="733"/>
      <c r="B290" s="734"/>
      <c r="C290" s="735"/>
      <c r="D290" s="9" t="s">
        <v>1079</v>
      </c>
      <c r="E290" s="9" t="s">
        <v>1080</v>
      </c>
      <c r="F290" s="9" t="s">
        <v>1080</v>
      </c>
      <c r="G290" s="9" t="s">
        <v>41</v>
      </c>
      <c r="H290" s="9" t="s">
        <v>42</v>
      </c>
      <c r="I290" s="9" t="s">
        <v>950</v>
      </c>
      <c r="J290" s="13" t="s">
        <v>1080</v>
      </c>
      <c r="N290" s="9" t="s">
        <v>945</v>
      </c>
      <c r="O290" s="396">
        <f t="shared" si="150"/>
        <v>0</v>
      </c>
      <c r="P290" s="396">
        <f t="shared" si="143"/>
        <v>0</v>
      </c>
      <c r="Q290" s="396">
        <f t="shared" si="151"/>
        <v>0</v>
      </c>
      <c r="R290" s="142">
        <f t="shared" si="144"/>
        <v>0</v>
      </c>
      <c r="S290" s="9" t="s">
        <v>950</v>
      </c>
      <c r="T290" s="396">
        <f t="shared" si="140"/>
        <v>0</v>
      </c>
      <c r="U290" s="396">
        <f t="shared" si="145"/>
        <v>0</v>
      </c>
      <c r="V290" s="396">
        <f t="shared" si="141"/>
        <v>0</v>
      </c>
      <c r="W290" s="142">
        <f t="shared" si="146"/>
        <v>0</v>
      </c>
      <c r="X290" s="396">
        <f t="shared" si="142"/>
        <v>0</v>
      </c>
      <c r="Y290" s="396">
        <f t="shared" si="147"/>
        <v>0</v>
      </c>
      <c r="Z290" s="396">
        <f t="shared" si="148"/>
        <v>0</v>
      </c>
      <c r="AA290" s="142">
        <f t="shared" si="149"/>
        <v>0</v>
      </c>
      <c r="AB290" s="142"/>
      <c r="AC290" s="142"/>
      <c r="AD290" s="142"/>
      <c r="AE290" s="142"/>
      <c r="AF290" s="142"/>
      <c r="AG290" s="142"/>
      <c r="AH290" s="142"/>
      <c r="AI290" s="142"/>
      <c r="AJ290" s="142"/>
      <c r="AK290" s="142"/>
      <c r="AL290" s="142"/>
    </row>
    <row r="291" spans="1:38" x14ac:dyDescent="0.3">
      <c r="A291" s="696" t="s">
        <v>521</v>
      </c>
      <c r="B291" s="696"/>
      <c r="C291" s="696"/>
      <c r="D291" s="104">
        <f>4*(D317*3+D331)</f>
        <v>0</v>
      </c>
      <c r="E291" s="104">
        <v>1.2E-2</v>
      </c>
      <c r="F291" s="9">
        <f>D291*E291</f>
        <v>0</v>
      </c>
      <c r="G291" s="104">
        <v>6</v>
      </c>
      <c r="H291" s="104">
        <v>7</v>
      </c>
      <c r="I291" s="104">
        <v>0.5</v>
      </c>
      <c r="J291" s="9">
        <f>F291*G291*I291*H291</f>
        <v>0</v>
      </c>
      <c r="M291" s="393">
        <f>F291*G291*I291/24</f>
        <v>0</v>
      </c>
      <c r="N291" s="9">
        <f>J291/168</f>
        <v>0</v>
      </c>
      <c r="O291" s="396">
        <f t="shared" si="150"/>
        <v>0</v>
      </c>
      <c r="P291" s="396">
        <f t="shared" si="143"/>
        <v>0</v>
      </c>
      <c r="Q291" s="396">
        <f t="shared" si="151"/>
        <v>0</v>
      </c>
      <c r="R291" s="142">
        <f t="shared" si="144"/>
        <v>0</v>
      </c>
      <c r="S291" s="104">
        <v>0.05</v>
      </c>
      <c r="T291" s="396">
        <f t="shared" si="140"/>
        <v>0</v>
      </c>
      <c r="U291" s="396">
        <f t="shared" si="145"/>
        <v>0</v>
      </c>
      <c r="V291" s="396">
        <f t="shared" si="141"/>
        <v>0</v>
      </c>
      <c r="W291" s="142">
        <f t="shared" si="146"/>
        <v>0</v>
      </c>
      <c r="X291" s="396">
        <f t="shared" si="142"/>
        <v>0</v>
      </c>
      <c r="Y291" s="396">
        <f t="shared" si="147"/>
        <v>0</v>
      </c>
      <c r="Z291" s="396">
        <f t="shared" si="148"/>
        <v>0</v>
      </c>
      <c r="AA291" s="142">
        <f t="shared" si="149"/>
        <v>0</v>
      </c>
      <c r="AB291" s="142"/>
      <c r="AC291" s="142"/>
      <c r="AD291" s="142"/>
      <c r="AE291" s="142"/>
      <c r="AF291" s="142"/>
      <c r="AG291" s="142"/>
      <c r="AH291" s="142"/>
      <c r="AI291" s="142"/>
      <c r="AJ291" s="142"/>
      <c r="AK291" s="142"/>
      <c r="AL291" s="142"/>
    </row>
    <row r="292" spans="1:38" hidden="1" x14ac:dyDescent="0.3">
      <c r="A292" s="696" t="s">
        <v>521</v>
      </c>
      <c r="B292" s="696"/>
      <c r="C292" s="696"/>
      <c r="D292" s="104"/>
      <c r="E292" s="104">
        <v>8.9999999999999993E-3</v>
      </c>
      <c r="F292" s="9">
        <f>D292*E292</f>
        <v>0</v>
      </c>
      <c r="G292" s="557">
        <f>IF(D292=0,,6)</f>
        <v>0</v>
      </c>
      <c r="H292" s="557">
        <f>IF(D292=0,,M$224)</f>
        <v>0</v>
      </c>
      <c r="I292" s="104">
        <v>0.5</v>
      </c>
      <c r="J292" s="9">
        <f t="shared" ref="J292:J306" si="152">F292*G292*I292*H292</f>
        <v>0</v>
      </c>
      <c r="K292" s="552"/>
      <c r="L292" s="553"/>
      <c r="M292" s="393">
        <f>F292*G292*I292/24</f>
        <v>0</v>
      </c>
      <c r="N292" s="141"/>
      <c r="O292" s="396">
        <f t="shared" si="150"/>
        <v>0</v>
      </c>
      <c r="P292" s="396">
        <f t="shared" si="143"/>
        <v>0</v>
      </c>
      <c r="Q292" s="396">
        <f t="shared" si="151"/>
        <v>0</v>
      </c>
      <c r="R292" s="142">
        <f t="shared" si="144"/>
        <v>0</v>
      </c>
      <c r="S292" s="142"/>
      <c r="T292" s="396">
        <f t="shared" si="140"/>
        <v>0</v>
      </c>
      <c r="U292" s="396">
        <f t="shared" si="145"/>
        <v>0</v>
      </c>
      <c r="V292" s="396">
        <f t="shared" si="141"/>
        <v>0</v>
      </c>
      <c r="W292" s="142">
        <f t="shared" si="146"/>
        <v>0</v>
      </c>
      <c r="X292" s="396">
        <f t="shared" si="142"/>
        <v>0</v>
      </c>
      <c r="Y292" s="396">
        <f t="shared" si="147"/>
        <v>0</v>
      </c>
      <c r="Z292" s="396">
        <f t="shared" si="148"/>
        <v>0</v>
      </c>
      <c r="AA292" s="142">
        <f t="shared" si="149"/>
        <v>0</v>
      </c>
      <c r="AB292" s="142"/>
      <c r="AC292" s="142"/>
      <c r="AD292" s="142"/>
      <c r="AE292" s="142"/>
      <c r="AF292" s="142"/>
      <c r="AG292" s="142"/>
      <c r="AH292" s="142"/>
      <c r="AI292" s="142"/>
      <c r="AJ292" s="142"/>
      <c r="AK292" s="142"/>
      <c r="AL292" s="142"/>
    </row>
    <row r="293" spans="1:38" hidden="1" x14ac:dyDescent="0.3">
      <c r="A293" s="696" t="s">
        <v>521</v>
      </c>
      <c r="B293" s="696"/>
      <c r="C293" s="696"/>
      <c r="D293" s="104"/>
      <c r="E293" s="104">
        <v>8.9999999999999993E-3</v>
      </c>
      <c r="F293" s="9">
        <f>D293*E293</f>
        <v>0</v>
      </c>
      <c r="G293" s="557">
        <f t="shared" ref="G293:G306" si="153">IF(D293=0,,6)</f>
        <v>0</v>
      </c>
      <c r="H293" s="557">
        <f t="shared" ref="H293:H305" si="154">IF(D293=0,,M$224)</f>
        <v>0</v>
      </c>
      <c r="I293" s="104">
        <v>0.5</v>
      </c>
      <c r="J293" s="9">
        <f t="shared" si="152"/>
        <v>0</v>
      </c>
      <c r="K293" s="552"/>
      <c r="L293" s="553"/>
      <c r="M293" s="393">
        <f>F293*G293*I293/24</f>
        <v>0</v>
      </c>
      <c r="N293" s="141"/>
      <c r="O293" s="396">
        <f t="shared" si="150"/>
        <v>0</v>
      </c>
      <c r="P293" s="396">
        <f t="shared" si="143"/>
        <v>0</v>
      </c>
      <c r="Q293" s="396">
        <f t="shared" si="151"/>
        <v>0</v>
      </c>
      <c r="R293" s="142">
        <f t="shared" si="144"/>
        <v>0</v>
      </c>
      <c r="S293" s="142"/>
      <c r="T293" s="396">
        <f t="shared" si="140"/>
        <v>0</v>
      </c>
      <c r="U293" s="396">
        <f t="shared" si="145"/>
        <v>0</v>
      </c>
      <c r="V293" s="396">
        <f t="shared" si="141"/>
        <v>0</v>
      </c>
      <c r="W293" s="142">
        <f t="shared" si="146"/>
        <v>0</v>
      </c>
      <c r="X293" s="72">
        <f>SUM(X282:X292)</f>
        <v>0</v>
      </c>
      <c r="Y293" s="396" t="e">
        <f>SUM(Y282:Y292)/AA293</f>
        <v>#DIV/0!</v>
      </c>
      <c r="Z293" s="72">
        <f>SUM(Z282:Z292)</f>
        <v>0</v>
      </c>
      <c r="AA293" s="142">
        <f>SUM(AA282:AA292)</f>
        <v>0</v>
      </c>
      <c r="AB293" s="142"/>
      <c r="AC293" s="142"/>
      <c r="AD293" s="142"/>
      <c r="AE293" s="142"/>
      <c r="AF293" s="142"/>
      <c r="AG293" s="142"/>
      <c r="AH293" s="142"/>
      <c r="AI293" s="142"/>
      <c r="AJ293" s="142"/>
      <c r="AK293" s="142"/>
      <c r="AL293" s="142"/>
    </row>
    <row r="294" spans="1:38" hidden="1" x14ac:dyDescent="0.3">
      <c r="A294" s="696" t="s">
        <v>521</v>
      </c>
      <c r="B294" s="696"/>
      <c r="C294" s="696"/>
      <c r="D294" s="104"/>
      <c r="E294" s="104">
        <v>8.9999999999999993E-3</v>
      </c>
      <c r="F294" s="9">
        <f>D294*E294</f>
        <v>0</v>
      </c>
      <c r="G294" s="557">
        <f t="shared" si="153"/>
        <v>0</v>
      </c>
      <c r="H294" s="557">
        <f t="shared" si="154"/>
        <v>0</v>
      </c>
      <c r="I294" s="104">
        <v>0.5</v>
      </c>
      <c r="J294" s="9">
        <f t="shared" si="152"/>
        <v>0</v>
      </c>
      <c r="K294" s="552"/>
      <c r="L294" s="553"/>
      <c r="M294" s="393">
        <f>F294*G294*I294/24</f>
        <v>0</v>
      </c>
      <c r="N294" s="141"/>
      <c r="O294" s="396">
        <f t="shared" si="150"/>
        <v>0</v>
      </c>
      <c r="P294" s="396">
        <f t="shared" si="143"/>
        <v>0</v>
      </c>
      <c r="Q294" s="396">
        <f t="shared" si="151"/>
        <v>0</v>
      </c>
      <c r="R294" s="142">
        <f t="shared" si="144"/>
        <v>0</v>
      </c>
      <c r="S294" s="142"/>
      <c r="T294" s="396">
        <f t="shared" si="140"/>
        <v>0</v>
      </c>
      <c r="U294" s="396">
        <f t="shared" si="145"/>
        <v>0</v>
      </c>
      <c r="V294" s="396">
        <f t="shared" si="141"/>
        <v>0</v>
      </c>
      <c r="W294" s="142">
        <f t="shared" si="146"/>
        <v>0</v>
      </c>
      <c r="X294" s="142"/>
      <c r="Y294" s="142"/>
      <c r="Z294" s="142"/>
      <c r="AA294" s="142"/>
      <c r="AB294" s="142"/>
      <c r="AC294" s="142"/>
      <c r="AD294" s="142"/>
      <c r="AE294" s="142"/>
      <c r="AF294" s="142"/>
      <c r="AG294" s="142"/>
      <c r="AH294" s="142"/>
      <c r="AI294" s="142"/>
      <c r="AJ294" s="142"/>
      <c r="AK294" s="142"/>
      <c r="AL294" s="142"/>
    </row>
    <row r="295" spans="1:38" hidden="1" x14ac:dyDescent="0.3">
      <c r="A295" s="696" t="s">
        <v>521</v>
      </c>
      <c r="B295" s="696"/>
      <c r="C295" s="696"/>
      <c r="D295" s="104"/>
      <c r="E295" s="104">
        <v>8.9999999999999993E-3</v>
      </c>
      <c r="F295" s="9">
        <f>D295*E295</f>
        <v>0</v>
      </c>
      <c r="G295" s="557">
        <f t="shared" si="153"/>
        <v>0</v>
      </c>
      <c r="H295" s="557">
        <f t="shared" si="154"/>
        <v>0</v>
      </c>
      <c r="I295" s="104">
        <v>0.5</v>
      </c>
      <c r="J295" s="9">
        <f t="shared" si="152"/>
        <v>0</v>
      </c>
      <c r="K295" s="552"/>
      <c r="L295" s="553"/>
      <c r="M295" s="393">
        <f>F295*G295*I295/24</f>
        <v>0</v>
      </c>
      <c r="N295" s="141"/>
      <c r="O295" s="396">
        <f t="shared" si="150"/>
        <v>0</v>
      </c>
      <c r="P295" s="396">
        <f t="shared" si="143"/>
        <v>0</v>
      </c>
      <c r="Q295" s="396">
        <f t="shared" si="151"/>
        <v>0</v>
      </c>
      <c r="R295" s="142">
        <f t="shared" si="144"/>
        <v>0</v>
      </c>
      <c r="S295" s="142"/>
      <c r="T295" s="396">
        <f t="shared" si="140"/>
        <v>0</v>
      </c>
      <c r="U295" s="396">
        <f t="shared" si="145"/>
        <v>0</v>
      </c>
      <c r="V295" s="396">
        <f t="shared" si="141"/>
        <v>0</v>
      </c>
      <c r="W295" s="142">
        <f t="shared" si="146"/>
        <v>0</v>
      </c>
      <c r="X295" s="142"/>
      <c r="Y295" s="142"/>
      <c r="Z295" s="142"/>
      <c r="AA295" s="142"/>
      <c r="AB295" s="142"/>
      <c r="AC295" s="142"/>
      <c r="AD295" s="142"/>
      <c r="AE295" s="142"/>
      <c r="AF295" s="142"/>
      <c r="AG295" s="142"/>
      <c r="AH295" s="142"/>
      <c r="AI295" s="142"/>
      <c r="AJ295" s="142"/>
      <c r="AK295" s="142"/>
      <c r="AL295" s="142"/>
    </row>
    <row r="296" spans="1:38" hidden="1" x14ac:dyDescent="0.3">
      <c r="A296" s="696" t="s">
        <v>521</v>
      </c>
      <c r="B296" s="696"/>
      <c r="C296" s="696"/>
      <c r="D296" s="104"/>
      <c r="E296" s="104">
        <v>8.9999999999999993E-3</v>
      </c>
      <c r="F296" s="9">
        <f t="shared" ref="F296:F305" si="155">D296*E296</f>
        <v>0</v>
      </c>
      <c r="G296" s="557">
        <f t="shared" si="153"/>
        <v>0</v>
      </c>
      <c r="H296" s="557">
        <f t="shared" si="154"/>
        <v>0</v>
      </c>
      <c r="I296" s="104">
        <v>0.5</v>
      </c>
      <c r="J296" s="9">
        <f t="shared" si="152"/>
        <v>0</v>
      </c>
      <c r="K296" s="552"/>
      <c r="L296" s="553"/>
      <c r="M296" s="393">
        <f t="shared" ref="M296:M305" si="156">F296*G296*I296/24</f>
        <v>0</v>
      </c>
      <c r="N296" s="141"/>
      <c r="O296" s="396">
        <f t="shared" si="150"/>
        <v>0</v>
      </c>
      <c r="P296" s="396">
        <f t="shared" si="143"/>
        <v>0</v>
      </c>
      <c r="Q296" s="396">
        <f t="shared" si="151"/>
        <v>0</v>
      </c>
      <c r="R296" s="142">
        <f t="shared" si="144"/>
        <v>0</v>
      </c>
      <c r="S296" s="142"/>
      <c r="T296" s="396">
        <f t="shared" si="140"/>
        <v>0</v>
      </c>
      <c r="U296" s="396">
        <f t="shared" si="145"/>
        <v>0</v>
      </c>
      <c r="V296" s="396">
        <f t="shared" si="141"/>
        <v>0</v>
      </c>
      <c r="W296" s="142">
        <f t="shared" si="146"/>
        <v>0</v>
      </c>
      <c r="X296" s="142"/>
      <c r="Y296" s="142"/>
      <c r="Z296" s="142"/>
      <c r="AA296" s="142"/>
      <c r="AB296" s="142"/>
      <c r="AC296" s="142"/>
      <c r="AD296" s="142"/>
      <c r="AE296" s="142"/>
      <c r="AF296" s="142"/>
      <c r="AG296" s="142"/>
      <c r="AH296" s="142"/>
      <c r="AI296" s="142"/>
      <c r="AJ296" s="142"/>
      <c r="AK296" s="142"/>
      <c r="AL296" s="142"/>
    </row>
    <row r="297" spans="1:38" hidden="1" x14ac:dyDescent="0.3">
      <c r="A297" s="696" t="s">
        <v>521</v>
      </c>
      <c r="B297" s="696"/>
      <c r="C297" s="696"/>
      <c r="D297" s="104"/>
      <c r="E297" s="104">
        <v>8.9999999999999993E-3</v>
      </c>
      <c r="F297" s="9">
        <f t="shared" si="155"/>
        <v>0</v>
      </c>
      <c r="G297" s="557">
        <f t="shared" si="153"/>
        <v>0</v>
      </c>
      <c r="H297" s="557">
        <f t="shared" si="154"/>
        <v>0</v>
      </c>
      <c r="I297" s="104">
        <v>0.5</v>
      </c>
      <c r="J297" s="9">
        <f t="shared" si="152"/>
        <v>0</v>
      </c>
      <c r="K297" s="552"/>
      <c r="L297" s="553"/>
      <c r="M297" s="393">
        <f t="shared" si="156"/>
        <v>0</v>
      </c>
      <c r="N297" s="141"/>
      <c r="O297" s="396">
        <f>F306*I306</f>
        <v>0</v>
      </c>
      <c r="P297" s="396">
        <f t="shared" si="143"/>
        <v>0</v>
      </c>
      <c r="Q297" s="396">
        <f>P297*O297</f>
        <v>0</v>
      </c>
      <c r="R297" s="142">
        <f t="shared" si="144"/>
        <v>0</v>
      </c>
      <c r="S297" s="142"/>
      <c r="T297" s="396">
        <f t="shared" si="140"/>
        <v>0</v>
      </c>
      <c r="U297" s="396">
        <f t="shared" si="145"/>
        <v>0</v>
      </c>
      <c r="V297" s="396">
        <f t="shared" si="141"/>
        <v>0</v>
      </c>
      <c r="W297" s="142">
        <f t="shared" si="146"/>
        <v>0</v>
      </c>
      <c r="X297" s="142"/>
      <c r="Y297" s="142"/>
      <c r="Z297" s="142"/>
      <c r="AA297" s="142"/>
      <c r="AB297" s="142"/>
      <c r="AC297" s="142"/>
      <c r="AD297" s="142"/>
      <c r="AE297" s="142"/>
      <c r="AF297" s="142"/>
      <c r="AG297" s="142"/>
      <c r="AH297" s="142"/>
      <c r="AI297" s="142"/>
      <c r="AJ297" s="142"/>
      <c r="AK297" s="142"/>
      <c r="AL297" s="142"/>
    </row>
    <row r="298" spans="1:38" hidden="1" x14ac:dyDescent="0.3">
      <c r="A298" s="696" t="s">
        <v>521</v>
      </c>
      <c r="B298" s="696"/>
      <c r="C298" s="696"/>
      <c r="D298" s="104"/>
      <c r="E298" s="104">
        <v>8.9999999999999993E-3</v>
      </c>
      <c r="F298" s="9">
        <f t="shared" si="155"/>
        <v>0</v>
      </c>
      <c r="G298" s="557">
        <f t="shared" si="153"/>
        <v>0</v>
      </c>
      <c r="H298" s="557">
        <f t="shared" si="154"/>
        <v>0</v>
      </c>
      <c r="I298" s="104">
        <v>0.5</v>
      </c>
      <c r="J298" s="9">
        <f t="shared" si="152"/>
        <v>0</v>
      </c>
      <c r="K298" s="552"/>
      <c r="L298" s="553"/>
      <c r="M298" s="393">
        <f t="shared" si="156"/>
        <v>0</v>
      </c>
      <c r="N298" s="141"/>
      <c r="O298" s="396">
        <f>SUM(O282:O297)</f>
        <v>0</v>
      </c>
      <c r="P298" s="396" t="e">
        <f>SUM(P282:P297)/R298</f>
        <v>#DIV/0!</v>
      </c>
      <c r="Q298" s="396">
        <f>SUM(Q282:Q297)</f>
        <v>0</v>
      </c>
      <c r="R298" s="142">
        <f>SUM(R282:R297)</f>
        <v>0</v>
      </c>
      <c r="S298" s="142"/>
      <c r="T298" s="396">
        <f t="shared" si="140"/>
        <v>0</v>
      </c>
      <c r="U298" s="396">
        <f t="shared" si="145"/>
        <v>0</v>
      </c>
      <c r="V298" s="396">
        <f t="shared" si="141"/>
        <v>0</v>
      </c>
      <c r="W298" s="142">
        <f t="shared" si="146"/>
        <v>0</v>
      </c>
      <c r="X298" s="142"/>
      <c r="Y298" s="142"/>
      <c r="Z298" s="142"/>
      <c r="AA298" s="142"/>
      <c r="AB298" s="142"/>
      <c r="AC298" s="142"/>
      <c r="AD298" s="142"/>
      <c r="AE298" s="142"/>
      <c r="AF298" s="142"/>
      <c r="AG298" s="142"/>
      <c r="AH298" s="142"/>
      <c r="AI298" s="142"/>
      <c r="AJ298" s="142"/>
      <c r="AK298" s="142"/>
      <c r="AL298" s="142"/>
    </row>
    <row r="299" spans="1:38" hidden="1" x14ac:dyDescent="0.3">
      <c r="A299" s="696" t="s">
        <v>521</v>
      </c>
      <c r="B299" s="696"/>
      <c r="C299" s="696"/>
      <c r="D299" s="104"/>
      <c r="E299" s="104">
        <v>8.9999999999999993E-3</v>
      </c>
      <c r="F299" s="9">
        <f t="shared" si="155"/>
        <v>0</v>
      </c>
      <c r="G299" s="557">
        <f t="shared" si="153"/>
        <v>0</v>
      </c>
      <c r="H299" s="557">
        <f t="shared" si="154"/>
        <v>0</v>
      </c>
      <c r="I299" s="104">
        <v>0.5</v>
      </c>
      <c r="J299" s="9">
        <f t="shared" si="152"/>
        <v>0</v>
      </c>
      <c r="K299" s="552"/>
      <c r="L299" s="553"/>
      <c r="M299" s="393">
        <f t="shared" si="156"/>
        <v>0</v>
      </c>
      <c r="N299" s="141"/>
      <c r="O299" s="142"/>
      <c r="P299" s="142"/>
      <c r="Q299" s="142"/>
      <c r="R299" s="142"/>
      <c r="S299" s="142"/>
      <c r="T299" s="396">
        <f t="shared" si="140"/>
        <v>0</v>
      </c>
      <c r="U299" s="396">
        <f t="shared" si="145"/>
        <v>0</v>
      </c>
      <c r="V299" s="396">
        <f t="shared" si="141"/>
        <v>0</v>
      </c>
      <c r="W299" s="142">
        <f t="shared" si="146"/>
        <v>0</v>
      </c>
      <c r="X299" s="142"/>
      <c r="Y299" s="142"/>
      <c r="Z299" s="142"/>
      <c r="AA299" s="142"/>
      <c r="AB299" s="142"/>
      <c r="AC299" s="142"/>
      <c r="AD299" s="142"/>
      <c r="AE299" s="142"/>
      <c r="AF299" s="142"/>
      <c r="AG299" s="142"/>
      <c r="AH299" s="142"/>
      <c r="AI299" s="142"/>
      <c r="AJ299" s="142"/>
      <c r="AK299" s="142"/>
      <c r="AL299" s="142"/>
    </row>
    <row r="300" spans="1:38" hidden="1" x14ac:dyDescent="0.3">
      <c r="A300" s="696" t="s">
        <v>521</v>
      </c>
      <c r="B300" s="696"/>
      <c r="C300" s="696"/>
      <c r="D300" s="104"/>
      <c r="E300" s="104">
        <v>8.9999999999999993E-3</v>
      </c>
      <c r="F300" s="9">
        <f t="shared" si="155"/>
        <v>0</v>
      </c>
      <c r="G300" s="557">
        <f t="shared" si="153"/>
        <v>0</v>
      </c>
      <c r="H300" s="557">
        <f t="shared" si="154"/>
        <v>0</v>
      </c>
      <c r="I300" s="104">
        <v>0.5</v>
      </c>
      <c r="J300" s="9">
        <f t="shared" si="152"/>
        <v>0</v>
      </c>
      <c r="K300" s="552"/>
      <c r="L300" s="553"/>
      <c r="M300" s="393">
        <f t="shared" si="156"/>
        <v>0</v>
      </c>
      <c r="N300" s="141"/>
      <c r="O300" s="142"/>
      <c r="P300" s="142"/>
      <c r="Q300" s="142"/>
      <c r="R300" s="142"/>
      <c r="S300" s="142"/>
      <c r="T300" s="396">
        <f t="shared" si="140"/>
        <v>0</v>
      </c>
      <c r="U300" s="396">
        <f t="shared" si="145"/>
        <v>0</v>
      </c>
      <c r="V300" s="396">
        <f t="shared" si="141"/>
        <v>0</v>
      </c>
      <c r="W300" s="142">
        <f t="shared" si="146"/>
        <v>0</v>
      </c>
      <c r="X300" s="142"/>
      <c r="Y300" s="142"/>
      <c r="Z300" s="142"/>
      <c r="AA300" s="142"/>
      <c r="AB300" s="142"/>
      <c r="AC300" s="142"/>
      <c r="AD300" s="142"/>
      <c r="AE300" s="142"/>
      <c r="AF300" s="142"/>
      <c r="AG300" s="142"/>
      <c r="AH300" s="142"/>
      <c r="AI300" s="142"/>
      <c r="AJ300" s="142"/>
      <c r="AK300" s="142"/>
      <c r="AL300" s="142"/>
    </row>
    <row r="301" spans="1:38" hidden="1" x14ac:dyDescent="0.3">
      <c r="A301" s="696" t="s">
        <v>521</v>
      </c>
      <c r="B301" s="696"/>
      <c r="C301" s="696"/>
      <c r="D301" s="104"/>
      <c r="E301" s="104">
        <v>8.9999999999999993E-3</v>
      </c>
      <c r="F301" s="9">
        <f t="shared" si="155"/>
        <v>0</v>
      </c>
      <c r="G301" s="557">
        <f t="shared" si="153"/>
        <v>0</v>
      </c>
      <c r="H301" s="557">
        <f t="shared" si="154"/>
        <v>0</v>
      </c>
      <c r="I301" s="104">
        <v>0.5</v>
      </c>
      <c r="J301" s="9">
        <f t="shared" si="152"/>
        <v>0</v>
      </c>
      <c r="K301" s="552"/>
      <c r="L301" s="553"/>
      <c r="M301" s="393">
        <f t="shared" si="156"/>
        <v>0</v>
      </c>
      <c r="N301" s="141"/>
      <c r="O301" s="142"/>
      <c r="P301" s="142"/>
      <c r="Q301" s="142"/>
      <c r="R301" s="142"/>
      <c r="S301" s="142"/>
      <c r="T301" s="396">
        <f t="shared" si="140"/>
        <v>0</v>
      </c>
      <c r="U301" s="396">
        <f t="shared" si="145"/>
        <v>0</v>
      </c>
      <c r="V301" s="396">
        <f t="shared" si="141"/>
        <v>0</v>
      </c>
      <c r="W301" s="142">
        <f t="shared" si="146"/>
        <v>0</v>
      </c>
      <c r="X301" s="142"/>
      <c r="Y301" s="142"/>
      <c r="Z301" s="142"/>
      <c r="AA301" s="142"/>
      <c r="AB301" s="142"/>
      <c r="AC301" s="142"/>
      <c r="AD301" s="142"/>
      <c r="AE301" s="142"/>
      <c r="AF301" s="142"/>
      <c r="AG301" s="142"/>
      <c r="AH301" s="142"/>
      <c r="AI301" s="142"/>
      <c r="AJ301" s="142"/>
      <c r="AK301" s="142"/>
      <c r="AL301" s="142"/>
    </row>
    <row r="302" spans="1:38" hidden="1" x14ac:dyDescent="0.3">
      <c r="A302" s="696" t="s">
        <v>521</v>
      </c>
      <c r="B302" s="696"/>
      <c r="C302" s="696"/>
      <c r="D302" s="104"/>
      <c r="E302" s="104">
        <v>8.9999999999999993E-3</v>
      </c>
      <c r="F302" s="9">
        <f t="shared" si="155"/>
        <v>0</v>
      </c>
      <c r="G302" s="557">
        <f t="shared" si="153"/>
        <v>0</v>
      </c>
      <c r="H302" s="557">
        <f t="shared" si="154"/>
        <v>0</v>
      </c>
      <c r="I302" s="104">
        <v>0.5</v>
      </c>
      <c r="J302" s="9">
        <f t="shared" si="152"/>
        <v>0</v>
      </c>
      <c r="K302" s="552"/>
      <c r="L302" s="553"/>
      <c r="M302" s="393">
        <f t="shared" si="156"/>
        <v>0</v>
      </c>
      <c r="N302" s="141"/>
      <c r="O302" s="142"/>
      <c r="P302" s="142"/>
      <c r="Q302" s="142"/>
      <c r="R302" s="142"/>
      <c r="S302" s="142"/>
      <c r="T302" s="72">
        <f>SUM(T282:T301)</f>
        <v>0</v>
      </c>
      <c r="U302" s="396" t="e">
        <f>SUM(U282:U301)/W302</f>
        <v>#DIV/0!</v>
      </c>
      <c r="V302" s="72">
        <f>SUM(V282:V301)</f>
        <v>0</v>
      </c>
      <c r="W302" s="142">
        <f>SUM(W282:W301)</f>
        <v>0</v>
      </c>
      <c r="X302" s="142"/>
      <c r="Y302" s="142"/>
      <c r="Z302" s="142"/>
      <c r="AA302" s="142"/>
      <c r="AB302" s="142"/>
      <c r="AC302" s="142"/>
      <c r="AD302" s="142"/>
      <c r="AE302" s="142"/>
      <c r="AF302" s="142"/>
      <c r="AG302" s="142"/>
      <c r="AH302" s="142"/>
      <c r="AI302" s="142"/>
      <c r="AJ302" s="142"/>
      <c r="AK302" s="142"/>
      <c r="AL302" s="142"/>
    </row>
    <row r="303" spans="1:38" hidden="1" x14ac:dyDescent="0.3">
      <c r="A303" s="696" t="s">
        <v>521</v>
      </c>
      <c r="B303" s="696"/>
      <c r="C303" s="696"/>
      <c r="D303" s="104"/>
      <c r="E303" s="104">
        <v>8.9999999999999993E-3</v>
      </c>
      <c r="F303" s="9">
        <f t="shared" si="155"/>
        <v>0</v>
      </c>
      <c r="G303" s="557">
        <f t="shared" si="153"/>
        <v>0</v>
      </c>
      <c r="H303" s="557">
        <f t="shared" si="154"/>
        <v>0</v>
      </c>
      <c r="I303" s="104">
        <v>0.5</v>
      </c>
      <c r="J303" s="9">
        <f t="shared" si="152"/>
        <v>0</v>
      </c>
      <c r="K303" s="552"/>
      <c r="L303" s="553"/>
      <c r="M303" s="393">
        <f t="shared" si="156"/>
        <v>0</v>
      </c>
      <c r="N303" s="141"/>
      <c r="O303" s="142"/>
      <c r="P303" s="142"/>
      <c r="Q303" s="142"/>
      <c r="R303" s="142"/>
      <c r="S303" s="142"/>
      <c r="T303" s="396"/>
      <c r="U303" s="396"/>
      <c r="V303" s="396"/>
      <c r="W303" s="142"/>
      <c r="X303" s="142"/>
      <c r="Y303" s="142"/>
      <c r="Z303" s="142"/>
      <c r="AA303" s="142"/>
      <c r="AB303" s="142"/>
      <c r="AC303" s="142"/>
      <c r="AD303" s="142"/>
      <c r="AE303" s="142"/>
      <c r="AF303" s="142"/>
      <c r="AG303" s="142"/>
      <c r="AH303" s="142"/>
      <c r="AI303" s="142"/>
      <c r="AJ303" s="142"/>
      <c r="AK303" s="142"/>
      <c r="AL303" s="142"/>
    </row>
    <row r="304" spans="1:38" hidden="1" x14ac:dyDescent="0.3">
      <c r="A304" s="696" t="s">
        <v>521</v>
      </c>
      <c r="B304" s="696"/>
      <c r="C304" s="696"/>
      <c r="D304" s="104"/>
      <c r="E304" s="104">
        <v>8.9999999999999993E-3</v>
      </c>
      <c r="F304" s="9">
        <f t="shared" si="155"/>
        <v>0</v>
      </c>
      <c r="G304" s="557">
        <f t="shared" si="153"/>
        <v>0</v>
      </c>
      <c r="H304" s="557">
        <f t="shared" si="154"/>
        <v>0</v>
      </c>
      <c r="I304" s="104">
        <v>0.5</v>
      </c>
      <c r="J304" s="9">
        <f t="shared" si="152"/>
        <v>0</v>
      </c>
      <c r="K304" s="552"/>
      <c r="L304" s="553"/>
      <c r="M304" s="393">
        <f t="shared" si="156"/>
        <v>0</v>
      </c>
      <c r="N304" s="141"/>
      <c r="O304" s="142"/>
      <c r="P304" s="142"/>
      <c r="Q304" s="142"/>
      <c r="R304" s="142"/>
      <c r="S304" s="142"/>
      <c r="T304" s="396"/>
      <c r="U304" s="396"/>
      <c r="V304" s="396"/>
      <c r="W304" s="142"/>
      <c r="X304" s="142"/>
      <c r="Y304" s="142"/>
      <c r="Z304" s="142"/>
      <c r="AA304" s="142"/>
      <c r="AB304" s="142"/>
      <c r="AC304" s="142"/>
      <c r="AD304" s="142"/>
      <c r="AE304" s="142"/>
      <c r="AF304" s="142"/>
      <c r="AG304" s="142"/>
      <c r="AH304" s="142"/>
      <c r="AI304" s="142"/>
      <c r="AJ304" s="142"/>
      <c r="AK304" s="142"/>
      <c r="AL304" s="142"/>
    </row>
    <row r="305" spans="1:64" hidden="1" x14ac:dyDescent="0.3">
      <c r="A305" s="696" t="s">
        <v>521</v>
      </c>
      <c r="B305" s="696"/>
      <c r="C305" s="696"/>
      <c r="D305" s="104"/>
      <c r="E305" s="104">
        <v>8.9999999999999993E-3</v>
      </c>
      <c r="F305" s="9">
        <f t="shared" si="155"/>
        <v>0</v>
      </c>
      <c r="G305" s="557">
        <f t="shared" si="153"/>
        <v>0</v>
      </c>
      <c r="H305" s="557">
        <f t="shared" si="154"/>
        <v>0</v>
      </c>
      <c r="I305" s="104">
        <v>0.5</v>
      </c>
      <c r="J305" s="9">
        <f t="shared" si="152"/>
        <v>0</v>
      </c>
      <c r="K305" s="552"/>
      <c r="L305" s="553"/>
      <c r="M305" s="393">
        <f t="shared" si="156"/>
        <v>0</v>
      </c>
      <c r="N305" s="141"/>
      <c r="O305" s="142"/>
      <c r="P305" s="142"/>
      <c r="Q305" s="142"/>
      <c r="R305" s="142"/>
      <c r="S305" s="142"/>
      <c r="T305" s="396"/>
      <c r="U305" s="396"/>
      <c r="V305" s="396"/>
      <c r="W305" s="142"/>
      <c r="X305" s="142"/>
      <c r="Y305" s="142"/>
      <c r="Z305" s="142"/>
      <c r="AA305" s="142"/>
      <c r="AB305" s="142"/>
      <c r="AC305" s="142"/>
      <c r="AD305" s="142"/>
      <c r="AE305" s="142"/>
      <c r="AF305" s="142"/>
      <c r="AG305" s="142"/>
      <c r="AH305" s="142"/>
      <c r="AI305" s="142"/>
      <c r="AJ305" s="142"/>
      <c r="AK305" s="142"/>
      <c r="AL305" s="142"/>
    </row>
    <row r="306" spans="1:64" hidden="1" x14ac:dyDescent="0.3">
      <c r="A306" s="696" t="s">
        <v>521</v>
      </c>
      <c r="B306" s="696"/>
      <c r="C306" s="696"/>
      <c r="D306" s="104"/>
      <c r="E306" s="104">
        <v>8.9999999999999993E-3</v>
      </c>
      <c r="F306" s="9">
        <f>D306*E306</f>
        <v>0</v>
      </c>
      <c r="G306" s="557">
        <f t="shared" si="153"/>
        <v>0</v>
      </c>
      <c r="H306" s="557">
        <f>IF(D306=0,,SUM(M$221:M$223))</f>
        <v>0</v>
      </c>
      <c r="I306" s="104">
        <v>0.5</v>
      </c>
      <c r="J306" s="9">
        <f t="shared" si="152"/>
        <v>0</v>
      </c>
      <c r="K306" s="552"/>
      <c r="L306" s="553"/>
      <c r="M306" s="393">
        <f>F306*G306*I306/24</f>
        <v>0</v>
      </c>
      <c r="N306" s="141"/>
      <c r="O306" s="142"/>
      <c r="P306" s="142"/>
      <c r="Q306" s="142"/>
      <c r="R306" s="142"/>
      <c r="S306" s="142"/>
      <c r="W306" s="142"/>
      <c r="X306" s="142"/>
      <c r="Y306" s="142"/>
      <c r="Z306" s="142"/>
      <c r="AA306" s="142"/>
      <c r="AB306" s="142"/>
      <c r="AC306" s="142"/>
      <c r="AD306" s="142"/>
      <c r="AE306" s="142"/>
      <c r="AF306" s="142"/>
      <c r="AG306" s="142"/>
      <c r="AH306" s="142"/>
      <c r="AI306" s="142"/>
      <c r="AJ306" s="142"/>
      <c r="AK306" s="142"/>
      <c r="AL306" s="142"/>
    </row>
    <row r="307" spans="1:64" x14ac:dyDescent="0.3">
      <c r="A307" s="36"/>
      <c r="B307" s="36"/>
      <c r="C307" s="36"/>
      <c r="D307" s="36"/>
      <c r="E307" s="36"/>
      <c r="F307" s="36"/>
      <c r="G307" s="36"/>
      <c r="H307" s="36"/>
      <c r="I307" s="14"/>
      <c r="J307" s="14"/>
      <c r="K307" s="23"/>
      <c r="L307" s="23"/>
      <c r="M307" s="199"/>
      <c r="N307" s="141"/>
      <c r="O307" s="142"/>
      <c r="P307" s="142"/>
      <c r="Q307" s="142"/>
      <c r="R307" s="142"/>
      <c r="S307" s="142"/>
      <c r="W307" s="142"/>
      <c r="X307" s="142"/>
      <c r="Y307" s="142"/>
      <c r="Z307" s="142"/>
      <c r="AA307" s="142"/>
      <c r="AB307" s="142"/>
      <c r="AC307" s="142"/>
      <c r="AD307" s="142"/>
      <c r="AE307" s="142"/>
      <c r="AF307" s="142"/>
      <c r="AG307" s="142"/>
      <c r="AH307" s="142"/>
      <c r="AI307" s="142"/>
      <c r="AJ307" s="142"/>
      <c r="AK307" s="142"/>
      <c r="AL307" s="142"/>
    </row>
    <row r="308" spans="1:64" x14ac:dyDescent="0.3">
      <c r="A308" s="763" t="s">
        <v>643</v>
      </c>
      <c r="B308" s="914"/>
      <c r="C308" s="914"/>
      <c r="D308" s="914"/>
      <c r="E308" s="914"/>
      <c r="F308" s="914"/>
      <c r="G308" s="914"/>
      <c r="H308" s="589"/>
      <c r="I308" s="589"/>
      <c r="J308" s="481">
        <f>(SUM(G291:G306)/(COUNTA(G291:G306)-COUNTIF(G291:G306,"=0")))*(SUM(H291:H306)/(COUNTA(H291:H306)-COUNTIF(H291:H306,"=0")))</f>
        <v>42</v>
      </c>
      <c r="K308" s="36" t="s">
        <v>645</v>
      </c>
      <c r="L308" s="23"/>
      <c r="M308" s="199"/>
      <c r="N308" s="141"/>
      <c r="O308" s="142"/>
      <c r="P308" s="142"/>
      <c r="Q308" s="142"/>
      <c r="R308" s="142"/>
      <c r="S308" s="142"/>
      <c r="W308" s="142"/>
      <c r="X308" s="142"/>
      <c r="Y308" s="142"/>
      <c r="Z308" s="142"/>
      <c r="AA308" s="142"/>
      <c r="AB308" s="142"/>
      <c r="AC308" s="142"/>
      <c r="AD308" s="142"/>
      <c r="AE308" s="142"/>
      <c r="AF308" s="142"/>
      <c r="AG308" s="142"/>
      <c r="AH308" s="142"/>
      <c r="AI308" s="142"/>
      <c r="AJ308" s="142"/>
      <c r="AK308" s="142"/>
      <c r="AL308" s="142"/>
    </row>
    <row r="309" spans="1:64" ht="18" x14ac:dyDescent="0.3">
      <c r="A309" s="763" t="s">
        <v>646</v>
      </c>
      <c r="B309" s="914"/>
      <c r="C309" s="914"/>
      <c r="D309" s="914"/>
      <c r="E309" s="914"/>
      <c r="F309" s="914"/>
      <c r="G309" s="914"/>
      <c r="H309" s="589"/>
      <c r="I309" s="589"/>
      <c r="J309" s="465" t="e">
        <f>SUM(J291:J306)*1000/(24*7*C25)</f>
        <v>#DIV/0!</v>
      </c>
      <c r="K309" s="36" t="s">
        <v>296</v>
      </c>
      <c r="L309" s="23"/>
      <c r="M309" s="199"/>
      <c r="N309" s="141"/>
      <c r="O309" s="142"/>
      <c r="P309" s="142"/>
      <c r="Q309" s="142"/>
      <c r="R309" s="142"/>
      <c r="S309" s="142"/>
      <c r="W309" s="142"/>
      <c r="X309" s="142"/>
      <c r="Y309" s="142"/>
      <c r="Z309" s="142"/>
      <c r="AA309" s="142"/>
      <c r="AB309" s="142"/>
      <c r="AC309" s="142"/>
      <c r="AD309" s="142"/>
      <c r="AE309" s="142"/>
      <c r="AF309" s="142"/>
      <c r="AG309" s="142"/>
      <c r="AH309" s="142"/>
      <c r="AI309" s="142"/>
      <c r="AJ309" s="142"/>
      <c r="AK309" s="142"/>
      <c r="AL309" s="142"/>
    </row>
    <row r="310" spans="1:64" x14ac:dyDescent="0.3">
      <c r="A310" s="36"/>
      <c r="B310" s="36"/>
      <c r="C310" s="36"/>
      <c r="D310" s="36"/>
      <c r="E310" s="36"/>
      <c r="F310" s="36"/>
      <c r="G310" s="36"/>
      <c r="H310" s="36"/>
      <c r="I310" s="14"/>
      <c r="J310" s="14"/>
      <c r="K310" s="23"/>
      <c r="L310" s="23"/>
      <c r="M310" s="199"/>
      <c r="N310" s="141"/>
      <c r="O310" s="142"/>
      <c r="P310" s="142"/>
      <c r="Q310" s="142"/>
      <c r="R310" s="142"/>
      <c r="S310" s="142"/>
      <c r="W310" s="142"/>
      <c r="X310" s="142"/>
      <c r="Y310" s="142"/>
      <c r="Z310" s="142"/>
      <c r="AA310" s="142"/>
      <c r="AB310" s="142"/>
      <c r="AC310" s="142"/>
      <c r="AD310" s="142"/>
      <c r="AE310" s="142"/>
      <c r="AF310" s="142"/>
      <c r="AG310" s="142"/>
      <c r="AH310" s="142"/>
      <c r="AI310" s="142"/>
      <c r="AJ310" s="142"/>
      <c r="AK310" s="142"/>
      <c r="AL310" s="142"/>
    </row>
    <row r="311" spans="1:64" ht="18" thickBot="1" x14ac:dyDescent="0.35">
      <c r="A311" s="637" t="s">
        <v>289</v>
      </c>
      <c r="B311" s="637"/>
      <c r="C311" s="637"/>
      <c r="D311" s="637"/>
      <c r="E311" s="637"/>
      <c r="F311" s="637"/>
      <c r="G311" s="637"/>
      <c r="H311" s="637"/>
      <c r="I311" s="716"/>
      <c r="J311" s="716"/>
      <c r="K311" s="716"/>
      <c r="O311" s="837" t="s">
        <v>465</v>
      </c>
      <c r="P311" s="838"/>
      <c r="Q311" s="838"/>
      <c r="R311" s="838"/>
      <c r="S311" s="838"/>
      <c r="T311" s="838"/>
      <c r="U311" s="838"/>
      <c r="V311" s="838"/>
      <c r="W311" s="838"/>
      <c r="X311" s="838"/>
      <c r="Y311" s="838"/>
      <c r="Z311" s="838"/>
    </row>
    <row r="312" spans="1:64" ht="18" thickTop="1" x14ac:dyDescent="0.3">
      <c r="A312" s="859" t="s">
        <v>1077</v>
      </c>
      <c r="B312" s="742"/>
      <c r="C312" s="743"/>
      <c r="D312" s="915" t="s">
        <v>1078</v>
      </c>
      <c r="E312" s="852" t="s">
        <v>53</v>
      </c>
      <c r="F312" s="852" t="s">
        <v>54</v>
      </c>
      <c r="G312" s="852" t="s">
        <v>55</v>
      </c>
      <c r="H312" s="852" t="s">
        <v>55</v>
      </c>
      <c r="I312" s="852" t="s">
        <v>56</v>
      </c>
      <c r="J312" s="852" t="s">
        <v>671</v>
      </c>
      <c r="K312" s="866" t="s">
        <v>1210</v>
      </c>
      <c r="L312" s="866" t="s">
        <v>1211</v>
      </c>
      <c r="M312" s="855" t="s">
        <v>615</v>
      </c>
      <c r="O312" s="845" t="s">
        <v>466</v>
      </c>
      <c r="P312" s="846"/>
      <c r="Q312" s="846"/>
      <c r="R312" s="846"/>
      <c r="S312" s="846"/>
      <c r="T312" s="846"/>
      <c r="U312" s="846"/>
      <c r="V312" s="846"/>
      <c r="W312" s="846"/>
      <c r="X312" s="846"/>
      <c r="Y312" s="846"/>
      <c r="Z312" s="847"/>
    </row>
    <row r="313" spans="1:64" x14ac:dyDescent="0.3">
      <c r="A313" s="860"/>
      <c r="B313" s="861"/>
      <c r="C313" s="862"/>
      <c r="D313" s="916"/>
      <c r="E313" s="853"/>
      <c r="F313" s="853"/>
      <c r="G313" s="853"/>
      <c r="H313" s="853"/>
      <c r="I313" s="853"/>
      <c r="J313" s="853"/>
      <c r="K313" s="853"/>
      <c r="L313" s="853"/>
      <c r="M313" s="856"/>
      <c r="O313" s="145">
        <v>0</v>
      </c>
      <c r="P313" s="9">
        <v>1</v>
      </c>
      <c r="Q313" s="9">
        <v>2</v>
      </c>
      <c r="R313" s="9">
        <v>3</v>
      </c>
      <c r="S313" s="9">
        <v>4</v>
      </c>
      <c r="T313" s="9">
        <v>5</v>
      </c>
      <c r="U313" s="9">
        <v>6</v>
      </c>
      <c r="V313" s="9">
        <v>7</v>
      </c>
      <c r="W313" s="9">
        <v>8</v>
      </c>
      <c r="X313" s="9">
        <v>9</v>
      </c>
      <c r="Y313" s="9">
        <v>10</v>
      </c>
      <c r="Z313" s="146">
        <v>11</v>
      </c>
      <c r="AN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</row>
    <row r="314" spans="1:64" x14ac:dyDescent="0.3">
      <c r="A314" s="860"/>
      <c r="B314" s="861"/>
      <c r="C314" s="862"/>
      <c r="D314" s="916"/>
      <c r="E314" s="853"/>
      <c r="F314" s="853"/>
      <c r="G314" s="853"/>
      <c r="H314" s="853"/>
      <c r="I314" s="853"/>
      <c r="J314" s="853"/>
      <c r="K314" s="853"/>
      <c r="L314" s="853"/>
      <c r="M314" s="856"/>
      <c r="O314" s="898" t="s">
        <v>467</v>
      </c>
      <c r="P314" s="593"/>
      <c r="Q314" s="593"/>
      <c r="R314" s="593"/>
      <c r="S314" s="593"/>
      <c r="T314" s="593"/>
      <c r="U314" s="593"/>
      <c r="V314" s="593"/>
      <c r="W314" s="593"/>
      <c r="X314" s="593"/>
      <c r="Y314" s="593"/>
      <c r="Z314" s="899"/>
      <c r="AN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</row>
    <row r="315" spans="1:64" ht="18.75" customHeight="1" thickBot="1" x14ac:dyDescent="0.35">
      <c r="A315" s="860"/>
      <c r="B315" s="861"/>
      <c r="C315" s="862"/>
      <c r="D315" s="917"/>
      <c r="E315" s="854"/>
      <c r="F315" s="854"/>
      <c r="G315" s="854"/>
      <c r="H315" s="854"/>
      <c r="I315" s="854"/>
      <c r="J315" s="854"/>
      <c r="K315" s="854"/>
      <c r="L315" s="854"/>
      <c r="M315" s="857"/>
      <c r="O315" s="148">
        <f t="shared" ref="O315:Z315" si="157">O331</f>
        <v>0</v>
      </c>
      <c r="P315" s="144">
        <f t="shared" si="157"/>
        <v>0</v>
      </c>
      <c r="Q315" s="144">
        <f t="shared" si="157"/>
        <v>0</v>
      </c>
      <c r="R315" s="144">
        <f t="shared" si="157"/>
        <v>0</v>
      </c>
      <c r="S315" s="144">
        <f t="shared" si="157"/>
        <v>0</v>
      </c>
      <c r="T315" s="144">
        <f t="shared" si="157"/>
        <v>0</v>
      </c>
      <c r="U315" s="144">
        <f t="shared" si="157"/>
        <v>0</v>
      </c>
      <c r="V315" s="144">
        <f t="shared" si="157"/>
        <v>0</v>
      </c>
      <c r="W315" s="144">
        <f t="shared" si="157"/>
        <v>0</v>
      </c>
      <c r="X315" s="144">
        <f t="shared" si="157"/>
        <v>0</v>
      </c>
      <c r="Y315" s="144">
        <f t="shared" si="157"/>
        <v>0</v>
      </c>
      <c r="Z315" s="149">
        <f t="shared" si="157"/>
        <v>0</v>
      </c>
      <c r="AN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</row>
    <row r="316" spans="1:64" ht="18" thickTop="1" x14ac:dyDescent="0.3">
      <c r="A316" s="733"/>
      <c r="B316" s="734"/>
      <c r="C316" s="735"/>
      <c r="D316" s="9" t="s">
        <v>1079</v>
      </c>
      <c r="E316" s="9" t="s">
        <v>1080</v>
      </c>
      <c r="F316" s="9" t="s">
        <v>1080</v>
      </c>
      <c r="G316" s="9" t="s">
        <v>41</v>
      </c>
      <c r="H316" s="9" t="s">
        <v>42</v>
      </c>
      <c r="I316" s="9" t="s">
        <v>950</v>
      </c>
      <c r="J316" s="9" t="s">
        <v>950</v>
      </c>
      <c r="K316" s="13" t="s">
        <v>1080</v>
      </c>
      <c r="L316" s="9" t="s">
        <v>945</v>
      </c>
      <c r="O316" s="845" t="s">
        <v>466</v>
      </c>
      <c r="P316" s="846"/>
      <c r="Q316" s="846"/>
      <c r="R316" s="846"/>
      <c r="S316" s="846"/>
      <c r="T316" s="846"/>
      <c r="U316" s="846"/>
      <c r="V316" s="846"/>
      <c r="W316" s="846"/>
      <c r="X316" s="846"/>
      <c r="Y316" s="846"/>
      <c r="Z316" s="847"/>
      <c r="AN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</row>
    <row r="317" spans="1:64" x14ac:dyDescent="0.3">
      <c r="A317" s="696" t="s">
        <v>1085</v>
      </c>
      <c r="B317" s="696"/>
      <c r="C317" s="696"/>
      <c r="D317" s="104"/>
      <c r="E317" s="104">
        <v>2.5</v>
      </c>
      <c r="F317" s="9">
        <f>D317*E317</f>
        <v>0</v>
      </c>
      <c r="G317" s="557">
        <f>IF(D317=0,,4)</f>
        <v>0</v>
      </c>
      <c r="H317" s="557">
        <f>IF(D317=0,,M$224)</f>
        <v>0</v>
      </c>
      <c r="I317" s="104">
        <v>0.5</v>
      </c>
      <c r="J317" s="104">
        <v>0.5</v>
      </c>
      <c r="K317" s="9">
        <f>F317*G317*I317*H317</f>
        <v>0</v>
      </c>
      <c r="L317" s="9">
        <f>F317*G317*H317*J317</f>
        <v>0</v>
      </c>
      <c r="M317" s="393">
        <f t="shared" ref="M317:M336" si="158">F317*G317*I317/24</f>
        <v>0</v>
      </c>
      <c r="O317" s="150">
        <v>12</v>
      </c>
      <c r="P317" s="143">
        <v>13</v>
      </c>
      <c r="Q317" s="143">
        <v>14</v>
      </c>
      <c r="R317" s="143">
        <v>15</v>
      </c>
      <c r="S317" s="143">
        <v>16</v>
      </c>
      <c r="T317" s="143">
        <v>17</v>
      </c>
      <c r="U317" s="143">
        <v>18</v>
      </c>
      <c r="V317" s="143">
        <v>19</v>
      </c>
      <c r="W317" s="143">
        <v>20</v>
      </c>
      <c r="X317" s="143">
        <v>21</v>
      </c>
      <c r="Y317" s="143">
        <v>22</v>
      </c>
      <c r="Z317" s="151">
        <v>23</v>
      </c>
      <c r="AN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</row>
    <row r="318" spans="1:64" ht="18" hidden="1" customHeight="1" x14ac:dyDescent="0.3">
      <c r="A318" s="696" t="s">
        <v>1085</v>
      </c>
      <c r="B318" s="696"/>
      <c r="C318" s="696"/>
      <c r="D318" s="104"/>
      <c r="E318" s="104">
        <v>2</v>
      </c>
      <c r="F318" s="9">
        <f t="shared" ref="F318:F336" si="159">D318*E318</f>
        <v>0</v>
      </c>
      <c r="G318" s="557">
        <f>IF(D318=0,,4)</f>
        <v>0</v>
      </c>
      <c r="H318" s="557">
        <f>IF(D318=0,,M$224)</f>
        <v>0</v>
      </c>
      <c r="I318" s="104">
        <v>0.5</v>
      </c>
      <c r="J318" s="104">
        <v>0.5</v>
      </c>
      <c r="K318" s="9">
        <f t="shared" ref="K318:K336" si="160">F318*G318*I318*H318</f>
        <v>0</v>
      </c>
      <c r="L318" s="9">
        <f t="shared" ref="L318:L336" si="161">F318*G318*H318*J318</f>
        <v>0</v>
      </c>
      <c r="M318" s="393">
        <f t="shared" si="158"/>
        <v>0</v>
      </c>
      <c r="O318" s="898" t="s">
        <v>467</v>
      </c>
      <c r="P318" s="593"/>
      <c r="Q318" s="593"/>
      <c r="R318" s="593"/>
      <c r="S318" s="593"/>
      <c r="T318" s="593"/>
      <c r="U318" s="593"/>
      <c r="V318" s="593"/>
      <c r="W318" s="593"/>
      <c r="X318" s="593"/>
      <c r="Y318" s="593"/>
      <c r="Z318" s="899"/>
      <c r="AN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</row>
    <row r="319" spans="1:64" ht="18" hidden="1" thickBot="1" x14ac:dyDescent="0.35">
      <c r="A319" s="696" t="s">
        <v>447</v>
      </c>
      <c r="B319" s="696"/>
      <c r="C319" s="696"/>
      <c r="D319" s="104"/>
      <c r="E319" s="104">
        <v>0.5</v>
      </c>
      <c r="F319" s="9">
        <f t="shared" si="159"/>
        <v>0</v>
      </c>
      <c r="G319" s="557">
        <f>IF(D319=0,,4)</f>
        <v>0</v>
      </c>
      <c r="H319" s="557">
        <f>IF(D319=0,,M$224)</f>
        <v>0</v>
      </c>
      <c r="I319" s="104">
        <v>0.5</v>
      </c>
      <c r="J319" s="104">
        <v>0.2</v>
      </c>
      <c r="K319" s="9">
        <f t="shared" si="160"/>
        <v>0</v>
      </c>
      <c r="L319" s="9">
        <f t="shared" si="161"/>
        <v>0</v>
      </c>
      <c r="M319" s="393">
        <f t="shared" si="158"/>
        <v>0</v>
      </c>
      <c r="O319" s="152">
        <f t="shared" ref="O319:Z319" si="162">AA331</f>
        <v>0</v>
      </c>
      <c r="P319" s="153">
        <f t="shared" si="162"/>
        <v>0</v>
      </c>
      <c r="Q319" s="153">
        <f t="shared" si="162"/>
        <v>0</v>
      </c>
      <c r="R319" s="153">
        <f t="shared" si="162"/>
        <v>0</v>
      </c>
      <c r="S319" s="153">
        <f t="shared" si="162"/>
        <v>0</v>
      </c>
      <c r="T319" s="153">
        <f t="shared" si="162"/>
        <v>0</v>
      </c>
      <c r="U319" s="153">
        <f t="shared" si="162"/>
        <v>0</v>
      </c>
      <c r="V319" s="153">
        <f t="shared" si="162"/>
        <v>0</v>
      </c>
      <c r="W319" s="153">
        <f t="shared" si="162"/>
        <v>0</v>
      </c>
      <c r="X319" s="153">
        <f t="shared" si="162"/>
        <v>0</v>
      </c>
      <c r="Y319" s="153">
        <f t="shared" si="162"/>
        <v>0</v>
      </c>
      <c r="Z319" s="154">
        <f t="shared" si="162"/>
        <v>0</v>
      </c>
      <c r="AN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</row>
    <row r="320" spans="1:64" ht="18" hidden="1" thickTop="1" x14ac:dyDescent="0.3">
      <c r="A320" s="696" t="s">
        <v>1086</v>
      </c>
      <c r="B320" s="696"/>
      <c r="C320" s="696"/>
      <c r="D320" s="104"/>
      <c r="E320" s="104">
        <v>2</v>
      </c>
      <c r="F320" s="9">
        <f t="shared" si="159"/>
        <v>0</v>
      </c>
      <c r="G320" s="557">
        <f>IF(D320=0,,4)</f>
        <v>0</v>
      </c>
      <c r="H320" s="557">
        <f>IF(D320=0,,M$224)</f>
        <v>0</v>
      </c>
      <c r="I320" s="104">
        <v>0.5</v>
      </c>
      <c r="J320" s="104">
        <v>0.01</v>
      </c>
      <c r="K320" s="9">
        <f t="shared" si="160"/>
        <v>0</v>
      </c>
      <c r="L320" s="9">
        <f t="shared" si="161"/>
        <v>0</v>
      </c>
      <c r="M320" s="393">
        <f t="shared" si="158"/>
        <v>0</v>
      </c>
      <c r="AN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</row>
    <row r="321" spans="1:64" x14ac:dyDescent="0.3">
      <c r="A321" s="696" t="s">
        <v>1087</v>
      </c>
      <c r="B321" s="696"/>
      <c r="C321" s="696"/>
      <c r="D321" s="104">
        <f>D317</f>
        <v>0</v>
      </c>
      <c r="E321" s="104">
        <v>0.35</v>
      </c>
      <c r="F321" s="9">
        <f t="shared" ref="F321:F329" si="163">D321*E321</f>
        <v>0</v>
      </c>
      <c r="G321" s="557">
        <f>IF(D321=0,,8)</f>
        <v>0</v>
      </c>
      <c r="H321" s="557">
        <f>IF(D321=0,,M$224)</f>
        <v>0</v>
      </c>
      <c r="I321" s="104">
        <v>0.5</v>
      </c>
      <c r="J321" s="104">
        <v>0.2</v>
      </c>
      <c r="K321" s="9">
        <f t="shared" si="160"/>
        <v>0</v>
      </c>
      <c r="L321" s="9">
        <f t="shared" si="161"/>
        <v>0</v>
      </c>
      <c r="M321" s="393">
        <f t="shared" si="158"/>
        <v>0</v>
      </c>
      <c r="AN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</row>
    <row r="322" spans="1:64" ht="18" hidden="1" customHeight="1" x14ac:dyDescent="0.3">
      <c r="A322" s="696" t="s">
        <v>1087</v>
      </c>
      <c r="B322" s="696"/>
      <c r="C322" s="696"/>
      <c r="D322" s="104"/>
      <c r="E322" s="104">
        <v>0.35</v>
      </c>
      <c r="F322" s="9">
        <f t="shared" si="163"/>
        <v>0</v>
      </c>
      <c r="G322" s="557">
        <f t="shared" ref="G322:G330" si="164">IF(D322=0,,4)</f>
        <v>0</v>
      </c>
      <c r="H322" s="557">
        <f t="shared" ref="H322:H331" si="165">IF(D322=0,,M$224)</f>
        <v>0</v>
      </c>
      <c r="I322" s="104">
        <v>0.5</v>
      </c>
      <c r="J322" s="104">
        <v>0.2</v>
      </c>
      <c r="K322" s="9">
        <f t="shared" si="160"/>
        <v>0</v>
      </c>
      <c r="L322" s="9">
        <f t="shared" si="161"/>
        <v>0</v>
      </c>
      <c r="M322" s="393">
        <f t="shared" si="158"/>
        <v>0</v>
      </c>
      <c r="AN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</row>
    <row r="323" spans="1:64" ht="18" hidden="1" customHeight="1" x14ac:dyDescent="0.3">
      <c r="A323" s="696" t="s">
        <v>1087</v>
      </c>
      <c r="B323" s="696"/>
      <c r="C323" s="696"/>
      <c r="D323" s="104"/>
      <c r="E323" s="104">
        <v>0.35</v>
      </c>
      <c r="F323" s="9">
        <f t="shared" si="163"/>
        <v>0</v>
      </c>
      <c r="G323" s="557">
        <f t="shared" si="164"/>
        <v>0</v>
      </c>
      <c r="H323" s="557">
        <f t="shared" si="165"/>
        <v>0</v>
      </c>
      <c r="I323" s="104">
        <v>0.5</v>
      </c>
      <c r="J323" s="104">
        <v>0.2</v>
      </c>
      <c r="K323" s="9">
        <f t="shared" si="160"/>
        <v>0</v>
      </c>
      <c r="L323" s="9">
        <f t="shared" si="161"/>
        <v>0</v>
      </c>
      <c r="M323" s="393">
        <f t="shared" si="158"/>
        <v>0</v>
      </c>
      <c r="AN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</row>
    <row r="324" spans="1:64" ht="18" hidden="1" customHeight="1" x14ac:dyDescent="0.3">
      <c r="A324" s="696" t="s">
        <v>1087</v>
      </c>
      <c r="B324" s="696"/>
      <c r="C324" s="696"/>
      <c r="D324" s="104"/>
      <c r="E324" s="104">
        <v>0.35</v>
      </c>
      <c r="F324" s="9">
        <f t="shared" si="163"/>
        <v>0</v>
      </c>
      <c r="G324" s="557">
        <f t="shared" si="164"/>
        <v>0</v>
      </c>
      <c r="H324" s="557">
        <f t="shared" si="165"/>
        <v>0</v>
      </c>
      <c r="I324" s="104">
        <v>0.5</v>
      </c>
      <c r="J324" s="104">
        <v>0.2</v>
      </c>
      <c r="K324" s="9">
        <f t="shared" si="160"/>
        <v>0</v>
      </c>
      <c r="L324" s="9">
        <f t="shared" si="161"/>
        <v>0</v>
      </c>
      <c r="M324" s="393">
        <f t="shared" si="158"/>
        <v>0</v>
      </c>
      <c r="AN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</row>
    <row r="325" spans="1:64" ht="18" hidden="1" customHeight="1" x14ac:dyDescent="0.3">
      <c r="A325" s="696" t="s">
        <v>1087</v>
      </c>
      <c r="B325" s="696"/>
      <c r="C325" s="696"/>
      <c r="D325" s="104"/>
      <c r="E325" s="104">
        <v>0.35</v>
      </c>
      <c r="F325" s="9">
        <f t="shared" si="163"/>
        <v>0</v>
      </c>
      <c r="G325" s="557">
        <f t="shared" si="164"/>
        <v>0</v>
      </c>
      <c r="H325" s="557">
        <f t="shared" si="165"/>
        <v>0</v>
      </c>
      <c r="I325" s="104">
        <v>0.5</v>
      </c>
      <c r="J325" s="104">
        <v>0.2</v>
      </c>
      <c r="K325" s="9">
        <f t="shared" si="160"/>
        <v>0</v>
      </c>
      <c r="L325" s="9">
        <f t="shared" si="161"/>
        <v>0</v>
      </c>
      <c r="M325" s="393">
        <f t="shared" si="158"/>
        <v>0</v>
      </c>
      <c r="AN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</row>
    <row r="326" spans="1:64" ht="18" hidden="1" customHeight="1" x14ac:dyDescent="0.3">
      <c r="A326" s="696" t="s">
        <v>1087</v>
      </c>
      <c r="B326" s="696"/>
      <c r="C326" s="696"/>
      <c r="D326" s="104"/>
      <c r="E326" s="104">
        <v>0.35</v>
      </c>
      <c r="F326" s="9">
        <f t="shared" si="163"/>
        <v>0</v>
      </c>
      <c r="G326" s="557">
        <f t="shared" si="164"/>
        <v>0</v>
      </c>
      <c r="H326" s="557">
        <f t="shared" si="165"/>
        <v>0</v>
      </c>
      <c r="I326" s="104">
        <v>0.5</v>
      </c>
      <c r="J326" s="104">
        <v>0.2</v>
      </c>
      <c r="K326" s="9">
        <f t="shared" si="160"/>
        <v>0</v>
      </c>
      <c r="L326" s="9">
        <f t="shared" si="161"/>
        <v>0</v>
      </c>
      <c r="M326" s="393">
        <f t="shared" si="158"/>
        <v>0</v>
      </c>
      <c r="AN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</row>
    <row r="327" spans="1:64" ht="18" hidden="1" customHeight="1" x14ac:dyDescent="0.3">
      <c r="A327" s="696" t="s">
        <v>1087</v>
      </c>
      <c r="B327" s="696"/>
      <c r="C327" s="696"/>
      <c r="D327" s="104"/>
      <c r="E327" s="104">
        <v>0.35</v>
      </c>
      <c r="F327" s="9">
        <f t="shared" si="163"/>
        <v>0</v>
      </c>
      <c r="G327" s="557">
        <f t="shared" si="164"/>
        <v>0</v>
      </c>
      <c r="H327" s="557">
        <f t="shared" si="165"/>
        <v>0</v>
      </c>
      <c r="I327" s="104">
        <v>0.5</v>
      </c>
      <c r="J327" s="104">
        <v>0.2</v>
      </c>
      <c r="K327" s="9">
        <f t="shared" si="160"/>
        <v>0</v>
      </c>
      <c r="L327" s="9">
        <f t="shared" si="161"/>
        <v>0</v>
      </c>
      <c r="M327" s="393">
        <f t="shared" si="158"/>
        <v>0</v>
      </c>
      <c r="AN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</row>
    <row r="328" spans="1:64" ht="18" hidden="1" customHeight="1" x14ac:dyDescent="0.3">
      <c r="A328" s="696" t="s">
        <v>1087</v>
      </c>
      <c r="B328" s="696"/>
      <c r="C328" s="696"/>
      <c r="D328" s="104"/>
      <c r="E328" s="104">
        <v>0.35</v>
      </c>
      <c r="F328" s="9">
        <f t="shared" si="163"/>
        <v>0</v>
      </c>
      <c r="G328" s="557">
        <f t="shared" si="164"/>
        <v>0</v>
      </c>
      <c r="H328" s="557">
        <f t="shared" si="165"/>
        <v>0</v>
      </c>
      <c r="I328" s="104">
        <v>0.5</v>
      </c>
      <c r="J328" s="104">
        <v>0.2</v>
      </c>
      <c r="K328" s="9">
        <f t="shared" si="160"/>
        <v>0</v>
      </c>
      <c r="L328" s="9">
        <f t="shared" si="161"/>
        <v>0</v>
      </c>
      <c r="M328" s="393">
        <f t="shared" si="158"/>
        <v>0</v>
      </c>
      <c r="AN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</row>
    <row r="329" spans="1:64" ht="18" hidden="1" customHeight="1" x14ac:dyDescent="0.3">
      <c r="A329" s="696" t="s">
        <v>1087</v>
      </c>
      <c r="B329" s="696"/>
      <c r="C329" s="696"/>
      <c r="D329" s="104"/>
      <c r="E329" s="104">
        <v>0.35</v>
      </c>
      <c r="F329" s="9">
        <f t="shared" si="163"/>
        <v>0</v>
      </c>
      <c r="G329" s="557">
        <f t="shared" si="164"/>
        <v>0</v>
      </c>
      <c r="H329" s="557">
        <f t="shared" si="165"/>
        <v>0</v>
      </c>
      <c r="I329" s="104">
        <v>0.5</v>
      </c>
      <c r="J329" s="104">
        <v>0.2</v>
      </c>
      <c r="K329" s="9">
        <f t="shared" si="160"/>
        <v>0</v>
      </c>
      <c r="L329" s="9">
        <f t="shared" si="161"/>
        <v>0</v>
      </c>
      <c r="M329" s="393">
        <f t="shared" si="158"/>
        <v>0</v>
      </c>
      <c r="AN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</row>
    <row r="330" spans="1:64" ht="18" hidden="1" customHeight="1" x14ac:dyDescent="0.3">
      <c r="A330" s="696" t="s">
        <v>1087</v>
      </c>
      <c r="B330" s="696"/>
      <c r="C330" s="696"/>
      <c r="D330" s="104"/>
      <c r="E330" s="104">
        <v>0.35</v>
      </c>
      <c r="F330" s="9">
        <f t="shared" si="159"/>
        <v>0</v>
      </c>
      <c r="G330" s="557">
        <f t="shared" si="164"/>
        <v>0</v>
      </c>
      <c r="H330" s="557">
        <f t="shared" si="165"/>
        <v>0</v>
      </c>
      <c r="I330" s="104">
        <v>0.5</v>
      </c>
      <c r="J330" s="104">
        <v>0.2</v>
      </c>
      <c r="K330" s="9">
        <f t="shared" si="160"/>
        <v>0</v>
      </c>
      <c r="L330" s="9">
        <f t="shared" si="161"/>
        <v>0</v>
      </c>
      <c r="M330" s="393">
        <f t="shared" si="158"/>
        <v>0</v>
      </c>
      <c r="AN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</row>
    <row r="331" spans="1:64" x14ac:dyDescent="0.3">
      <c r="A331" s="696" t="s">
        <v>1088</v>
      </c>
      <c r="B331" s="696"/>
      <c r="C331" s="696"/>
      <c r="D331" s="104"/>
      <c r="E331" s="104">
        <v>0.25</v>
      </c>
      <c r="F331" s="9">
        <f t="shared" si="159"/>
        <v>0</v>
      </c>
      <c r="G331" s="557">
        <f>IF(D331=0,,4)</f>
        <v>0</v>
      </c>
      <c r="H331" s="557">
        <f t="shared" si="165"/>
        <v>0</v>
      </c>
      <c r="I331" s="104">
        <v>0.5</v>
      </c>
      <c r="J331" s="104">
        <v>0.1</v>
      </c>
      <c r="K331" s="9">
        <f t="shared" si="160"/>
        <v>0</v>
      </c>
      <c r="L331" s="9">
        <f t="shared" si="161"/>
        <v>0</v>
      </c>
      <c r="M331" s="393">
        <f t="shared" si="158"/>
        <v>0</v>
      </c>
      <c r="N331" s="24"/>
      <c r="O331" s="1">
        <f t="shared" ref="O331:AL331" si="166">O279+O273+O267+O261+O255</f>
        <v>0</v>
      </c>
      <c r="P331" s="1">
        <f t="shared" si="166"/>
        <v>0</v>
      </c>
      <c r="Q331" s="1">
        <f t="shared" si="166"/>
        <v>0</v>
      </c>
      <c r="R331" s="1">
        <f t="shared" si="166"/>
        <v>0</v>
      </c>
      <c r="S331" s="1">
        <f t="shared" si="166"/>
        <v>0</v>
      </c>
      <c r="T331" s="1">
        <f t="shared" si="166"/>
        <v>0</v>
      </c>
      <c r="U331" s="1">
        <f t="shared" si="166"/>
        <v>0</v>
      </c>
      <c r="V331" s="1">
        <f t="shared" si="166"/>
        <v>0</v>
      </c>
      <c r="W331" s="1">
        <f t="shared" si="166"/>
        <v>0</v>
      </c>
      <c r="X331" s="1">
        <f t="shared" si="166"/>
        <v>0</v>
      </c>
      <c r="Y331" s="1">
        <f t="shared" si="166"/>
        <v>0</v>
      </c>
      <c r="Z331" s="1">
        <f t="shared" si="166"/>
        <v>0</v>
      </c>
      <c r="AA331" s="1">
        <f t="shared" si="166"/>
        <v>0</v>
      </c>
      <c r="AB331" s="1">
        <f t="shared" si="166"/>
        <v>0</v>
      </c>
      <c r="AC331" s="1">
        <f t="shared" si="166"/>
        <v>0</v>
      </c>
      <c r="AD331" s="1">
        <f t="shared" si="166"/>
        <v>0</v>
      </c>
      <c r="AE331" s="1">
        <f t="shared" si="166"/>
        <v>0</v>
      </c>
      <c r="AF331" s="1">
        <f t="shared" si="166"/>
        <v>0</v>
      </c>
      <c r="AG331" s="1">
        <f t="shared" si="166"/>
        <v>0</v>
      </c>
      <c r="AH331" s="1">
        <f t="shared" si="166"/>
        <v>0</v>
      </c>
      <c r="AI331" s="1">
        <f t="shared" si="166"/>
        <v>0</v>
      </c>
      <c r="AJ331" s="1">
        <f t="shared" si="166"/>
        <v>0</v>
      </c>
      <c r="AK331" s="1">
        <f t="shared" si="166"/>
        <v>0</v>
      </c>
      <c r="AL331" s="1">
        <f t="shared" si="166"/>
        <v>0</v>
      </c>
      <c r="AN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</row>
    <row r="332" spans="1:64" x14ac:dyDescent="0.3">
      <c r="A332" s="696" t="s">
        <v>520</v>
      </c>
      <c r="B332" s="696"/>
      <c r="C332" s="696"/>
      <c r="D332" s="104">
        <f>D321</f>
        <v>0</v>
      </c>
      <c r="E332" s="104">
        <v>2</v>
      </c>
      <c r="F332" s="9">
        <f t="shared" si="159"/>
        <v>0</v>
      </c>
      <c r="G332" s="557">
        <f>IF(D332=0,,2)</f>
        <v>0</v>
      </c>
      <c r="H332" s="557">
        <f>IF(D332=0,,M$224)</f>
        <v>0</v>
      </c>
      <c r="I332" s="104">
        <v>0.5</v>
      </c>
      <c r="J332" s="104">
        <v>0.05</v>
      </c>
      <c r="K332" s="9">
        <f t="shared" si="160"/>
        <v>0</v>
      </c>
      <c r="L332" s="9">
        <f t="shared" si="161"/>
        <v>0</v>
      </c>
      <c r="M332" s="393">
        <f t="shared" si="158"/>
        <v>0</v>
      </c>
      <c r="N332" s="863" t="s">
        <v>485</v>
      </c>
      <c r="O332" s="864"/>
      <c r="P332" s="864"/>
      <c r="Q332" s="864"/>
      <c r="R332" s="864"/>
      <c r="S332" s="864"/>
      <c r="T332" s="864"/>
      <c r="U332" s="864"/>
      <c r="V332" s="864"/>
      <c r="W332" s="864"/>
      <c r="X332" s="864"/>
      <c r="Y332" s="864"/>
      <c r="Z332" s="864"/>
      <c r="AA332" s="864"/>
      <c r="AB332" s="864"/>
      <c r="AC332" s="864"/>
      <c r="AD332" s="864"/>
      <c r="AE332" s="864"/>
      <c r="AF332" s="864"/>
      <c r="AG332" s="864"/>
      <c r="AH332" s="864"/>
      <c r="AI332" s="864"/>
      <c r="AJ332" s="864"/>
      <c r="AK332" s="864"/>
      <c r="AL332" s="864"/>
      <c r="AN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</row>
    <row r="333" spans="1:64" x14ac:dyDescent="0.3">
      <c r="A333" s="696" t="s">
        <v>1089</v>
      </c>
      <c r="B333" s="696"/>
      <c r="C333" s="696"/>
      <c r="D333" s="104">
        <f>D331</f>
        <v>0</v>
      </c>
      <c r="E333" s="104">
        <v>0.25</v>
      </c>
      <c r="F333" s="9">
        <f t="shared" si="159"/>
        <v>0</v>
      </c>
      <c r="G333" s="557">
        <f>IF(D333=0,,6)</f>
        <v>0</v>
      </c>
      <c r="H333" s="557">
        <f>IF(D333=0,,M$224)</f>
        <v>0</v>
      </c>
      <c r="I333" s="104">
        <v>0.5</v>
      </c>
      <c r="J333" s="104">
        <v>0.1</v>
      </c>
      <c r="K333" s="9">
        <f t="shared" si="160"/>
        <v>0</v>
      </c>
      <c r="L333" s="9">
        <f t="shared" si="161"/>
        <v>0</v>
      </c>
      <c r="M333" s="393">
        <f t="shared" si="158"/>
        <v>0</v>
      </c>
      <c r="N333" s="24"/>
      <c r="O333" s="72">
        <v>0</v>
      </c>
      <c r="P333" s="72">
        <v>1</v>
      </c>
      <c r="Q333" s="72">
        <v>2</v>
      </c>
      <c r="R333" s="72">
        <v>3</v>
      </c>
      <c r="S333" s="72">
        <v>4</v>
      </c>
      <c r="T333" s="72">
        <v>5</v>
      </c>
      <c r="U333" s="72">
        <v>6</v>
      </c>
      <c r="V333" s="72">
        <v>7</v>
      </c>
      <c r="W333" s="72">
        <v>8</v>
      </c>
      <c r="X333" s="72">
        <v>9</v>
      </c>
      <c r="Y333" s="72">
        <v>10</v>
      </c>
      <c r="Z333" s="72">
        <v>11</v>
      </c>
      <c r="AA333" s="72">
        <v>12</v>
      </c>
      <c r="AB333" s="72">
        <v>13</v>
      </c>
      <c r="AC333" s="72">
        <v>14</v>
      </c>
      <c r="AD333" s="72">
        <v>15</v>
      </c>
      <c r="AE333" s="72">
        <v>16</v>
      </c>
      <c r="AF333" s="72">
        <v>17</v>
      </c>
      <c r="AG333" s="72">
        <v>18</v>
      </c>
      <c r="AH333" s="72">
        <v>19</v>
      </c>
      <c r="AI333" s="72">
        <v>20</v>
      </c>
      <c r="AJ333" s="72">
        <v>21</v>
      </c>
      <c r="AK333" s="72">
        <v>22</v>
      </c>
      <c r="AL333" s="72">
        <v>23</v>
      </c>
      <c r="AN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</row>
    <row r="334" spans="1:64" hidden="1" x14ac:dyDescent="0.3">
      <c r="A334" s="696" t="s">
        <v>429</v>
      </c>
      <c r="B334" s="696"/>
      <c r="C334" s="696"/>
      <c r="D334" s="104"/>
      <c r="E334" s="104">
        <v>0.5</v>
      </c>
      <c r="F334" s="9">
        <f t="shared" si="159"/>
        <v>0</v>
      </c>
      <c r="G334" s="557">
        <f>IF(D334=0,,4)</f>
        <v>0</v>
      </c>
      <c r="H334" s="557">
        <f>IF(D334=0,,M$224)</f>
        <v>0</v>
      </c>
      <c r="I334" s="104">
        <v>0.5</v>
      </c>
      <c r="J334" s="104">
        <v>0.05</v>
      </c>
      <c r="K334" s="9">
        <f t="shared" si="160"/>
        <v>0</v>
      </c>
      <c r="L334" s="9">
        <f t="shared" si="161"/>
        <v>0</v>
      </c>
      <c r="M334" s="393">
        <f t="shared" si="158"/>
        <v>0</v>
      </c>
      <c r="N334" s="289" t="s">
        <v>461</v>
      </c>
      <c r="O334" s="72">
        <f t="shared" ref="O334:AL334" si="167">IF($B253=0,0,IF(AND(IF(O$250&gt;=$A253,TRUE,FALSE),IF(O$250&lt;=$B253,TRUE,FALSE)),TRUE,0))</f>
        <v>0</v>
      </c>
      <c r="P334" s="72">
        <f t="shared" si="167"/>
        <v>0</v>
      </c>
      <c r="Q334" s="72">
        <f t="shared" si="167"/>
        <v>0</v>
      </c>
      <c r="R334" s="72">
        <f t="shared" si="167"/>
        <v>0</v>
      </c>
      <c r="S334" s="72">
        <f t="shared" si="167"/>
        <v>0</v>
      </c>
      <c r="T334" s="72">
        <f t="shared" si="167"/>
        <v>0</v>
      </c>
      <c r="U334" s="72">
        <f t="shared" si="167"/>
        <v>0</v>
      </c>
      <c r="V334" s="72">
        <f t="shared" si="167"/>
        <v>0</v>
      </c>
      <c r="W334" s="72">
        <f t="shared" si="167"/>
        <v>0</v>
      </c>
      <c r="X334" s="72">
        <f t="shared" si="167"/>
        <v>0</v>
      </c>
      <c r="Y334" s="72">
        <f t="shared" si="167"/>
        <v>0</v>
      </c>
      <c r="Z334" s="72">
        <f t="shared" si="167"/>
        <v>0</v>
      </c>
      <c r="AA334" s="72">
        <f t="shared" si="167"/>
        <v>0</v>
      </c>
      <c r="AB334" s="72">
        <f t="shared" si="167"/>
        <v>0</v>
      </c>
      <c r="AC334" s="72">
        <f t="shared" si="167"/>
        <v>0</v>
      </c>
      <c r="AD334" s="72">
        <f t="shared" si="167"/>
        <v>0</v>
      </c>
      <c r="AE334" s="72">
        <f t="shared" si="167"/>
        <v>0</v>
      </c>
      <c r="AF334" s="72">
        <f t="shared" si="167"/>
        <v>0</v>
      </c>
      <c r="AG334" s="72">
        <f t="shared" si="167"/>
        <v>0</v>
      </c>
      <c r="AH334" s="72">
        <f t="shared" si="167"/>
        <v>0</v>
      </c>
      <c r="AI334" s="72">
        <f t="shared" si="167"/>
        <v>0</v>
      </c>
      <c r="AJ334" s="72">
        <f t="shared" si="167"/>
        <v>0</v>
      </c>
      <c r="AK334" s="72">
        <f t="shared" si="167"/>
        <v>0</v>
      </c>
      <c r="AL334" s="72">
        <f t="shared" si="167"/>
        <v>0</v>
      </c>
      <c r="AN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</row>
    <row r="335" spans="1:64" hidden="1" x14ac:dyDescent="0.3">
      <c r="A335" s="696" t="s">
        <v>429</v>
      </c>
      <c r="B335" s="696"/>
      <c r="C335" s="696"/>
      <c r="D335" s="104"/>
      <c r="E335" s="104">
        <v>7</v>
      </c>
      <c r="F335" s="9">
        <f t="shared" si="159"/>
        <v>0</v>
      </c>
      <c r="G335" s="557">
        <f>IF(D335=0,,4)</f>
        <v>0</v>
      </c>
      <c r="H335" s="557">
        <f>IF(D335=0,,M$224)</f>
        <v>0</v>
      </c>
      <c r="I335" s="104">
        <v>0.5</v>
      </c>
      <c r="J335" s="104">
        <v>0.05</v>
      </c>
      <c r="K335" s="9">
        <f t="shared" si="160"/>
        <v>0</v>
      </c>
      <c r="L335" s="9">
        <f t="shared" si="161"/>
        <v>0</v>
      </c>
      <c r="M335" s="393">
        <f t="shared" si="158"/>
        <v>0</v>
      </c>
      <c r="N335" s="289" t="s">
        <v>462</v>
      </c>
      <c r="O335" s="72">
        <f t="shared" ref="O335:AL335" si="168">IF($F253=0,0,IF(AND(IF(O$250&gt;=$E253,TRUE,FALSE),IF(O$250&lt;=$F253,TRUE,FALSE)),TRUE,0))</f>
        <v>0</v>
      </c>
      <c r="P335" s="72">
        <f t="shared" si="168"/>
        <v>0</v>
      </c>
      <c r="Q335" s="72">
        <f t="shared" si="168"/>
        <v>0</v>
      </c>
      <c r="R335" s="72">
        <f t="shared" si="168"/>
        <v>0</v>
      </c>
      <c r="S335" s="72">
        <f t="shared" si="168"/>
        <v>0</v>
      </c>
      <c r="T335" s="72">
        <f t="shared" si="168"/>
        <v>0</v>
      </c>
      <c r="U335" s="72">
        <f t="shared" si="168"/>
        <v>0</v>
      </c>
      <c r="V335" s="72">
        <f t="shared" si="168"/>
        <v>0</v>
      </c>
      <c r="W335" s="72">
        <f t="shared" si="168"/>
        <v>0</v>
      </c>
      <c r="X335" s="72">
        <f t="shared" si="168"/>
        <v>0</v>
      </c>
      <c r="Y335" s="72">
        <f t="shared" si="168"/>
        <v>0</v>
      </c>
      <c r="Z335" s="72">
        <f t="shared" si="168"/>
        <v>0</v>
      </c>
      <c r="AA335" s="72">
        <f t="shared" si="168"/>
        <v>0</v>
      </c>
      <c r="AB335" s="72">
        <f t="shared" si="168"/>
        <v>0</v>
      </c>
      <c r="AC335" s="72">
        <f t="shared" si="168"/>
        <v>0</v>
      </c>
      <c r="AD335" s="72">
        <f t="shared" si="168"/>
        <v>0</v>
      </c>
      <c r="AE335" s="72">
        <f t="shared" si="168"/>
        <v>0</v>
      </c>
      <c r="AF335" s="72">
        <f t="shared" si="168"/>
        <v>0</v>
      </c>
      <c r="AG335" s="72">
        <f t="shared" si="168"/>
        <v>0</v>
      </c>
      <c r="AH335" s="72">
        <f t="shared" si="168"/>
        <v>0</v>
      </c>
      <c r="AI335" s="72">
        <f t="shared" si="168"/>
        <v>0</v>
      </c>
      <c r="AJ335" s="72">
        <f t="shared" si="168"/>
        <v>0</v>
      </c>
      <c r="AK335" s="72">
        <f t="shared" si="168"/>
        <v>0</v>
      </c>
      <c r="AL335" s="72">
        <f t="shared" si="168"/>
        <v>0</v>
      </c>
      <c r="AN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</row>
    <row r="336" spans="1:64" x14ac:dyDescent="0.3">
      <c r="A336" s="696" t="s">
        <v>429</v>
      </c>
      <c r="B336" s="696"/>
      <c r="C336" s="696"/>
      <c r="D336" s="104">
        <f>D333*3</f>
        <v>0</v>
      </c>
      <c r="E336" s="104">
        <v>0.2</v>
      </c>
      <c r="F336" s="9">
        <f t="shared" si="159"/>
        <v>0</v>
      </c>
      <c r="G336" s="557">
        <f>IF(D336=0,,2)</f>
        <v>0</v>
      </c>
      <c r="H336" s="557">
        <f>IF(D336=0,,M$224)</f>
        <v>0</v>
      </c>
      <c r="I336" s="104">
        <v>0.5</v>
      </c>
      <c r="J336" s="104">
        <v>0.05</v>
      </c>
      <c r="K336" s="9">
        <f t="shared" si="160"/>
        <v>0</v>
      </c>
      <c r="L336" s="9">
        <f t="shared" si="161"/>
        <v>0</v>
      </c>
      <c r="M336" s="393">
        <f t="shared" si="158"/>
        <v>0</v>
      </c>
      <c r="N336" s="289" t="s">
        <v>463</v>
      </c>
      <c r="O336" s="72">
        <f t="shared" ref="O336:AL336" si="169">IF($J253=0,0,IF(AND(IF(O$250&gt;=$I253,TRUE,FALSE),IF(O$250&lt;=$J253,TRUE,FALSE)),TRUE,0))</f>
        <v>0</v>
      </c>
      <c r="P336" s="72">
        <f t="shared" si="169"/>
        <v>0</v>
      </c>
      <c r="Q336" s="72">
        <f t="shared" si="169"/>
        <v>0</v>
      </c>
      <c r="R336" s="72">
        <f t="shared" si="169"/>
        <v>0</v>
      </c>
      <c r="S336" s="72">
        <f t="shared" si="169"/>
        <v>0</v>
      </c>
      <c r="T336" s="72">
        <f t="shared" si="169"/>
        <v>0</v>
      </c>
      <c r="U336" s="72">
        <f t="shared" si="169"/>
        <v>0</v>
      </c>
      <c r="V336" s="72">
        <f t="shared" si="169"/>
        <v>0</v>
      </c>
      <c r="W336" s="72">
        <f t="shared" si="169"/>
        <v>0</v>
      </c>
      <c r="X336" s="72">
        <f t="shared" si="169"/>
        <v>0</v>
      </c>
      <c r="Y336" s="72">
        <f t="shared" si="169"/>
        <v>0</v>
      </c>
      <c r="Z336" s="72">
        <f t="shared" si="169"/>
        <v>0</v>
      </c>
      <c r="AA336" s="72">
        <f t="shared" si="169"/>
        <v>0</v>
      </c>
      <c r="AB336" s="72">
        <f t="shared" si="169"/>
        <v>0</v>
      </c>
      <c r="AC336" s="72">
        <f t="shared" si="169"/>
        <v>0</v>
      </c>
      <c r="AD336" s="72">
        <f t="shared" si="169"/>
        <v>0</v>
      </c>
      <c r="AE336" s="72">
        <f t="shared" si="169"/>
        <v>0</v>
      </c>
      <c r="AF336" s="72">
        <f t="shared" si="169"/>
        <v>0</v>
      </c>
      <c r="AG336" s="72">
        <f t="shared" si="169"/>
        <v>0</v>
      </c>
      <c r="AH336" s="72">
        <f t="shared" si="169"/>
        <v>0</v>
      </c>
      <c r="AI336" s="72">
        <f t="shared" si="169"/>
        <v>0</v>
      </c>
      <c r="AJ336" s="72">
        <f t="shared" si="169"/>
        <v>0</v>
      </c>
      <c r="AK336" s="72">
        <f t="shared" si="169"/>
        <v>0</v>
      </c>
      <c r="AL336" s="72">
        <f t="shared" si="169"/>
        <v>0</v>
      </c>
      <c r="AN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</row>
    <row r="337" spans="1:64" x14ac:dyDescent="0.3">
      <c r="K337" s="73"/>
      <c r="N337" s="863" t="s">
        <v>486</v>
      </c>
      <c r="O337" s="864"/>
      <c r="P337" s="864"/>
      <c r="Q337" s="864"/>
      <c r="R337" s="864"/>
      <c r="S337" s="864"/>
      <c r="T337" s="864"/>
      <c r="U337" s="864"/>
      <c r="V337" s="864"/>
      <c r="W337" s="864"/>
      <c r="X337" s="864"/>
      <c r="Y337" s="864"/>
      <c r="Z337" s="864"/>
      <c r="AA337" s="864"/>
      <c r="AB337" s="864"/>
      <c r="AC337" s="864"/>
      <c r="AD337" s="864"/>
      <c r="AE337" s="864"/>
      <c r="AF337" s="864"/>
      <c r="AG337" s="864"/>
      <c r="AH337" s="864"/>
      <c r="AI337" s="864"/>
      <c r="AJ337" s="864"/>
      <c r="AK337" s="864"/>
      <c r="AL337" s="864"/>
      <c r="AN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</row>
    <row r="338" spans="1:64" hidden="1" x14ac:dyDescent="0.3">
      <c r="A338" s="763" t="s">
        <v>303</v>
      </c>
      <c r="B338" s="914"/>
      <c r="C338" s="914"/>
      <c r="D338" s="914"/>
      <c r="E338" s="914"/>
      <c r="F338" s="914"/>
      <c r="G338" s="914"/>
      <c r="H338" s="589"/>
      <c r="I338" s="589"/>
      <c r="J338" s="465">
        <f>SUM(L317:L336)</f>
        <v>0</v>
      </c>
      <c r="K338" s="36" t="s">
        <v>945</v>
      </c>
      <c r="N338" s="289" t="s">
        <v>461</v>
      </c>
      <c r="O338" s="72">
        <f t="shared" ref="O338:AL338" si="170">IF($B259=0,0,IF(AND(IF(O$250&gt;=$A259,TRUE,FALSE),IF(O$250&lt;=$B259,TRUE,FALSE)),TRUE,0))</f>
        <v>0</v>
      </c>
      <c r="P338" s="72">
        <f t="shared" si="170"/>
        <v>0</v>
      </c>
      <c r="Q338" s="72">
        <f t="shared" si="170"/>
        <v>0</v>
      </c>
      <c r="R338" s="72">
        <f t="shared" si="170"/>
        <v>0</v>
      </c>
      <c r="S338" s="72">
        <f t="shared" si="170"/>
        <v>0</v>
      </c>
      <c r="T338" s="72">
        <f t="shared" si="170"/>
        <v>0</v>
      </c>
      <c r="U338" s="72">
        <f t="shared" si="170"/>
        <v>0</v>
      </c>
      <c r="V338" s="72">
        <f t="shared" si="170"/>
        <v>0</v>
      </c>
      <c r="W338" s="72">
        <f t="shared" si="170"/>
        <v>0</v>
      </c>
      <c r="X338" s="72">
        <f t="shared" si="170"/>
        <v>0</v>
      </c>
      <c r="Y338" s="72">
        <f t="shared" si="170"/>
        <v>0</v>
      </c>
      <c r="Z338" s="72">
        <f t="shared" si="170"/>
        <v>0</v>
      </c>
      <c r="AA338" s="72">
        <f t="shared" si="170"/>
        <v>0</v>
      </c>
      <c r="AB338" s="72">
        <f t="shared" si="170"/>
        <v>0</v>
      </c>
      <c r="AC338" s="72">
        <f t="shared" si="170"/>
        <v>0</v>
      </c>
      <c r="AD338" s="72">
        <f t="shared" si="170"/>
        <v>0</v>
      </c>
      <c r="AE338" s="72">
        <f t="shared" si="170"/>
        <v>0</v>
      </c>
      <c r="AF338" s="72">
        <f t="shared" si="170"/>
        <v>0</v>
      </c>
      <c r="AG338" s="72">
        <f t="shared" si="170"/>
        <v>0</v>
      </c>
      <c r="AH338" s="72">
        <f t="shared" si="170"/>
        <v>0</v>
      </c>
      <c r="AI338" s="72">
        <f t="shared" si="170"/>
        <v>0</v>
      </c>
      <c r="AJ338" s="72">
        <f t="shared" si="170"/>
        <v>0</v>
      </c>
      <c r="AK338" s="72">
        <f t="shared" si="170"/>
        <v>0</v>
      </c>
      <c r="AL338" s="72">
        <f t="shared" si="170"/>
        <v>0</v>
      </c>
      <c r="AN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</row>
    <row r="339" spans="1:64" x14ac:dyDescent="0.3">
      <c r="A339" s="763" t="s">
        <v>648</v>
      </c>
      <c r="B339" s="914"/>
      <c r="C339" s="914"/>
      <c r="D339" s="914"/>
      <c r="E339" s="914"/>
      <c r="F339" s="914"/>
      <c r="G339" s="914"/>
      <c r="H339" s="589"/>
      <c r="I339" s="589"/>
      <c r="J339" s="481" t="e">
        <f>(SUM(G317:G336)/(COUNTA(G317:G336)-COUNTIF(G317:G336,"=0")))*(SUM(H317:H336)/(COUNTA(H317:H336)-COUNTIF(H317:H336,"=0")))</f>
        <v>#DIV/0!</v>
      </c>
      <c r="K339" s="36" t="s">
        <v>645</v>
      </c>
      <c r="N339" s="289"/>
      <c r="O339" s="72"/>
      <c r="P339" s="72"/>
      <c r="Q339" s="72"/>
      <c r="R339" s="72"/>
      <c r="S339" s="72"/>
      <c r="T339" s="72"/>
      <c r="U339" s="72"/>
      <c r="V339" s="72"/>
      <c r="W339" s="72"/>
      <c r="X339" s="72"/>
      <c r="Y339" s="72"/>
      <c r="Z339" s="72"/>
      <c r="AA339" s="72"/>
      <c r="AB339" s="72"/>
      <c r="AC339" s="72"/>
      <c r="AD339" s="72"/>
      <c r="AE339" s="72"/>
      <c r="AF339" s="72"/>
      <c r="AG339" s="72"/>
      <c r="AH339" s="72"/>
      <c r="AI339" s="72"/>
      <c r="AJ339" s="72"/>
      <c r="AK339" s="72"/>
      <c r="AL339" s="72"/>
      <c r="AN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</row>
    <row r="340" spans="1:64" ht="18" x14ac:dyDescent="0.3">
      <c r="A340" s="763" t="s">
        <v>649</v>
      </c>
      <c r="B340" s="914"/>
      <c r="C340" s="914"/>
      <c r="D340" s="914"/>
      <c r="E340" s="914"/>
      <c r="F340" s="914"/>
      <c r="G340" s="914"/>
      <c r="H340" s="589"/>
      <c r="I340" s="589"/>
      <c r="J340" s="465" t="e">
        <f>SUM(K317:K336)*1000/(24*7*C25)</f>
        <v>#DIV/0!</v>
      </c>
      <c r="K340" s="36" t="s">
        <v>296</v>
      </c>
      <c r="N340" s="289"/>
      <c r="O340" s="72"/>
      <c r="P340" s="72"/>
      <c r="Q340" s="72"/>
      <c r="R340" s="72"/>
      <c r="S340" s="72"/>
      <c r="T340" s="72"/>
      <c r="U340" s="72"/>
      <c r="V340" s="72"/>
      <c r="W340" s="72"/>
      <c r="X340" s="72"/>
      <c r="Y340" s="72"/>
      <c r="Z340" s="72"/>
      <c r="AA340" s="72"/>
      <c r="AB340" s="72"/>
      <c r="AC340" s="72"/>
      <c r="AD340" s="72"/>
      <c r="AE340" s="72"/>
      <c r="AF340" s="72"/>
      <c r="AG340" s="72"/>
      <c r="AH340" s="72"/>
      <c r="AI340" s="72"/>
      <c r="AJ340" s="72"/>
      <c r="AK340" s="72"/>
      <c r="AL340" s="72"/>
      <c r="AN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</row>
    <row r="341" spans="1:64" x14ac:dyDescent="0.3">
      <c r="K341" s="73"/>
      <c r="N341" s="289" t="s">
        <v>462</v>
      </c>
      <c r="O341" s="72">
        <f t="shared" ref="O341:AL341" si="171">IF($F259=0,0,IF(AND(IF(O$250&gt;=$E259,TRUE,FALSE),IF(O$250&lt;=$F259,TRUE,FALSE)),TRUE,0))</f>
        <v>0</v>
      </c>
      <c r="P341" s="72">
        <f t="shared" si="171"/>
        <v>0</v>
      </c>
      <c r="Q341" s="72">
        <f t="shared" si="171"/>
        <v>0</v>
      </c>
      <c r="R341" s="72">
        <f t="shared" si="171"/>
        <v>0</v>
      </c>
      <c r="S341" s="72">
        <f t="shared" si="171"/>
        <v>0</v>
      </c>
      <c r="T341" s="72">
        <f t="shared" si="171"/>
        <v>0</v>
      </c>
      <c r="U341" s="72">
        <f t="shared" si="171"/>
        <v>0</v>
      </c>
      <c r="V341" s="72">
        <f t="shared" si="171"/>
        <v>0</v>
      </c>
      <c r="W341" s="72">
        <f t="shared" si="171"/>
        <v>0</v>
      </c>
      <c r="X341" s="72">
        <f t="shared" si="171"/>
        <v>0</v>
      </c>
      <c r="Y341" s="72">
        <f t="shared" si="171"/>
        <v>0</v>
      </c>
      <c r="Z341" s="72">
        <f t="shared" si="171"/>
        <v>0</v>
      </c>
      <c r="AA341" s="72">
        <f t="shared" si="171"/>
        <v>0</v>
      </c>
      <c r="AB341" s="72">
        <f t="shared" si="171"/>
        <v>0</v>
      </c>
      <c r="AC341" s="72">
        <f t="shared" si="171"/>
        <v>0</v>
      </c>
      <c r="AD341" s="72">
        <f t="shared" si="171"/>
        <v>0</v>
      </c>
      <c r="AE341" s="72">
        <f t="shared" si="171"/>
        <v>0</v>
      </c>
      <c r="AF341" s="72">
        <f t="shared" si="171"/>
        <v>0</v>
      </c>
      <c r="AG341" s="72">
        <f t="shared" si="171"/>
        <v>0</v>
      </c>
      <c r="AH341" s="72">
        <f t="shared" si="171"/>
        <v>0</v>
      </c>
      <c r="AI341" s="72">
        <f t="shared" si="171"/>
        <v>0</v>
      </c>
      <c r="AJ341" s="72">
        <f t="shared" si="171"/>
        <v>0</v>
      </c>
      <c r="AK341" s="72">
        <f t="shared" si="171"/>
        <v>0</v>
      </c>
      <c r="AL341" s="72">
        <f t="shared" si="171"/>
        <v>0</v>
      </c>
      <c r="AN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</row>
    <row r="342" spans="1:64" x14ac:dyDescent="0.3">
      <c r="A342" s="637" t="s">
        <v>755</v>
      </c>
      <c r="B342" s="637"/>
      <c r="C342" s="637"/>
      <c r="D342" s="637"/>
      <c r="E342" s="637"/>
      <c r="F342" s="637"/>
      <c r="G342" s="637"/>
      <c r="H342" s="637"/>
      <c r="I342" s="716"/>
      <c r="J342" s="716"/>
      <c r="K342" s="716"/>
      <c r="N342" s="289" t="s">
        <v>463</v>
      </c>
      <c r="O342" s="72">
        <f t="shared" ref="O342:AL342" si="172">IF($J259=0,0,IF(AND(IF(O$250&gt;=$I259,TRUE,FALSE),IF(O$250&lt;=$J259,TRUE,FALSE)),TRUE,0))</f>
        <v>0</v>
      </c>
      <c r="P342" s="72">
        <f t="shared" si="172"/>
        <v>0</v>
      </c>
      <c r="Q342" s="72">
        <f t="shared" si="172"/>
        <v>0</v>
      </c>
      <c r="R342" s="72">
        <f t="shared" si="172"/>
        <v>0</v>
      </c>
      <c r="S342" s="72">
        <f t="shared" si="172"/>
        <v>0</v>
      </c>
      <c r="T342" s="72">
        <f t="shared" si="172"/>
        <v>0</v>
      </c>
      <c r="U342" s="72">
        <f t="shared" si="172"/>
        <v>0</v>
      </c>
      <c r="V342" s="72">
        <f t="shared" si="172"/>
        <v>0</v>
      </c>
      <c r="W342" s="72">
        <f t="shared" si="172"/>
        <v>0</v>
      </c>
      <c r="X342" s="72">
        <f t="shared" si="172"/>
        <v>0</v>
      </c>
      <c r="Y342" s="72">
        <f t="shared" si="172"/>
        <v>0</v>
      </c>
      <c r="Z342" s="72">
        <f t="shared" si="172"/>
        <v>0</v>
      </c>
      <c r="AA342" s="72">
        <f t="shared" si="172"/>
        <v>0</v>
      </c>
      <c r="AB342" s="72">
        <f t="shared" si="172"/>
        <v>0</v>
      </c>
      <c r="AC342" s="72">
        <f t="shared" si="172"/>
        <v>0</v>
      </c>
      <c r="AD342" s="72">
        <f t="shared" si="172"/>
        <v>0</v>
      </c>
      <c r="AE342" s="72">
        <f t="shared" si="172"/>
        <v>0</v>
      </c>
      <c r="AF342" s="72">
        <f t="shared" si="172"/>
        <v>0</v>
      </c>
      <c r="AG342" s="72">
        <f t="shared" si="172"/>
        <v>0</v>
      </c>
      <c r="AH342" s="72">
        <f t="shared" si="172"/>
        <v>0</v>
      </c>
      <c r="AI342" s="72">
        <f t="shared" si="172"/>
        <v>0</v>
      </c>
      <c r="AJ342" s="72">
        <f t="shared" si="172"/>
        <v>0</v>
      </c>
      <c r="AK342" s="72">
        <f t="shared" si="172"/>
        <v>0</v>
      </c>
      <c r="AL342" s="72">
        <f t="shared" si="172"/>
        <v>0</v>
      </c>
      <c r="AN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</row>
    <row r="343" spans="1:64" x14ac:dyDescent="0.3">
      <c r="A343" s="859" t="s">
        <v>1077</v>
      </c>
      <c r="B343" s="742"/>
      <c r="C343" s="743"/>
      <c r="D343" s="915" t="s">
        <v>1078</v>
      </c>
      <c r="E343" s="852" t="s">
        <v>53</v>
      </c>
      <c r="F343" s="852" t="s">
        <v>54</v>
      </c>
      <c r="G343" s="852" t="s">
        <v>55</v>
      </c>
      <c r="H343" s="852" t="s">
        <v>55</v>
      </c>
      <c r="I343" s="852" t="s">
        <v>56</v>
      </c>
      <c r="J343" s="852" t="s">
        <v>57</v>
      </c>
      <c r="K343" s="554"/>
      <c r="N343" s="863" t="s">
        <v>487</v>
      </c>
      <c r="O343" s="864"/>
      <c r="P343" s="864"/>
      <c r="Q343" s="864"/>
      <c r="R343" s="864"/>
      <c r="S343" s="864"/>
      <c r="T343" s="864"/>
      <c r="U343" s="864"/>
      <c r="V343" s="864"/>
      <c r="W343" s="864"/>
      <c r="X343" s="864"/>
      <c r="Y343" s="864"/>
      <c r="Z343" s="864"/>
      <c r="AA343" s="864"/>
      <c r="AB343" s="864"/>
      <c r="AC343" s="864"/>
      <c r="AD343" s="864"/>
      <c r="AE343" s="864"/>
      <c r="AF343" s="864"/>
      <c r="AG343" s="864"/>
      <c r="AH343" s="864"/>
      <c r="AI343" s="864"/>
      <c r="AJ343" s="864"/>
      <c r="AK343" s="864"/>
      <c r="AL343" s="864"/>
      <c r="AN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</row>
    <row r="344" spans="1:64" x14ac:dyDescent="0.3">
      <c r="A344" s="860"/>
      <c r="B344" s="861"/>
      <c r="C344" s="862"/>
      <c r="D344" s="916"/>
      <c r="E344" s="853"/>
      <c r="F344" s="853"/>
      <c r="G344" s="853"/>
      <c r="H344" s="853"/>
      <c r="I344" s="853"/>
      <c r="J344" s="853"/>
      <c r="K344" s="555"/>
      <c r="N344" s="289" t="s">
        <v>461</v>
      </c>
      <c r="O344" s="72">
        <f t="shared" ref="O344:AL344" si="173">IF($B265=0,0,IF(AND(IF(O$250&gt;=$A265,TRUE,FALSE),IF(O$250&lt;=$B265,TRUE,FALSE)),TRUE,0))</f>
        <v>0</v>
      </c>
      <c r="P344" s="72">
        <f t="shared" si="173"/>
        <v>0</v>
      </c>
      <c r="Q344" s="72">
        <f t="shared" si="173"/>
        <v>0</v>
      </c>
      <c r="R344" s="72">
        <f t="shared" si="173"/>
        <v>0</v>
      </c>
      <c r="S344" s="72">
        <f t="shared" si="173"/>
        <v>0</v>
      </c>
      <c r="T344" s="72">
        <f t="shared" si="173"/>
        <v>0</v>
      </c>
      <c r="U344" s="72">
        <f t="shared" si="173"/>
        <v>0</v>
      </c>
      <c r="V344" s="72">
        <f t="shared" si="173"/>
        <v>0</v>
      </c>
      <c r="W344" s="72">
        <f t="shared" si="173"/>
        <v>0</v>
      </c>
      <c r="X344" s="72">
        <f t="shared" si="173"/>
        <v>0</v>
      </c>
      <c r="Y344" s="72">
        <f t="shared" si="173"/>
        <v>0</v>
      </c>
      <c r="Z344" s="72">
        <f t="shared" si="173"/>
        <v>0</v>
      </c>
      <c r="AA344" s="72">
        <f t="shared" si="173"/>
        <v>0</v>
      </c>
      <c r="AB344" s="72">
        <f t="shared" si="173"/>
        <v>0</v>
      </c>
      <c r="AC344" s="72">
        <f t="shared" si="173"/>
        <v>0</v>
      </c>
      <c r="AD344" s="72">
        <f t="shared" si="173"/>
        <v>0</v>
      </c>
      <c r="AE344" s="72">
        <f t="shared" si="173"/>
        <v>0</v>
      </c>
      <c r="AF344" s="72">
        <f t="shared" si="173"/>
        <v>0</v>
      </c>
      <c r="AG344" s="72">
        <f t="shared" si="173"/>
        <v>0</v>
      </c>
      <c r="AH344" s="72">
        <f t="shared" si="173"/>
        <v>0</v>
      </c>
      <c r="AI344" s="72">
        <f t="shared" si="173"/>
        <v>0</v>
      </c>
      <c r="AJ344" s="72">
        <f t="shared" si="173"/>
        <v>0</v>
      </c>
      <c r="AK344" s="72">
        <f t="shared" si="173"/>
        <v>0</v>
      </c>
      <c r="AL344" s="72">
        <f t="shared" si="173"/>
        <v>0</v>
      </c>
      <c r="AN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</row>
    <row r="345" spans="1:64" x14ac:dyDescent="0.3">
      <c r="A345" s="860"/>
      <c r="B345" s="861"/>
      <c r="C345" s="862"/>
      <c r="D345" s="916"/>
      <c r="E345" s="853"/>
      <c r="F345" s="853"/>
      <c r="G345" s="853"/>
      <c r="H345" s="853"/>
      <c r="I345" s="853"/>
      <c r="J345" s="853"/>
      <c r="K345" s="555"/>
      <c r="N345" s="289" t="s">
        <v>462</v>
      </c>
      <c r="O345" s="72">
        <f t="shared" ref="O345:AL345" si="174">IF($F265=0,0,IF(AND(IF(O$250&gt;=$E265,TRUE,FALSE),IF(O$250&lt;=$F265,TRUE,FALSE)),TRUE,0))</f>
        <v>0</v>
      </c>
      <c r="P345" s="72">
        <f t="shared" si="174"/>
        <v>0</v>
      </c>
      <c r="Q345" s="72">
        <f t="shared" si="174"/>
        <v>0</v>
      </c>
      <c r="R345" s="72">
        <f t="shared" si="174"/>
        <v>0</v>
      </c>
      <c r="S345" s="72">
        <f t="shared" si="174"/>
        <v>0</v>
      </c>
      <c r="T345" s="72">
        <f t="shared" si="174"/>
        <v>0</v>
      </c>
      <c r="U345" s="72">
        <f t="shared" si="174"/>
        <v>0</v>
      </c>
      <c r="V345" s="72">
        <f t="shared" si="174"/>
        <v>0</v>
      </c>
      <c r="W345" s="72">
        <f t="shared" si="174"/>
        <v>0</v>
      </c>
      <c r="X345" s="72">
        <f t="shared" si="174"/>
        <v>0</v>
      </c>
      <c r="Y345" s="72">
        <f t="shared" si="174"/>
        <v>0</v>
      </c>
      <c r="Z345" s="72">
        <f t="shared" si="174"/>
        <v>0</v>
      </c>
      <c r="AA345" s="72">
        <f t="shared" si="174"/>
        <v>0</v>
      </c>
      <c r="AB345" s="72">
        <f t="shared" si="174"/>
        <v>0</v>
      </c>
      <c r="AC345" s="72">
        <f t="shared" si="174"/>
        <v>0</v>
      </c>
      <c r="AD345" s="72">
        <f t="shared" si="174"/>
        <v>0</v>
      </c>
      <c r="AE345" s="72">
        <f t="shared" si="174"/>
        <v>0</v>
      </c>
      <c r="AF345" s="72">
        <f t="shared" si="174"/>
        <v>0</v>
      </c>
      <c r="AG345" s="72">
        <f t="shared" si="174"/>
        <v>0</v>
      </c>
      <c r="AH345" s="72">
        <f t="shared" si="174"/>
        <v>0</v>
      </c>
      <c r="AI345" s="72">
        <f t="shared" si="174"/>
        <v>0</v>
      </c>
      <c r="AJ345" s="72">
        <f t="shared" si="174"/>
        <v>0</v>
      </c>
      <c r="AK345" s="72">
        <f t="shared" si="174"/>
        <v>0</v>
      </c>
      <c r="AL345" s="72">
        <f t="shared" si="174"/>
        <v>0</v>
      </c>
      <c r="AN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</row>
    <row r="346" spans="1:64" x14ac:dyDescent="0.3">
      <c r="A346" s="860"/>
      <c r="B346" s="861"/>
      <c r="C346" s="862"/>
      <c r="D346" s="917"/>
      <c r="E346" s="854"/>
      <c r="F346" s="854"/>
      <c r="G346" s="854"/>
      <c r="H346" s="854"/>
      <c r="I346" s="854"/>
      <c r="J346" s="854"/>
      <c r="K346" s="555"/>
      <c r="N346" s="289" t="s">
        <v>463</v>
      </c>
      <c r="O346" s="72">
        <f t="shared" ref="O346:AL346" si="175">IF($J265=0,0,IF(AND(IF(O$250&gt;=$I265,TRUE,FALSE),IF(O$250&lt;=$J265,TRUE,FALSE)),TRUE,0))</f>
        <v>0</v>
      </c>
      <c r="P346" s="72">
        <f t="shared" si="175"/>
        <v>0</v>
      </c>
      <c r="Q346" s="72">
        <f t="shared" si="175"/>
        <v>0</v>
      </c>
      <c r="R346" s="72">
        <f t="shared" si="175"/>
        <v>0</v>
      </c>
      <c r="S346" s="72">
        <f t="shared" si="175"/>
        <v>0</v>
      </c>
      <c r="T346" s="72">
        <f t="shared" si="175"/>
        <v>0</v>
      </c>
      <c r="U346" s="72">
        <f t="shared" si="175"/>
        <v>0</v>
      </c>
      <c r="V346" s="72">
        <f t="shared" si="175"/>
        <v>0</v>
      </c>
      <c r="W346" s="72">
        <f t="shared" si="175"/>
        <v>0</v>
      </c>
      <c r="X346" s="72">
        <f t="shared" si="175"/>
        <v>0</v>
      </c>
      <c r="Y346" s="72">
        <f t="shared" si="175"/>
        <v>0</v>
      </c>
      <c r="Z346" s="72">
        <f t="shared" si="175"/>
        <v>0</v>
      </c>
      <c r="AA346" s="72">
        <f t="shared" si="175"/>
        <v>0</v>
      </c>
      <c r="AB346" s="72">
        <f t="shared" si="175"/>
        <v>0</v>
      </c>
      <c r="AC346" s="72">
        <f t="shared" si="175"/>
        <v>0</v>
      </c>
      <c r="AD346" s="72">
        <f t="shared" si="175"/>
        <v>0</v>
      </c>
      <c r="AE346" s="72">
        <f t="shared" si="175"/>
        <v>0</v>
      </c>
      <c r="AF346" s="72">
        <f t="shared" si="175"/>
        <v>0</v>
      </c>
      <c r="AG346" s="72">
        <f t="shared" si="175"/>
        <v>0</v>
      </c>
      <c r="AH346" s="72">
        <f t="shared" si="175"/>
        <v>0</v>
      </c>
      <c r="AI346" s="72">
        <f t="shared" si="175"/>
        <v>0</v>
      </c>
      <c r="AJ346" s="72">
        <f t="shared" si="175"/>
        <v>0</v>
      </c>
      <c r="AK346" s="72">
        <f t="shared" si="175"/>
        <v>0</v>
      </c>
      <c r="AL346" s="72">
        <f t="shared" si="175"/>
        <v>0</v>
      </c>
      <c r="AN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</row>
    <row r="347" spans="1:64" x14ac:dyDescent="0.3">
      <c r="A347" s="733"/>
      <c r="B347" s="734"/>
      <c r="C347" s="735"/>
      <c r="D347" s="9" t="s">
        <v>1079</v>
      </c>
      <c r="E347" s="9" t="s">
        <v>1080</v>
      </c>
      <c r="F347" s="9" t="s">
        <v>1080</v>
      </c>
      <c r="G347" s="9" t="s">
        <v>41</v>
      </c>
      <c r="H347" s="9" t="s">
        <v>42</v>
      </c>
      <c r="I347" s="9" t="s">
        <v>950</v>
      </c>
      <c r="J347" s="9" t="s">
        <v>1084</v>
      </c>
      <c r="K347" s="552"/>
      <c r="N347" s="863" t="s">
        <v>488</v>
      </c>
      <c r="O347" s="864"/>
      <c r="P347" s="864"/>
      <c r="Q347" s="864"/>
      <c r="R347" s="864"/>
      <c r="S347" s="864"/>
      <c r="T347" s="864"/>
      <c r="U347" s="864"/>
      <c r="V347" s="864"/>
      <c r="W347" s="864"/>
      <c r="X347" s="864"/>
      <c r="Y347" s="864"/>
      <c r="Z347" s="864"/>
      <c r="AA347" s="864"/>
      <c r="AB347" s="864"/>
      <c r="AC347" s="864"/>
      <c r="AD347" s="864"/>
      <c r="AE347" s="864"/>
      <c r="AF347" s="864"/>
      <c r="AG347" s="864"/>
      <c r="AH347" s="864"/>
      <c r="AI347" s="864"/>
      <c r="AJ347" s="864"/>
      <c r="AK347" s="864"/>
      <c r="AL347" s="864"/>
      <c r="AN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</row>
    <row r="348" spans="1:64" x14ac:dyDescent="0.3">
      <c r="A348" s="696" t="s">
        <v>521</v>
      </c>
      <c r="B348" s="696"/>
      <c r="C348" s="696"/>
      <c r="D348" s="104"/>
      <c r="E348" s="104">
        <v>8.9999999999999993E-3</v>
      </c>
      <c r="F348" s="9">
        <f t="shared" ref="F348:F358" si="176">D348*E348</f>
        <v>0</v>
      </c>
      <c r="G348" s="557">
        <f>IF(D348=0,,1)</f>
        <v>0</v>
      </c>
      <c r="H348" s="557">
        <f>IF(D348=0,,M$224)</f>
        <v>0</v>
      </c>
      <c r="I348" s="104">
        <v>0.2</v>
      </c>
      <c r="J348" s="9">
        <f>F348*G348*I348*H348</f>
        <v>0</v>
      </c>
      <c r="K348" s="552"/>
      <c r="N348" s="289" t="s">
        <v>461</v>
      </c>
      <c r="O348" s="72">
        <f t="shared" ref="O348:AL348" si="177">IF($B271=0,0,IF(AND(IF(O$250&gt;=$A271,TRUE,FALSE),IF(O$250&lt;=$B271,TRUE,FALSE)),TRUE,0))</f>
        <v>0</v>
      </c>
      <c r="P348" s="72">
        <f t="shared" si="177"/>
        <v>0</v>
      </c>
      <c r="Q348" s="72">
        <f t="shared" si="177"/>
        <v>0</v>
      </c>
      <c r="R348" s="72">
        <f t="shared" si="177"/>
        <v>0</v>
      </c>
      <c r="S348" s="72">
        <f t="shared" si="177"/>
        <v>0</v>
      </c>
      <c r="T348" s="72">
        <f t="shared" si="177"/>
        <v>0</v>
      </c>
      <c r="U348" s="72">
        <f t="shared" si="177"/>
        <v>0</v>
      </c>
      <c r="V348" s="72">
        <f t="shared" si="177"/>
        <v>0</v>
      </c>
      <c r="W348" s="72">
        <f t="shared" si="177"/>
        <v>0</v>
      </c>
      <c r="X348" s="72">
        <f t="shared" si="177"/>
        <v>0</v>
      </c>
      <c r="Y348" s="72">
        <f t="shared" si="177"/>
        <v>0</v>
      </c>
      <c r="Z348" s="72">
        <f t="shared" si="177"/>
        <v>0</v>
      </c>
      <c r="AA348" s="72">
        <f t="shared" si="177"/>
        <v>0</v>
      </c>
      <c r="AB348" s="72">
        <f t="shared" si="177"/>
        <v>0</v>
      </c>
      <c r="AC348" s="72">
        <f t="shared" si="177"/>
        <v>0</v>
      </c>
      <c r="AD348" s="72">
        <f t="shared" si="177"/>
        <v>0</v>
      </c>
      <c r="AE348" s="72">
        <f t="shared" si="177"/>
        <v>0</v>
      </c>
      <c r="AF348" s="72">
        <f t="shared" si="177"/>
        <v>0</v>
      </c>
      <c r="AG348" s="72">
        <f t="shared" si="177"/>
        <v>0</v>
      </c>
      <c r="AH348" s="72">
        <f t="shared" si="177"/>
        <v>0</v>
      </c>
      <c r="AI348" s="72">
        <f t="shared" si="177"/>
        <v>0</v>
      </c>
      <c r="AJ348" s="72">
        <f t="shared" si="177"/>
        <v>0</v>
      </c>
      <c r="AK348" s="72">
        <f t="shared" si="177"/>
        <v>0</v>
      </c>
      <c r="AL348" s="72">
        <f t="shared" si="177"/>
        <v>0</v>
      </c>
      <c r="AN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</row>
    <row r="349" spans="1:64" x14ac:dyDescent="0.3">
      <c r="A349" s="603" t="s">
        <v>1206</v>
      </c>
      <c r="B349" s="696"/>
      <c r="C349" s="696"/>
      <c r="D349" s="104">
        <f>D331-D317</f>
        <v>0</v>
      </c>
      <c r="E349" s="104">
        <v>0.87</v>
      </c>
      <c r="F349" s="9">
        <f t="shared" si="176"/>
        <v>0</v>
      </c>
      <c r="G349" s="557">
        <f>IF(D349=0,,4)</f>
        <v>0</v>
      </c>
      <c r="H349" s="557">
        <f>IF(D349=0,,M$224)</f>
        <v>0</v>
      </c>
      <c r="I349" s="104">
        <v>0.5</v>
      </c>
      <c r="J349" s="9">
        <f t="shared" ref="J349:J358" si="178">F349*G349*I349*H349</f>
        <v>0</v>
      </c>
      <c r="K349" s="552"/>
      <c r="N349" s="289" t="s">
        <v>462</v>
      </c>
      <c r="O349" s="72">
        <f t="shared" ref="O349:AL349" si="179">IF($F271=0,0,IF(AND(IF(O$250&gt;=$E271,TRUE,FALSE),IF(O$250&lt;=$F271,TRUE,FALSE)),TRUE,0))</f>
        <v>0</v>
      </c>
      <c r="P349" s="72">
        <f t="shared" si="179"/>
        <v>0</v>
      </c>
      <c r="Q349" s="72">
        <f t="shared" si="179"/>
        <v>0</v>
      </c>
      <c r="R349" s="72">
        <f t="shared" si="179"/>
        <v>0</v>
      </c>
      <c r="S349" s="72">
        <f t="shared" si="179"/>
        <v>0</v>
      </c>
      <c r="T349" s="72">
        <f t="shared" si="179"/>
        <v>0</v>
      </c>
      <c r="U349" s="72">
        <f t="shared" si="179"/>
        <v>0</v>
      </c>
      <c r="V349" s="72">
        <f t="shared" si="179"/>
        <v>0</v>
      </c>
      <c r="W349" s="72">
        <f t="shared" si="179"/>
        <v>0</v>
      </c>
      <c r="X349" s="72">
        <f t="shared" si="179"/>
        <v>0</v>
      </c>
      <c r="Y349" s="72">
        <f t="shared" si="179"/>
        <v>0</v>
      </c>
      <c r="Z349" s="72">
        <f t="shared" si="179"/>
        <v>0</v>
      </c>
      <c r="AA349" s="72">
        <f t="shared" si="179"/>
        <v>0</v>
      </c>
      <c r="AB349" s="72">
        <f t="shared" si="179"/>
        <v>0</v>
      </c>
      <c r="AC349" s="72">
        <f t="shared" si="179"/>
        <v>0</v>
      </c>
      <c r="AD349" s="72">
        <f t="shared" si="179"/>
        <v>0</v>
      </c>
      <c r="AE349" s="72">
        <f t="shared" si="179"/>
        <v>0</v>
      </c>
      <c r="AF349" s="72">
        <f t="shared" si="179"/>
        <v>0</v>
      </c>
      <c r="AG349" s="72">
        <f t="shared" si="179"/>
        <v>0</v>
      </c>
      <c r="AH349" s="72">
        <f t="shared" si="179"/>
        <v>0</v>
      </c>
      <c r="AI349" s="72">
        <f t="shared" si="179"/>
        <v>0</v>
      </c>
      <c r="AJ349" s="72">
        <f t="shared" si="179"/>
        <v>0</v>
      </c>
      <c r="AK349" s="72">
        <f t="shared" si="179"/>
        <v>0</v>
      </c>
      <c r="AL349" s="72">
        <f t="shared" si="179"/>
        <v>0</v>
      </c>
      <c r="AN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</row>
    <row r="350" spans="1:64" x14ac:dyDescent="0.3">
      <c r="A350" s="603" t="s">
        <v>1206</v>
      </c>
      <c r="B350" s="696"/>
      <c r="C350" s="696"/>
      <c r="D350" s="104">
        <f>D317</f>
        <v>0</v>
      </c>
      <c r="E350" s="104">
        <v>1.36</v>
      </c>
      <c r="F350" s="9">
        <f t="shared" si="176"/>
        <v>0</v>
      </c>
      <c r="G350" s="557">
        <f t="shared" ref="G350:G358" si="180">IF(D350=0,,4)</f>
        <v>0</v>
      </c>
      <c r="H350" s="557">
        <f t="shared" ref="H350:H358" si="181">IF(D350=0,,M$224)</f>
        <v>0</v>
      </c>
      <c r="I350" s="104">
        <v>0.5</v>
      </c>
      <c r="J350" s="9">
        <f t="shared" si="178"/>
        <v>0</v>
      </c>
      <c r="K350" s="552"/>
      <c r="N350" s="289" t="s">
        <v>463</v>
      </c>
      <c r="O350" s="72">
        <f t="shared" ref="O350:AL350" si="182">IF($J271=0,0,IF(AND(IF(O$250&gt;=$I271,TRUE,FALSE),IF(O$250&lt;=$J271,TRUE,FALSE)),TRUE,0))</f>
        <v>0</v>
      </c>
      <c r="P350" s="72">
        <f t="shared" si="182"/>
        <v>0</v>
      </c>
      <c r="Q350" s="72">
        <f t="shared" si="182"/>
        <v>0</v>
      </c>
      <c r="R350" s="72">
        <f t="shared" si="182"/>
        <v>0</v>
      </c>
      <c r="S350" s="72">
        <f t="shared" si="182"/>
        <v>0</v>
      </c>
      <c r="T350" s="72">
        <f t="shared" si="182"/>
        <v>0</v>
      </c>
      <c r="U350" s="72">
        <f t="shared" si="182"/>
        <v>0</v>
      </c>
      <c r="V350" s="72">
        <f t="shared" si="182"/>
        <v>0</v>
      </c>
      <c r="W350" s="72">
        <f t="shared" si="182"/>
        <v>0</v>
      </c>
      <c r="X350" s="72">
        <f t="shared" si="182"/>
        <v>0</v>
      </c>
      <c r="Y350" s="72">
        <f t="shared" si="182"/>
        <v>0</v>
      </c>
      <c r="Z350" s="72">
        <f t="shared" si="182"/>
        <v>0</v>
      </c>
      <c r="AA350" s="72">
        <f t="shared" si="182"/>
        <v>0</v>
      </c>
      <c r="AB350" s="72">
        <f t="shared" si="182"/>
        <v>0</v>
      </c>
      <c r="AC350" s="72">
        <f t="shared" si="182"/>
        <v>0</v>
      </c>
      <c r="AD350" s="72">
        <f t="shared" si="182"/>
        <v>0</v>
      </c>
      <c r="AE350" s="72">
        <f t="shared" si="182"/>
        <v>0</v>
      </c>
      <c r="AF350" s="72">
        <f t="shared" si="182"/>
        <v>0</v>
      </c>
      <c r="AG350" s="72">
        <f t="shared" si="182"/>
        <v>0</v>
      </c>
      <c r="AH350" s="72">
        <f t="shared" si="182"/>
        <v>0</v>
      </c>
      <c r="AI350" s="72">
        <f t="shared" si="182"/>
        <v>0</v>
      </c>
      <c r="AJ350" s="72">
        <f t="shared" si="182"/>
        <v>0</v>
      </c>
      <c r="AK350" s="72">
        <f t="shared" si="182"/>
        <v>0</v>
      </c>
      <c r="AL350" s="72">
        <f t="shared" si="182"/>
        <v>0</v>
      </c>
      <c r="AN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</row>
    <row r="351" spans="1:64" hidden="1" x14ac:dyDescent="0.3">
      <c r="A351" s="603" t="s">
        <v>1206</v>
      </c>
      <c r="B351" s="696"/>
      <c r="C351" s="696"/>
      <c r="D351" s="104"/>
      <c r="E351" s="104">
        <v>2</v>
      </c>
      <c r="F351" s="9">
        <f t="shared" si="176"/>
        <v>0</v>
      </c>
      <c r="G351" s="557">
        <f t="shared" si="180"/>
        <v>0</v>
      </c>
      <c r="H351" s="557">
        <f t="shared" si="181"/>
        <v>0</v>
      </c>
      <c r="I351" s="104">
        <v>0.5</v>
      </c>
      <c r="J351" s="9">
        <f t="shared" si="178"/>
        <v>0</v>
      </c>
      <c r="K351" s="552"/>
      <c r="N351" s="863" t="s">
        <v>488</v>
      </c>
      <c r="O351" s="864"/>
      <c r="P351" s="864"/>
      <c r="Q351" s="864"/>
      <c r="R351" s="864"/>
      <c r="S351" s="864"/>
      <c r="T351" s="864"/>
      <c r="U351" s="864"/>
      <c r="V351" s="864"/>
      <c r="W351" s="864"/>
      <c r="X351" s="864"/>
      <c r="Y351" s="864"/>
      <c r="Z351" s="864"/>
      <c r="AA351" s="864"/>
      <c r="AB351" s="864"/>
      <c r="AC351" s="864"/>
      <c r="AD351" s="864"/>
      <c r="AE351" s="864"/>
      <c r="AF351" s="864"/>
      <c r="AG351" s="864"/>
      <c r="AH351" s="864"/>
      <c r="AI351" s="864"/>
      <c r="AJ351" s="864"/>
      <c r="AK351" s="864"/>
      <c r="AL351" s="864"/>
      <c r="AN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</row>
    <row r="352" spans="1:64" hidden="1" x14ac:dyDescent="0.3">
      <c r="A352" s="603" t="s">
        <v>1206</v>
      </c>
      <c r="B352" s="696"/>
      <c r="C352" s="696"/>
      <c r="D352" s="104"/>
      <c r="E352" s="104">
        <v>0.25</v>
      </c>
      <c r="F352" s="9">
        <f t="shared" si="176"/>
        <v>0</v>
      </c>
      <c r="G352" s="557">
        <f t="shared" si="180"/>
        <v>0</v>
      </c>
      <c r="H352" s="557">
        <f t="shared" si="181"/>
        <v>0</v>
      </c>
      <c r="I352" s="104">
        <v>0.5</v>
      </c>
      <c r="J352" s="9">
        <f t="shared" si="178"/>
        <v>0</v>
      </c>
      <c r="K352" s="552"/>
      <c r="N352" s="289" t="s">
        <v>461</v>
      </c>
      <c r="O352" s="72">
        <f t="shared" ref="O352:AL352" si="183">IF($B277=0,0,IF(AND(IF(O$250&gt;=$A277,TRUE,FALSE),IF(O$250&lt;=$B277,TRUE,FALSE)),TRUE,0))</f>
        <v>0</v>
      </c>
      <c r="P352" s="72">
        <f t="shared" si="183"/>
        <v>0</v>
      </c>
      <c r="Q352" s="72">
        <f t="shared" si="183"/>
        <v>0</v>
      </c>
      <c r="R352" s="72">
        <f t="shared" si="183"/>
        <v>0</v>
      </c>
      <c r="S352" s="72">
        <f t="shared" si="183"/>
        <v>0</v>
      </c>
      <c r="T352" s="72">
        <f t="shared" si="183"/>
        <v>0</v>
      </c>
      <c r="U352" s="72">
        <f t="shared" si="183"/>
        <v>0</v>
      </c>
      <c r="V352" s="72">
        <f t="shared" si="183"/>
        <v>0</v>
      </c>
      <c r="W352" s="72">
        <f t="shared" si="183"/>
        <v>0</v>
      </c>
      <c r="X352" s="72">
        <f t="shared" si="183"/>
        <v>0</v>
      </c>
      <c r="Y352" s="72">
        <f t="shared" si="183"/>
        <v>0</v>
      </c>
      <c r="Z352" s="72">
        <f t="shared" si="183"/>
        <v>0</v>
      </c>
      <c r="AA352" s="72">
        <f t="shared" si="183"/>
        <v>0</v>
      </c>
      <c r="AB352" s="72">
        <f t="shared" si="183"/>
        <v>0</v>
      </c>
      <c r="AC352" s="72">
        <f t="shared" si="183"/>
        <v>0</v>
      </c>
      <c r="AD352" s="72">
        <f t="shared" si="183"/>
        <v>0</v>
      </c>
      <c r="AE352" s="72">
        <f t="shared" si="183"/>
        <v>0</v>
      </c>
      <c r="AF352" s="72">
        <f t="shared" si="183"/>
        <v>0</v>
      </c>
      <c r="AG352" s="72">
        <f t="shared" si="183"/>
        <v>0</v>
      </c>
      <c r="AH352" s="72">
        <f t="shared" si="183"/>
        <v>0</v>
      </c>
      <c r="AI352" s="72">
        <f t="shared" si="183"/>
        <v>0</v>
      </c>
      <c r="AJ352" s="72">
        <f t="shared" si="183"/>
        <v>0</v>
      </c>
      <c r="AK352" s="72">
        <f t="shared" si="183"/>
        <v>0</v>
      </c>
      <c r="AL352" s="72">
        <f t="shared" si="183"/>
        <v>0</v>
      </c>
      <c r="AN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</row>
    <row r="353" spans="1:64" hidden="1" x14ac:dyDescent="0.3">
      <c r="A353" s="603" t="s">
        <v>1206</v>
      </c>
      <c r="B353" s="696"/>
      <c r="C353" s="696"/>
      <c r="D353" s="104"/>
      <c r="E353" s="104">
        <v>0.4</v>
      </c>
      <c r="F353" s="9">
        <f t="shared" si="176"/>
        <v>0</v>
      </c>
      <c r="G353" s="557">
        <f t="shared" si="180"/>
        <v>0</v>
      </c>
      <c r="H353" s="557">
        <f t="shared" si="181"/>
        <v>0</v>
      </c>
      <c r="I353" s="104">
        <v>0.5</v>
      </c>
      <c r="J353" s="9">
        <f t="shared" si="178"/>
        <v>0</v>
      </c>
      <c r="K353" s="552"/>
      <c r="N353" s="289" t="s">
        <v>462</v>
      </c>
      <c r="O353" s="72">
        <f t="shared" ref="O353:AL353" si="184">IF($F277=0,0,IF(AND(IF(O$250&gt;=$E277,TRUE,FALSE),IF(O$250&lt;=$F277,TRUE,FALSE)),TRUE,0))</f>
        <v>0</v>
      </c>
      <c r="P353" s="72">
        <f t="shared" si="184"/>
        <v>0</v>
      </c>
      <c r="Q353" s="72">
        <f t="shared" si="184"/>
        <v>0</v>
      </c>
      <c r="R353" s="72">
        <f t="shared" si="184"/>
        <v>0</v>
      </c>
      <c r="S353" s="72">
        <f t="shared" si="184"/>
        <v>0</v>
      </c>
      <c r="T353" s="72">
        <f t="shared" si="184"/>
        <v>0</v>
      </c>
      <c r="U353" s="72">
        <f t="shared" si="184"/>
        <v>0</v>
      </c>
      <c r="V353" s="72">
        <f t="shared" si="184"/>
        <v>0</v>
      </c>
      <c r="W353" s="72">
        <f t="shared" si="184"/>
        <v>0</v>
      </c>
      <c r="X353" s="72">
        <f t="shared" si="184"/>
        <v>0</v>
      </c>
      <c r="Y353" s="72">
        <f t="shared" si="184"/>
        <v>0</v>
      </c>
      <c r="Z353" s="72">
        <f t="shared" si="184"/>
        <v>0</v>
      </c>
      <c r="AA353" s="72">
        <f t="shared" si="184"/>
        <v>0</v>
      </c>
      <c r="AB353" s="72">
        <f t="shared" si="184"/>
        <v>0</v>
      </c>
      <c r="AC353" s="72">
        <f t="shared" si="184"/>
        <v>0</v>
      </c>
      <c r="AD353" s="72">
        <f t="shared" si="184"/>
        <v>0</v>
      </c>
      <c r="AE353" s="72">
        <f t="shared" si="184"/>
        <v>0</v>
      </c>
      <c r="AF353" s="72">
        <f t="shared" si="184"/>
        <v>0</v>
      </c>
      <c r="AG353" s="72">
        <f t="shared" si="184"/>
        <v>0</v>
      </c>
      <c r="AH353" s="72">
        <f t="shared" si="184"/>
        <v>0</v>
      </c>
      <c r="AI353" s="72">
        <f t="shared" si="184"/>
        <v>0</v>
      </c>
      <c r="AJ353" s="72">
        <f t="shared" si="184"/>
        <v>0</v>
      </c>
      <c r="AK353" s="72">
        <f t="shared" si="184"/>
        <v>0</v>
      </c>
      <c r="AL353" s="72">
        <f t="shared" si="184"/>
        <v>0</v>
      </c>
      <c r="AN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</row>
    <row r="354" spans="1:64" hidden="1" x14ac:dyDescent="0.3">
      <c r="A354" s="603" t="s">
        <v>1206</v>
      </c>
      <c r="B354" s="696"/>
      <c r="C354" s="696"/>
      <c r="D354" s="104"/>
      <c r="E354" s="104">
        <v>3</v>
      </c>
      <c r="F354" s="9">
        <f t="shared" si="176"/>
        <v>0</v>
      </c>
      <c r="G354" s="557">
        <f t="shared" si="180"/>
        <v>0</v>
      </c>
      <c r="H354" s="557">
        <f t="shared" si="181"/>
        <v>0</v>
      </c>
      <c r="I354" s="104">
        <v>0.5</v>
      </c>
      <c r="J354" s="9">
        <f t="shared" si="178"/>
        <v>0</v>
      </c>
      <c r="K354" s="552"/>
      <c r="N354" s="289" t="s">
        <v>463</v>
      </c>
      <c r="O354" s="72">
        <f t="shared" ref="O354:AL354" si="185">IF($J277=0,0,IF(AND(IF(O$250&gt;=$I277,TRUE,FALSE),IF(O$250&lt;=$J277,TRUE,FALSE)),TRUE,0))</f>
        <v>0</v>
      </c>
      <c r="P354" s="72">
        <f t="shared" si="185"/>
        <v>0</v>
      </c>
      <c r="Q354" s="72">
        <f t="shared" si="185"/>
        <v>0</v>
      </c>
      <c r="R354" s="72">
        <f t="shared" si="185"/>
        <v>0</v>
      </c>
      <c r="S354" s="72">
        <f t="shared" si="185"/>
        <v>0</v>
      </c>
      <c r="T354" s="72">
        <f t="shared" si="185"/>
        <v>0</v>
      </c>
      <c r="U354" s="72">
        <f t="shared" si="185"/>
        <v>0</v>
      </c>
      <c r="V354" s="72">
        <f t="shared" si="185"/>
        <v>0</v>
      </c>
      <c r="W354" s="72">
        <f t="shared" si="185"/>
        <v>0</v>
      </c>
      <c r="X354" s="72">
        <f t="shared" si="185"/>
        <v>0</v>
      </c>
      <c r="Y354" s="72">
        <f t="shared" si="185"/>
        <v>0</v>
      </c>
      <c r="Z354" s="72">
        <f t="shared" si="185"/>
        <v>0</v>
      </c>
      <c r="AA354" s="72">
        <f t="shared" si="185"/>
        <v>0</v>
      </c>
      <c r="AB354" s="72">
        <f t="shared" si="185"/>
        <v>0</v>
      </c>
      <c r="AC354" s="72">
        <f t="shared" si="185"/>
        <v>0</v>
      </c>
      <c r="AD354" s="72">
        <f t="shared" si="185"/>
        <v>0</v>
      </c>
      <c r="AE354" s="72">
        <f t="shared" si="185"/>
        <v>0</v>
      </c>
      <c r="AF354" s="72">
        <f t="shared" si="185"/>
        <v>0</v>
      </c>
      <c r="AG354" s="72">
        <f t="shared" si="185"/>
        <v>0</v>
      </c>
      <c r="AH354" s="72">
        <f t="shared" si="185"/>
        <v>0</v>
      </c>
      <c r="AI354" s="72">
        <f t="shared" si="185"/>
        <v>0</v>
      </c>
      <c r="AJ354" s="72">
        <f t="shared" si="185"/>
        <v>0</v>
      </c>
      <c r="AK354" s="72">
        <f t="shared" si="185"/>
        <v>0</v>
      </c>
      <c r="AL354" s="72">
        <f t="shared" si="185"/>
        <v>0</v>
      </c>
      <c r="AN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</row>
    <row r="355" spans="1:64" hidden="1" x14ac:dyDescent="0.3">
      <c r="A355" s="603" t="s">
        <v>1206</v>
      </c>
      <c r="B355" s="696"/>
      <c r="C355" s="696"/>
      <c r="D355" s="104"/>
      <c r="E355" s="104">
        <v>0.9</v>
      </c>
      <c r="F355" s="9">
        <f t="shared" si="176"/>
        <v>0</v>
      </c>
      <c r="G355" s="557">
        <f t="shared" si="180"/>
        <v>0</v>
      </c>
      <c r="H355" s="557">
        <f t="shared" si="181"/>
        <v>0</v>
      </c>
      <c r="I355" s="104">
        <v>0.5</v>
      </c>
      <c r="J355" s="9">
        <f t="shared" si="178"/>
        <v>0</v>
      </c>
      <c r="K355" s="552"/>
      <c r="N355" s="24"/>
      <c r="AN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</row>
    <row r="356" spans="1:64" hidden="1" x14ac:dyDescent="0.3">
      <c r="A356" s="603" t="s">
        <v>1206</v>
      </c>
      <c r="B356" s="696"/>
      <c r="C356" s="696"/>
      <c r="D356" s="104"/>
      <c r="E356" s="104">
        <v>0.5</v>
      </c>
      <c r="F356" s="9">
        <f t="shared" si="176"/>
        <v>0</v>
      </c>
      <c r="G356" s="557">
        <f t="shared" si="180"/>
        <v>0</v>
      </c>
      <c r="H356" s="557">
        <f t="shared" si="181"/>
        <v>0</v>
      </c>
      <c r="I356" s="104">
        <v>0.5</v>
      </c>
      <c r="J356" s="9">
        <f t="shared" si="178"/>
        <v>0</v>
      </c>
      <c r="K356" s="552"/>
      <c r="N356" s="290" t="s">
        <v>469</v>
      </c>
      <c r="O356" s="159">
        <f t="shared" ref="O356:AL356" si="186">((O$334+O$338+O$344+O$348+O$352)*23+(O$335+O$341+O$345+O$349+O$353+O$336+O$342+O$346+O$350+O$354)*4)</f>
        <v>0</v>
      </c>
      <c r="P356" s="159">
        <f t="shared" si="186"/>
        <v>0</v>
      </c>
      <c r="Q356" s="159">
        <f t="shared" si="186"/>
        <v>0</v>
      </c>
      <c r="R356" s="159">
        <f t="shared" si="186"/>
        <v>0</v>
      </c>
      <c r="S356" s="159">
        <f t="shared" si="186"/>
        <v>0</v>
      </c>
      <c r="T356" s="159">
        <f t="shared" si="186"/>
        <v>0</v>
      </c>
      <c r="U356" s="159">
        <f t="shared" si="186"/>
        <v>0</v>
      </c>
      <c r="V356" s="159">
        <f t="shared" si="186"/>
        <v>0</v>
      </c>
      <c r="W356" s="159">
        <f t="shared" si="186"/>
        <v>0</v>
      </c>
      <c r="X356" s="159">
        <f t="shared" si="186"/>
        <v>0</v>
      </c>
      <c r="Y356" s="159">
        <f t="shared" si="186"/>
        <v>0</v>
      </c>
      <c r="Z356" s="159">
        <f t="shared" si="186"/>
        <v>0</v>
      </c>
      <c r="AA356" s="159">
        <f t="shared" si="186"/>
        <v>0</v>
      </c>
      <c r="AB356" s="159">
        <f t="shared" si="186"/>
        <v>0</v>
      </c>
      <c r="AC356" s="159">
        <f t="shared" si="186"/>
        <v>0</v>
      </c>
      <c r="AD356" s="159">
        <f t="shared" si="186"/>
        <v>0</v>
      </c>
      <c r="AE356" s="159">
        <f t="shared" si="186"/>
        <v>0</v>
      </c>
      <c r="AF356" s="159">
        <f t="shared" si="186"/>
        <v>0</v>
      </c>
      <c r="AG356" s="159">
        <f t="shared" si="186"/>
        <v>0</v>
      </c>
      <c r="AH356" s="159">
        <f t="shared" si="186"/>
        <v>0</v>
      </c>
      <c r="AI356" s="159">
        <f t="shared" si="186"/>
        <v>0</v>
      </c>
      <c r="AJ356" s="159">
        <f t="shared" si="186"/>
        <v>0</v>
      </c>
      <c r="AK356" s="159">
        <f t="shared" si="186"/>
        <v>0</v>
      </c>
      <c r="AL356" s="159">
        <f t="shared" si="186"/>
        <v>0</v>
      </c>
      <c r="AN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</row>
    <row r="357" spans="1:64" hidden="1" x14ac:dyDescent="0.3">
      <c r="A357" s="603" t="s">
        <v>1206</v>
      </c>
      <c r="B357" s="696"/>
      <c r="C357" s="696"/>
      <c r="D357" s="104"/>
      <c r="E357" s="104">
        <v>7</v>
      </c>
      <c r="F357" s="9">
        <f t="shared" si="176"/>
        <v>0</v>
      </c>
      <c r="G357" s="557">
        <f t="shared" si="180"/>
        <v>0</v>
      </c>
      <c r="H357" s="557">
        <f t="shared" si="181"/>
        <v>0</v>
      </c>
      <c r="I357" s="104">
        <v>0.5</v>
      </c>
      <c r="J357" s="9">
        <f t="shared" si="178"/>
        <v>0</v>
      </c>
      <c r="K357" s="552"/>
      <c r="N357" s="290" t="s">
        <v>470</v>
      </c>
      <c r="O357" s="159">
        <f t="shared" ref="O357:AL357" si="187">((O$334+O$338+O$344+O$348+O$352)*20+(O$335+O$341+O$345+O$349+O$353+O$336+O$342+O$346+O$350+O$354)*4)</f>
        <v>0</v>
      </c>
      <c r="P357" s="159">
        <f t="shared" si="187"/>
        <v>0</v>
      </c>
      <c r="Q357" s="159">
        <f t="shared" si="187"/>
        <v>0</v>
      </c>
      <c r="R357" s="159">
        <f t="shared" si="187"/>
        <v>0</v>
      </c>
      <c r="S357" s="159">
        <f t="shared" si="187"/>
        <v>0</v>
      </c>
      <c r="T357" s="159">
        <f t="shared" si="187"/>
        <v>0</v>
      </c>
      <c r="U357" s="159">
        <f t="shared" si="187"/>
        <v>0</v>
      </c>
      <c r="V357" s="159">
        <f t="shared" si="187"/>
        <v>0</v>
      </c>
      <c r="W357" s="159">
        <f t="shared" si="187"/>
        <v>0</v>
      </c>
      <c r="X357" s="159">
        <f t="shared" si="187"/>
        <v>0</v>
      </c>
      <c r="Y357" s="159">
        <f t="shared" si="187"/>
        <v>0</v>
      </c>
      <c r="Z357" s="159">
        <f t="shared" si="187"/>
        <v>0</v>
      </c>
      <c r="AA357" s="159">
        <f t="shared" si="187"/>
        <v>0</v>
      </c>
      <c r="AB357" s="159">
        <f t="shared" si="187"/>
        <v>0</v>
      </c>
      <c r="AC357" s="159">
        <f t="shared" si="187"/>
        <v>0</v>
      </c>
      <c r="AD357" s="159">
        <f t="shared" si="187"/>
        <v>0</v>
      </c>
      <c r="AE357" s="159">
        <f t="shared" si="187"/>
        <v>0</v>
      </c>
      <c r="AF357" s="159">
        <f t="shared" si="187"/>
        <v>0</v>
      </c>
      <c r="AG357" s="159">
        <f t="shared" si="187"/>
        <v>0</v>
      </c>
      <c r="AH357" s="159">
        <f t="shared" si="187"/>
        <v>0</v>
      </c>
      <c r="AI357" s="159">
        <f t="shared" si="187"/>
        <v>0</v>
      </c>
      <c r="AJ357" s="159">
        <f t="shared" si="187"/>
        <v>0</v>
      </c>
      <c r="AK357" s="159">
        <f t="shared" si="187"/>
        <v>0</v>
      </c>
      <c r="AL357" s="159">
        <f t="shared" si="187"/>
        <v>0</v>
      </c>
      <c r="AN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</row>
    <row r="358" spans="1:64" hidden="1" x14ac:dyDescent="0.3">
      <c r="A358" s="603" t="s">
        <v>1206</v>
      </c>
      <c r="B358" s="696"/>
      <c r="C358" s="696"/>
      <c r="D358" s="104"/>
      <c r="E358" s="104">
        <v>0.1</v>
      </c>
      <c r="F358" s="9">
        <f t="shared" si="176"/>
        <v>0</v>
      </c>
      <c r="G358" s="557">
        <f t="shared" si="180"/>
        <v>0</v>
      </c>
      <c r="H358" s="557">
        <f t="shared" si="181"/>
        <v>0</v>
      </c>
      <c r="I358" s="104">
        <v>0.5</v>
      </c>
      <c r="J358" s="9">
        <f t="shared" si="178"/>
        <v>0</v>
      </c>
      <c r="K358" s="552"/>
      <c r="N358" s="290" t="s">
        <v>471</v>
      </c>
      <c r="O358" s="159">
        <f t="shared" ref="O358:AL358" si="188">((O$334+O$338+O$344+O$348+O$352)*23+(O$335+O$341+O$345+O$349+O$353+O$336+O$342+O$346+O$350+O$354)*4)</f>
        <v>0</v>
      </c>
      <c r="P358" s="159">
        <f t="shared" si="188"/>
        <v>0</v>
      </c>
      <c r="Q358" s="159">
        <f t="shared" si="188"/>
        <v>0</v>
      </c>
      <c r="R358" s="159">
        <f t="shared" si="188"/>
        <v>0</v>
      </c>
      <c r="S358" s="159">
        <f t="shared" si="188"/>
        <v>0</v>
      </c>
      <c r="T358" s="159">
        <f t="shared" si="188"/>
        <v>0</v>
      </c>
      <c r="U358" s="159">
        <f t="shared" si="188"/>
        <v>0</v>
      </c>
      <c r="V358" s="159">
        <f t="shared" si="188"/>
        <v>0</v>
      </c>
      <c r="W358" s="159">
        <f t="shared" si="188"/>
        <v>0</v>
      </c>
      <c r="X358" s="159">
        <f t="shared" si="188"/>
        <v>0</v>
      </c>
      <c r="Y358" s="159">
        <f t="shared" si="188"/>
        <v>0</v>
      </c>
      <c r="Z358" s="159">
        <f t="shared" si="188"/>
        <v>0</v>
      </c>
      <c r="AA358" s="159">
        <f t="shared" si="188"/>
        <v>0</v>
      </c>
      <c r="AB358" s="159">
        <f t="shared" si="188"/>
        <v>0</v>
      </c>
      <c r="AC358" s="159">
        <f t="shared" si="188"/>
        <v>0</v>
      </c>
      <c r="AD358" s="159">
        <f t="shared" si="188"/>
        <v>0</v>
      </c>
      <c r="AE358" s="159">
        <f t="shared" si="188"/>
        <v>0</v>
      </c>
      <c r="AF358" s="159">
        <f t="shared" si="188"/>
        <v>0</v>
      </c>
      <c r="AG358" s="159">
        <f t="shared" si="188"/>
        <v>0</v>
      </c>
      <c r="AH358" s="159">
        <f t="shared" si="188"/>
        <v>0</v>
      </c>
      <c r="AI358" s="159">
        <f t="shared" si="188"/>
        <v>0</v>
      </c>
      <c r="AJ358" s="159">
        <f t="shared" si="188"/>
        <v>0</v>
      </c>
      <c r="AK358" s="159">
        <f t="shared" si="188"/>
        <v>0</v>
      </c>
      <c r="AL358" s="159">
        <f t="shared" si="188"/>
        <v>0</v>
      </c>
      <c r="AN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</row>
    <row r="359" spans="1:64" x14ac:dyDescent="0.3">
      <c r="K359" s="73"/>
      <c r="N359" s="290" t="s">
        <v>472</v>
      </c>
      <c r="O359" s="159">
        <f t="shared" ref="O359:AL359" si="189">((O$334+O$338+O$344+O$348+O$352)*22+(O$335+O$341+O$345+O$349+O$353+O$336+O$342+O$346+O$350+O$354)*4)</f>
        <v>0</v>
      </c>
      <c r="P359" s="159">
        <f t="shared" si="189"/>
        <v>0</v>
      </c>
      <c r="Q359" s="159">
        <f t="shared" si="189"/>
        <v>0</v>
      </c>
      <c r="R359" s="159">
        <f t="shared" si="189"/>
        <v>0</v>
      </c>
      <c r="S359" s="159">
        <f t="shared" si="189"/>
        <v>0</v>
      </c>
      <c r="T359" s="159">
        <f t="shared" si="189"/>
        <v>0</v>
      </c>
      <c r="U359" s="159">
        <f t="shared" si="189"/>
        <v>0</v>
      </c>
      <c r="V359" s="159">
        <f t="shared" si="189"/>
        <v>0</v>
      </c>
      <c r="W359" s="159">
        <f t="shared" si="189"/>
        <v>0</v>
      </c>
      <c r="X359" s="159">
        <f t="shared" si="189"/>
        <v>0</v>
      </c>
      <c r="Y359" s="159">
        <f t="shared" si="189"/>
        <v>0</v>
      </c>
      <c r="Z359" s="159">
        <f t="shared" si="189"/>
        <v>0</v>
      </c>
      <c r="AA359" s="159">
        <f t="shared" si="189"/>
        <v>0</v>
      </c>
      <c r="AB359" s="159">
        <f t="shared" si="189"/>
        <v>0</v>
      </c>
      <c r="AC359" s="159">
        <f t="shared" si="189"/>
        <v>0</v>
      </c>
      <c r="AD359" s="159">
        <f t="shared" si="189"/>
        <v>0</v>
      </c>
      <c r="AE359" s="159">
        <f t="shared" si="189"/>
        <v>0</v>
      </c>
      <c r="AF359" s="159">
        <f t="shared" si="189"/>
        <v>0</v>
      </c>
      <c r="AG359" s="159">
        <f t="shared" si="189"/>
        <v>0</v>
      </c>
      <c r="AH359" s="159">
        <f t="shared" si="189"/>
        <v>0</v>
      </c>
      <c r="AI359" s="159">
        <f t="shared" si="189"/>
        <v>0</v>
      </c>
      <c r="AJ359" s="159">
        <f t="shared" si="189"/>
        <v>0</v>
      </c>
      <c r="AK359" s="159">
        <f t="shared" si="189"/>
        <v>0</v>
      </c>
      <c r="AL359" s="159">
        <f t="shared" si="189"/>
        <v>0</v>
      </c>
    </row>
    <row r="360" spans="1:64" hidden="1" x14ac:dyDescent="0.3">
      <c r="A360" s="763" t="s">
        <v>995</v>
      </c>
      <c r="B360" s="914"/>
      <c r="C360" s="914"/>
      <c r="D360" s="914"/>
      <c r="E360" s="914"/>
      <c r="F360" s="914"/>
      <c r="G360" s="914"/>
      <c r="H360" s="589"/>
      <c r="I360" s="589"/>
      <c r="J360" s="589"/>
      <c r="K360" s="465">
        <f>SUM(K348:K358)</f>
        <v>0</v>
      </c>
      <c r="L360" s="36" t="s">
        <v>945</v>
      </c>
      <c r="N360" s="291" t="s">
        <v>473</v>
      </c>
      <c r="O360" s="164">
        <f t="shared" ref="O360:AL360" si="190">((O$334+O$338+O$344+O$348+O$352)*23+(O$335+O$341+O$345+O$349+O$353+O$336+O$342+O$346+O$350+O$354)*4)</f>
        <v>0</v>
      </c>
      <c r="P360" s="164">
        <f t="shared" si="190"/>
        <v>0</v>
      </c>
      <c r="Q360" s="164">
        <f t="shared" si="190"/>
        <v>0</v>
      </c>
      <c r="R360" s="164">
        <f t="shared" si="190"/>
        <v>0</v>
      </c>
      <c r="S360" s="164">
        <f t="shared" si="190"/>
        <v>0</v>
      </c>
      <c r="T360" s="164">
        <f t="shared" si="190"/>
        <v>0</v>
      </c>
      <c r="U360" s="164">
        <f t="shared" si="190"/>
        <v>0</v>
      </c>
      <c r="V360" s="164">
        <f t="shared" si="190"/>
        <v>0</v>
      </c>
      <c r="W360" s="164">
        <f t="shared" si="190"/>
        <v>0</v>
      </c>
      <c r="X360" s="164">
        <f t="shared" si="190"/>
        <v>0</v>
      </c>
      <c r="Y360" s="164">
        <f t="shared" si="190"/>
        <v>0</v>
      </c>
      <c r="Z360" s="164">
        <f t="shared" si="190"/>
        <v>0</v>
      </c>
      <c r="AA360" s="164">
        <f t="shared" si="190"/>
        <v>0</v>
      </c>
      <c r="AB360" s="164">
        <f t="shared" si="190"/>
        <v>0</v>
      </c>
      <c r="AC360" s="164">
        <f t="shared" si="190"/>
        <v>0</v>
      </c>
      <c r="AD360" s="164">
        <f t="shared" si="190"/>
        <v>0</v>
      </c>
      <c r="AE360" s="164">
        <f t="shared" si="190"/>
        <v>0</v>
      </c>
      <c r="AF360" s="164">
        <f t="shared" si="190"/>
        <v>0</v>
      </c>
      <c r="AG360" s="164">
        <f t="shared" si="190"/>
        <v>0</v>
      </c>
      <c r="AH360" s="164">
        <f t="shared" si="190"/>
        <v>0</v>
      </c>
      <c r="AI360" s="164">
        <f t="shared" si="190"/>
        <v>0</v>
      </c>
      <c r="AJ360" s="164">
        <f t="shared" si="190"/>
        <v>0</v>
      </c>
      <c r="AK360" s="164">
        <f t="shared" si="190"/>
        <v>0</v>
      </c>
      <c r="AL360" s="164">
        <f t="shared" si="190"/>
        <v>0</v>
      </c>
    </row>
    <row r="361" spans="1:64" x14ac:dyDescent="0.3">
      <c r="A361" s="763" t="s">
        <v>650</v>
      </c>
      <c r="B361" s="914"/>
      <c r="C361" s="914"/>
      <c r="D361" s="914"/>
      <c r="E361" s="914"/>
      <c r="F361" s="914"/>
      <c r="G361" s="914"/>
      <c r="H361" s="589"/>
      <c r="I361" s="589"/>
      <c r="J361" s="481" t="e">
        <f>(SUM(G348:G358)/(COUNTA(G348:G358)-COUNTIF(G348:G358,"=0")))*(SUM(H348:H358)/(COUNTA(H348:H358)-COUNTIF(H348:H358,"=0")))</f>
        <v>#DIV/0!</v>
      </c>
      <c r="K361" s="36" t="s">
        <v>645</v>
      </c>
      <c r="N361" s="291"/>
      <c r="O361" s="164"/>
      <c r="P361" s="164"/>
      <c r="Q361" s="164"/>
      <c r="R361" s="164"/>
      <c r="S361" s="164"/>
      <c r="T361" s="164"/>
      <c r="U361" s="164"/>
      <c r="V361" s="164"/>
      <c r="W361" s="164"/>
      <c r="X361" s="164"/>
      <c r="Y361" s="164"/>
      <c r="Z361" s="164"/>
      <c r="AA361" s="164"/>
      <c r="AB361" s="164"/>
      <c r="AC361" s="164"/>
      <c r="AD361" s="164"/>
      <c r="AE361" s="164"/>
      <c r="AF361" s="164"/>
      <c r="AG361" s="164"/>
      <c r="AH361" s="164"/>
      <c r="AI361" s="164"/>
      <c r="AJ361" s="164"/>
      <c r="AK361" s="164"/>
      <c r="AL361" s="164"/>
    </row>
    <row r="362" spans="1:64" ht="18" x14ac:dyDescent="0.3">
      <c r="A362" s="763" t="s">
        <v>651</v>
      </c>
      <c r="B362" s="914"/>
      <c r="C362" s="914"/>
      <c r="D362" s="914"/>
      <c r="E362" s="914"/>
      <c r="F362" s="914"/>
      <c r="G362" s="914"/>
      <c r="H362" s="589"/>
      <c r="I362" s="589"/>
      <c r="J362" s="465" t="e">
        <f>SUM(J348:J358)*1000/(24*7*C25)</f>
        <v>#DIV/0!</v>
      </c>
      <c r="K362" s="36" t="s">
        <v>296</v>
      </c>
      <c r="N362" s="291"/>
      <c r="O362" s="164"/>
      <c r="P362" s="164"/>
      <c r="Q362" s="164"/>
      <c r="R362" s="164"/>
      <c r="S362" s="164"/>
      <c r="T362" s="164"/>
      <c r="U362" s="164"/>
      <c r="V362" s="164"/>
      <c r="W362" s="164"/>
      <c r="X362" s="164"/>
      <c r="Y362" s="164"/>
      <c r="Z362" s="164"/>
      <c r="AA362" s="164"/>
      <c r="AB362" s="164"/>
      <c r="AC362" s="164"/>
      <c r="AD362" s="164"/>
      <c r="AE362" s="164"/>
      <c r="AF362" s="164"/>
      <c r="AG362" s="164"/>
      <c r="AH362" s="164"/>
      <c r="AI362" s="164"/>
      <c r="AJ362" s="164"/>
      <c r="AK362" s="164"/>
      <c r="AL362" s="164"/>
    </row>
    <row r="363" spans="1:64" x14ac:dyDescent="0.3">
      <c r="K363" s="73"/>
      <c r="N363" s="291" t="s">
        <v>474</v>
      </c>
      <c r="O363" s="164">
        <f t="shared" ref="O363:AL363" si="191">((O$334+O$338+O$344+O$348+O$352)*22+(O$335+O$341+O$345+O$349+O$353+O$336+O$342+O$346+O$350+O$354)*4)</f>
        <v>0</v>
      </c>
      <c r="P363" s="164">
        <f t="shared" si="191"/>
        <v>0</v>
      </c>
      <c r="Q363" s="164">
        <f t="shared" si="191"/>
        <v>0</v>
      </c>
      <c r="R363" s="164">
        <f t="shared" si="191"/>
        <v>0</v>
      </c>
      <c r="S363" s="164">
        <f t="shared" si="191"/>
        <v>0</v>
      </c>
      <c r="T363" s="164">
        <f t="shared" si="191"/>
        <v>0</v>
      </c>
      <c r="U363" s="164">
        <f t="shared" si="191"/>
        <v>0</v>
      </c>
      <c r="V363" s="164">
        <f t="shared" si="191"/>
        <v>0</v>
      </c>
      <c r="W363" s="164">
        <f t="shared" si="191"/>
        <v>0</v>
      </c>
      <c r="X363" s="164">
        <f t="shared" si="191"/>
        <v>0</v>
      </c>
      <c r="Y363" s="164">
        <f t="shared" si="191"/>
        <v>0</v>
      </c>
      <c r="Z363" s="164">
        <f t="shared" si="191"/>
        <v>0</v>
      </c>
      <c r="AA363" s="164">
        <f t="shared" si="191"/>
        <v>0</v>
      </c>
      <c r="AB363" s="164">
        <f t="shared" si="191"/>
        <v>0</v>
      </c>
      <c r="AC363" s="164">
        <f t="shared" si="191"/>
        <v>0</v>
      </c>
      <c r="AD363" s="164">
        <f t="shared" si="191"/>
        <v>0</v>
      </c>
      <c r="AE363" s="164">
        <f t="shared" si="191"/>
        <v>0</v>
      </c>
      <c r="AF363" s="164">
        <f t="shared" si="191"/>
        <v>0</v>
      </c>
      <c r="AG363" s="164">
        <f t="shared" si="191"/>
        <v>0</v>
      </c>
      <c r="AH363" s="164">
        <f t="shared" si="191"/>
        <v>0</v>
      </c>
      <c r="AI363" s="164">
        <f t="shared" si="191"/>
        <v>0</v>
      </c>
      <c r="AJ363" s="164">
        <f t="shared" si="191"/>
        <v>0</v>
      </c>
      <c r="AK363" s="164">
        <f t="shared" si="191"/>
        <v>0</v>
      </c>
      <c r="AL363" s="164">
        <f t="shared" si="191"/>
        <v>0</v>
      </c>
    </row>
    <row r="364" spans="1:64" x14ac:dyDescent="0.3">
      <c r="A364" s="637" t="s">
        <v>543</v>
      </c>
      <c r="B364" s="637"/>
      <c r="C364" s="637"/>
      <c r="D364" s="637"/>
      <c r="E364" s="637"/>
      <c r="F364" s="637"/>
      <c r="G364" s="637"/>
      <c r="H364" s="637"/>
      <c r="I364" s="716"/>
      <c r="J364" s="716"/>
      <c r="K364" s="716"/>
      <c r="L364" s="716"/>
      <c r="M364" s="199"/>
      <c r="N364" s="291" t="s">
        <v>475</v>
      </c>
      <c r="O364" s="164">
        <f t="shared" ref="O364:X365" si="192">((O$334+O$338+O$344+O$348+O$352)*23+(O$335+O$341+O$345+O$349+O$353+O$336+O$342+O$346+O$350+O$354)*4)</f>
        <v>0</v>
      </c>
      <c r="P364" s="164">
        <f t="shared" si="192"/>
        <v>0</v>
      </c>
      <c r="Q364" s="164">
        <f t="shared" si="192"/>
        <v>0</v>
      </c>
      <c r="R364" s="164">
        <f t="shared" si="192"/>
        <v>0</v>
      </c>
      <c r="S364" s="164">
        <f t="shared" si="192"/>
        <v>0</v>
      </c>
      <c r="T364" s="164">
        <f t="shared" si="192"/>
        <v>0</v>
      </c>
      <c r="U364" s="164">
        <f t="shared" si="192"/>
        <v>0</v>
      </c>
      <c r="V364" s="164">
        <f t="shared" si="192"/>
        <v>0</v>
      </c>
      <c r="W364" s="164">
        <f t="shared" si="192"/>
        <v>0</v>
      </c>
      <c r="X364" s="164">
        <f t="shared" si="192"/>
        <v>0</v>
      </c>
      <c r="Y364" s="164">
        <f t="shared" ref="Y364:AL365" si="193">((Y$334+Y$338+Y$344+Y$348+Y$352)*23+(Y$335+Y$341+Y$345+Y$349+Y$353+Y$336+Y$342+Y$346+Y$350+Y$354)*4)</f>
        <v>0</v>
      </c>
      <c r="Z364" s="164">
        <f t="shared" si="193"/>
        <v>0</v>
      </c>
      <c r="AA364" s="164">
        <f t="shared" si="193"/>
        <v>0</v>
      </c>
      <c r="AB364" s="164">
        <f t="shared" si="193"/>
        <v>0</v>
      </c>
      <c r="AC364" s="164">
        <f t="shared" si="193"/>
        <v>0</v>
      </c>
      <c r="AD364" s="164">
        <f t="shared" si="193"/>
        <v>0</v>
      </c>
      <c r="AE364" s="164">
        <f t="shared" si="193"/>
        <v>0</v>
      </c>
      <c r="AF364" s="164">
        <f t="shared" si="193"/>
        <v>0</v>
      </c>
      <c r="AG364" s="164">
        <f t="shared" si="193"/>
        <v>0</v>
      </c>
      <c r="AH364" s="164">
        <f t="shared" si="193"/>
        <v>0</v>
      </c>
      <c r="AI364" s="164">
        <f t="shared" si="193"/>
        <v>0</v>
      </c>
      <c r="AJ364" s="164">
        <f t="shared" si="193"/>
        <v>0</v>
      </c>
      <c r="AK364" s="164">
        <f t="shared" si="193"/>
        <v>0</v>
      </c>
      <c r="AL364" s="164">
        <f t="shared" si="193"/>
        <v>0</v>
      </c>
    </row>
    <row r="365" spans="1:64" x14ac:dyDescent="0.3">
      <c r="A365" s="637" t="s">
        <v>544</v>
      </c>
      <c r="B365" s="637"/>
      <c r="C365" s="637"/>
      <c r="D365" s="637"/>
      <c r="E365" s="637"/>
      <c r="F365" s="637"/>
      <c r="G365" s="637"/>
      <c r="H365" s="637"/>
      <c r="I365" s="716"/>
      <c r="J365" s="716"/>
      <c r="K365" s="716"/>
      <c r="L365" s="716"/>
      <c r="M365" s="199"/>
      <c r="N365" s="291" t="s">
        <v>476</v>
      </c>
      <c r="O365" s="164">
        <f t="shared" si="192"/>
        <v>0</v>
      </c>
      <c r="P365" s="164">
        <f t="shared" si="192"/>
        <v>0</v>
      </c>
      <c r="Q365" s="164">
        <f t="shared" si="192"/>
        <v>0</v>
      </c>
      <c r="R365" s="164">
        <f t="shared" si="192"/>
        <v>0</v>
      </c>
      <c r="S365" s="164">
        <f t="shared" si="192"/>
        <v>0</v>
      </c>
      <c r="T365" s="164">
        <f t="shared" si="192"/>
        <v>0</v>
      </c>
      <c r="U365" s="164">
        <f t="shared" si="192"/>
        <v>0</v>
      </c>
      <c r="V365" s="164">
        <f t="shared" si="192"/>
        <v>0</v>
      </c>
      <c r="W365" s="164">
        <f t="shared" si="192"/>
        <v>0</v>
      </c>
      <c r="X365" s="164">
        <f t="shared" si="192"/>
        <v>0</v>
      </c>
      <c r="Y365" s="164">
        <f t="shared" si="193"/>
        <v>0</v>
      </c>
      <c r="Z365" s="164">
        <f t="shared" si="193"/>
        <v>0</v>
      </c>
      <c r="AA365" s="164">
        <f t="shared" si="193"/>
        <v>0</v>
      </c>
      <c r="AB365" s="164">
        <f t="shared" si="193"/>
        <v>0</v>
      </c>
      <c r="AC365" s="164">
        <f t="shared" si="193"/>
        <v>0</v>
      </c>
      <c r="AD365" s="164">
        <f t="shared" si="193"/>
        <v>0</v>
      </c>
      <c r="AE365" s="164">
        <f t="shared" si="193"/>
        <v>0</v>
      </c>
      <c r="AF365" s="164">
        <f t="shared" si="193"/>
        <v>0</v>
      </c>
      <c r="AG365" s="164">
        <f t="shared" si="193"/>
        <v>0</v>
      </c>
      <c r="AH365" s="164">
        <f t="shared" si="193"/>
        <v>0</v>
      </c>
      <c r="AI365" s="164">
        <f t="shared" si="193"/>
        <v>0</v>
      </c>
      <c r="AJ365" s="164">
        <f t="shared" si="193"/>
        <v>0</v>
      </c>
      <c r="AK365" s="164">
        <f t="shared" si="193"/>
        <v>0</v>
      </c>
      <c r="AL365" s="164">
        <f t="shared" si="193"/>
        <v>0</v>
      </c>
    </row>
    <row r="366" spans="1:64" x14ac:dyDescent="0.3">
      <c r="A366" s="859" t="s">
        <v>1077</v>
      </c>
      <c r="B366" s="742"/>
      <c r="C366" s="743"/>
      <c r="D366" s="915" t="s">
        <v>1078</v>
      </c>
      <c r="E366" s="852" t="s">
        <v>53</v>
      </c>
      <c r="F366" s="852" t="s">
        <v>54</v>
      </c>
      <c r="G366" s="852" t="s">
        <v>55</v>
      </c>
      <c r="H366" s="852" t="s">
        <v>56</v>
      </c>
      <c r="I366" s="852" t="s">
        <v>57</v>
      </c>
      <c r="J366" s="852" t="s">
        <v>58</v>
      </c>
      <c r="K366" s="852" t="s">
        <v>653</v>
      </c>
      <c r="N366" s="291" t="s">
        <v>477</v>
      </c>
      <c r="O366" s="164">
        <f t="shared" ref="O366:AL366" si="194">((O$334+O$338+O$344+O$348+O$352)*22+(O$335+O$341+O$345+O$349+O$353+O$336+O$342+O$346+O$350+O$354)*4)</f>
        <v>0</v>
      </c>
      <c r="P366" s="164">
        <f t="shared" si="194"/>
        <v>0</v>
      </c>
      <c r="Q366" s="164">
        <f t="shared" si="194"/>
        <v>0</v>
      </c>
      <c r="R366" s="164">
        <f t="shared" si="194"/>
        <v>0</v>
      </c>
      <c r="S366" s="164">
        <f t="shared" si="194"/>
        <v>0</v>
      </c>
      <c r="T366" s="164">
        <f t="shared" si="194"/>
        <v>0</v>
      </c>
      <c r="U366" s="164">
        <f t="shared" si="194"/>
        <v>0</v>
      </c>
      <c r="V366" s="164">
        <f t="shared" si="194"/>
        <v>0</v>
      </c>
      <c r="W366" s="164">
        <f t="shared" si="194"/>
        <v>0</v>
      </c>
      <c r="X366" s="164">
        <f t="shared" si="194"/>
        <v>0</v>
      </c>
      <c r="Y366" s="164">
        <f t="shared" si="194"/>
        <v>0</v>
      </c>
      <c r="Z366" s="164">
        <f t="shared" si="194"/>
        <v>0</v>
      </c>
      <c r="AA366" s="164">
        <f t="shared" si="194"/>
        <v>0</v>
      </c>
      <c r="AB366" s="164">
        <f t="shared" si="194"/>
        <v>0</v>
      </c>
      <c r="AC366" s="164">
        <f t="shared" si="194"/>
        <v>0</v>
      </c>
      <c r="AD366" s="164">
        <f t="shared" si="194"/>
        <v>0</v>
      </c>
      <c r="AE366" s="164">
        <f t="shared" si="194"/>
        <v>0</v>
      </c>
      <c r="AF366" s="164">
        <f t="shared" si="194"/>
        <v>0</v>
      </c>
      <c r="AG366" s="164">
        <f t="shared" si="194"/>
        <v>0</v>
      </c>
      <c r="AH366" s="164">
        <f t="shared" si="194"/>
        <v>0</v>
      </c>
      <c r="AI366" s="164">
        <f t="shared" si="194"/>
        <v>0</v>
      </c>
      <c r="AJ366" s="164">
        <f t="shared" si="194"/>
        <v>0</v>
      </c>
      <c r="AK366" s="164">
        <f t="shared" si="194"/>
        <v>0</v>
      </c>
      <c r="AL366" s="164">
        <f t="shared" si="194"/>
        <v>0</v>
      </c>
    </row>
    <row r="367" spans="1:64" x14ac:dyDescent="0.3">
      <c r="A367" s="860"/>
      <c r="B367" s="861"/>
      <c r="C367" s="862"/>
      <c r="D367" s="916"/>
      <c r="E367" s="853"/>
      <c r="F367" s="853"/>
      <c r="G367" s="853"/>
      <c r="H367" s="853"/>
      <c r="I367" s="853"/>
      <c r="J367" s="853"/>
      <c r="K367" s="853"/>
      <c r="N367" s="290" t="s">
        <v>478</v>
      </c>
      <c r="O367" s="159">
        <f t="shared" ref="O367:AL367" si="195">((O$334+O$338+O$344+O$348+O$352)*23+(O$335+O$341+O$345+O$349+O$353+O$336+O$342+O$346+O$350+O$354)*4)</f>
        <v>0</v>
      </c>
      <c r="P367" s="159">
        <f t="shared" si="195"/>
        <v>0</v>
      </c>
      <c r="Q367" s="159">
        <f t="shared" si="195"/>
        <v>0</v>
      </c>
      <c r="R367" s="159">
        <f t="shared" si="195"/>
        <v>0</v>
      </c>
      <c r="S367" s="159">
        <f t="shared" si="195"/>
        <v>0</v>
      </c>
      <c r="T367" s="159">
        <f t="shared" si="195"/>
        <v>0</v>
      </c>
      <c r="U367" s="159">
        <f t="shared" si="195"/>
        <v>0</v>
      </c>
      <c r="V367" s="159">
        <f t="shared" si="195"/>
        <v>0</v>
      </c>
      <c r="W367" s="159">
        <f t="shared" si="195"/>
        <v>0</v>
      </c>
      <c r="X367" s="159">
        <f t="shared" si="195"/>
        <v>0</v>
      </c>
      <c r="Y367" s="159">
        <f t="shared" si="195"/>
        <v>0</v>
      </c>
      <c r="Z367" s="159">
        <f t="shared" si="195"/>
        <v>0</v>
      </c>
      <c r="AA367" s="159">
        <f t="shared" si="195"/>
        <v>0</v>
      </c>
      <c r="AB367" s="159">
        <f t="shared" si="195"/>
        <v>0</v>
      </c>
      <c r="AC367" s="159">
        <f t="shared" si="195"/>
        <v>0</v>
      </c>
      <c r="AD367" s="159">
        <f t="shared" si="195"/>
        <v>0</v>
      </c>
      <c r="AE367" s="159">
        <f t="shared" si="195"/>
        <v>0</v>
      </c>
      <c r="AF367" s="159">
        <f t="shared" si="195"/>
        <v>0</v>
      </c>
      <c r="AG367" s="159">
        <f t="shared" si="195"/>
        <v>0</v>
      </c>
      <c r="AH367" s="159">
        <f t="shared" si="195"/>
        <v>0</v>
      </c>
      <c r="AI367" s="159">
        <f t="shared" si="195"/>
        <v>0</v>
      </c>
      <c r="AJ367" s="159">
        <f t="shared" si="195"/>
        <v>0</v>
      </c>
      <c r="AK367" s="159">
        <f t="shared" si="195"/>
        <v>0</v>
      </c>
      <c r="AL367" s="159">
        <f t="shared" si="195"/>
        <v>0</v>
      </c>
    </row>
    <row r="368" spans="1:64" x14ac:dyDescent="0.3">
      <c r="A368" s="860"/>
      <c r="B368" s="861"/>
      <c r="C368" s="862"/>
      <c r="D368" s="916"/>
      <c r="E368" s="853"/>
      <c r="F368" s="853"/>
      <c r="G368" s="853"/>
      <c r="H368" s="853"/>
      <c r="I368" s="853"/>
      <c r="J368" s="853"/>
      <c r="K368" s="853"/>
      <c r="N368" s="290" t="s">
        <v>479</v>
      </c>
      <c r="O368" s="159">
        <f t="shared" ref="O368:AL368" si="196">((O$334+O$338+O$344+O$348+O$352)*22+(O$335+O$341+O$345+O$349+O$353+O$336+O$342+O$346+O$350+O$354)*4)</f>
        <v>0</v>
      </c>
      <c r="P368" s="159">
        <f t="shared" si="196"/>
        <v>0</v>
      </c>
      <c r="Q368" s="159">
        <f t="shared" si="196"/>
        <v>0</v>
      </c>
      <c r="R368" s="159">
        <f t="shared" si="196"/>
        <v>0</v>
      </c>
      <c r="S368" s="159">
        <f t="shared" si="196"/>
        <v>0</v>
      </c>
      <c r="T368" s="159">
        <f t="shared" si="196"/>
        <v>0</v>
      </c>
      <c r="U368" s="159">
        <f t="shared" si="196"/>
        <v>0</v>
      </c>
      <c r="V368" s="159">
        <f t="shared" si="196"/>
        <v>0</v>
      </c>
      <c r="W368" s="159">
        <f t="shared" si="196"/>
        <v>0</v>
      </c>
      <c r="X368" s="159">
        <f t="shared" si="196"/>
        <v>0</v>
      </c>
      <c r="Y368" s="159">
        <f t="shared" si="196"/>
        <v>0</v>
      </c>
      <c r="Z368" s="159">
        <f t="shared" si="196"/>
        <v>0</v>
      </c>
      <c r="AA368" s="159">
        <f t="shared" si="196"/>
        <v>0</v>
      </c>
      <c r="AB368" s="159">
        <f t="shared" si="196"/>
        <v>0</v>
      </c>
      <c r="AC368" s="159">
        <f t="shared" si="196"/>
        <v>0</v>
      </c>
      <c r="AD368" s="159">
        <f t="shared" si="196"/>
        <v>0</v>
      </c>
      <c r="AE368" s="159">
        <f t="shared" si="196"/>
        <v>0</v>
      </c>
      <c r="AF368" s="159">
        <f t="shared" si="196"/>
        <v>0</v>
      </c>
      <c r="AG368" s="159">
        <f t="shared" si="196"/>
        <v>0</v>
      </c>
      <c r="AH368" s="159">
        <f t="shared" si="196"/>
        <v>0</v>
      </c>
      <c r="AI368" s="159">
        <f t="shared" si="196"/>
        <v>0</v>
      </c>
      <c r="AJ368" s="159">
        <f t="shared" si="196"/>
        <v>0</v>
      </c>
      <c r="AK368" s="159">
        <f t="shared" si="196"/>
        <v>0</v>
      </c>
      <c r="AL368" s="159">
        <f t="shared" si="196"/>
        <v>0</v>
      </c>
    </row>
    <row r="369" spans="1:69" x14ac:dyDescent="0.3">
      <c r="A369" s="860"/>
      <c r="B369" s="861"/>
      <c r="C369" s="862"/>
      <c r="D369" s="917"/>
      <c r="E369" s="854"/>
      <c r="F369" s="854"/>
      <c r="G369" s="854"/>
      <c r="H369" s="854"/>
      <c r="I369" s="854"/>
      <c r="J369" s="854"/>
      <c r="K369" s="854"/>
      <c r="N369" s="290" t="s">
        <v>480</v>
      </c>
      <c r="O369" s="159">
        <f t="shared" ref="O369:AL369" si="197">((O$334+O$338+O$344+O$348+O$352)*23+(O$335+O$341+O$345+O$349+O$353+O$336+O$342+O$346+O$350+O$354)*4)</f>
        <v>0</v>
      </c>
      <c r="P369" s="159">
        <f t="shared" si="197"/>
        <v>0</v>
      </c>
      <c r="Q369" s="159">
        <f t="shared" si="197"/>
        <v>0</v>
      </c>
      <c r="R369" s="159">
        <f t="shared" si="197"/>
        <v>0</v>
      </c>
      <c r="S369" s="159">
        <f t="shared" si="197"/>
        <v>0</v>
      </c>
      <c r="T369" s="159">
        <f t="shared" si="197"/>
        <v>0</v>
      </c>
      <c r="U369" s="159">
        <f t="shared" si="197"/>
        <v>0</v>
      </c>
      <c r="V369" s="159">
        <f t="shared" si="197"/>
        <v>0</v>
      </c>
      <c r="W369" s="159">
        <f t="shared" si="197"/>
        <v>0</v>
      </c>
      <c r="X369" s="159">
        <f t="shared" si="197"/>
        <v>0</v>
      </c>
      <c r="Y369" s="159">
        <f t="shared" si="197"/>
        <v>0</v>
      </c>
      <c r="Z369" s="159">
        <f t="shared" si="197"/>
        <v>0</v>
      </c>
      <c r="AA369" s="159">
        <f t="shared" si="197"/>
        <v>0</v>
      </c>
      <c r="AB369" s="159">
        <f t="shared" si="197"/>
        <v>0</v>
      </c>
      <c r="AC369" s="159">
        <f t="shared" si="197"/>
        <v>0</v>
      </c>
      <c r="AD369" s="159">
        <f t="shared" si="197"/>
        <v>0</v>
      </c>
      <c r="AE369" s="159">
        <f t="shared" si="197"/>
        <v>0</v>
      </c>
      <c r="AF369" s="159">
        <f t="shared" si="197"/>
        <v>0</v>
      </c>
      <c r="AG369" s="159">
        <f t="shared" si="197"/>
        <v>0</v>
      </c>
      <c r="AH369" s="159">
        <f t="shared" si="197"/>
        <v>0</v>
      </c>
      <c r="AI369" s="159">
        <f t="shared" si="197"/>
        <v>0</v>
      </c>
      <c r="AJ369" s="159">
        <f t="shared" si="197"/>
        <v>0</v>
      </c>
      <c r="AK369" s="159">
        <f t="shared" si="197"/>
        <v>0</v>
      </c>
      <c r="AL369" s="159">
        <f t="shared" si="197"/>
        <v>0</v>
      </c>
    </row>
    <row r="370" spans="1:69" ht="18" x14ac:dyDescent="0.3">
      <c r="A370" s="733"/>
      <c r="B370" s="734"/>
      <c r="C370" s="735"/>
      <c r="D370" s="9" t="s">
        <v>1079</v>
      </c>
      <c r="E370" s="9" t="s">
        <v>1080</v>
      </c>
      <c r="F370" s="9" t="s">
        <v>1080</v>
      </c>
      <c r="G370" s="9" t="s">
        <v>1081</v>
      </c>
      <c r="H370" s="9" t="s">
        <v>950</v>
      </c>
      <c r="I370" s="9" t="s">
        <v>1084</v>
      </c>
      <c r="J370" s="9" t="s">
        <v>945</v>
      </c>
      <c r="K370" s="9" t="s">
        <v>647</v>
      </c>
    </row>
    <row r="371" spans="1:69" x14ac:dyDescent="0.3">
      <c r="A371" s="696" t="s">
        <v>545</v>
      </c>
      <c r="B371" s="696"/>
      <c r="C371" s="696"/>
      <c r="D371" s="104">
        <v>0</v>
      </c>
      <c r="E371" s="104">
        <v>0.2</v>
      </c>
      <c r="F371" s="9">
        <f>D371*E371</f>
        <v>0</v>
      </c>
      <c r="G371" s="104">
        <v>24</v>
      </c>
      <c r="H371" s="104">
        <v>1</v>
      </c>
      <c r="I371" s="9">
        <f>F371*G371*H371</f>
        <v>0</v>
      </c>
      <c r="J371" s="9">
        <f>I371/24</f>
        <v>0</v>
      </c>
      <c r="K371" s="9" t="e">
        <f>F371/C$25*1000</f>
        <v>#DIV/0!</v>
      </c>
    </row>
    <row r="372" spans="1:69" x14ac:dyDescent="0.3">
      <c r="A372" s="696" t="s">
        <v>547</v>
      </c>
      <c r="B372" s="696"/>
      <c r="C372" s="696"/>
      <c r="D372" s="104">
        <v>0</v>
      </c>
      <c r="E372" s="104">
        <v>0.2</v>
      </c>
      <c r="F372" s="9">
        <f>D372*E372</f>
        <v>0</v>
      </c>
      <c r="G372" s="104">
        <v>24</v>
      </c>
      <c r="H372" s="104">
        <v>1</v>
      </c>
      <c r="I372" s="9">
        <f>F372*G372*H372</f>
        <v>0</v>
      </c>
      <c r="J372" s="9">
        <f>I372/24</f>
        <v>0</v>
      </c>
      <c r="K372" s="9" t="e">
        <f>F372/C$25*1000</f>
        <v>#DIV/0!</v>
      </c>
    </row>
    <row r="373" spans="1:69" x14ac:dyDescent="0.3">
      <c r="A373" s="696" t="s">
        <v>546</v>
      </c>
      <c r="B373" s="696"/>
      <c r="C373" s="696"/>
      <c r="D373" s="104">
        <v>0</v>
      </c>
      <c r="E373" s="104">
        <v>0.2</v>
      </c>
      <c r="F373" s="9">
        <f>D373*E373</f>
        <v>0</v>
      </c>
      <c r="G373" s="104">
        <v>24</v>
      </c>
      <c r="H373" s="104">
        <v>1</v>
      </c>
      <c r="I373" s="9">
        <f>F373*G373*H373</f>
        <v>0</v>
      </c>
      <c r="J373" s="9">
        <f>I373/24</f>
        <v>0</v>
      </c>
      <c r="K373" s="9" t="e">
        <f>F373/C$25*1000</f>
        <v>#DIV/0!</v>
      </c>
    </row>
    <row r="374" spans="1:69" x14ac:dyDescent="0.3">
      <c r="A374" s="696" t="s">
        <v>548</v>
      </c>
      <c r="B374" s="696"/>
      <c r="C374" s="696"/>
      <c r="D374" s="104">
        <v>0</v>
      </c>
      <c r="E374" s="104">
        <v>0.5</v>
      </c>
      <c r="F374" s="9">
        <f>D374*E374</f>
        <v>0</v>
      </c>
      <c r="G374" s="104">
        <f>B253-A253</f>
        <v>0</v>
      </c>
      <c r="H374" s="104">
        <v>1</v>
      </c>
      <c r="I374" s="9">
        <f>F374*G374*H374</f>
        <v>0</v>
      </c>
      <c r="J374" s="9">
        <f>I374/24</f>
        <v>0</v>
      </c>
      <c r="K374" s="9" t="e">
        <f>F374/C$25*1000</f>
        <v>#DIV/0!</v>
      </c>
    </row>
    <row r="376" spans="1:69" ht="18" x14ac:dyDescent="0.35">
      <c r="A376" s="783" t="s">
        <v>301</v>
      </c>
      <c r="B376" s="784"/>
      <c r="C376" s="784"/>
      <c r="D376" s="784"/>
      <c r="E376" s="784"/>
      <c r="F376" s="784"/>
      <c r="G376" s="784"/>
      <c r="H376" s="784"/>
      <c r="I376" s="784"/>
      <c r="J376" s="784"/>
      <c r="K376" s="784"/>
      <c r="L376" s="589"/>
      <c r="M376" s="199"/>
      <c r="N376" s="207"/>
      <c r="O376" s="207"/>
      <c r="P376" s="423"/>
      <c r="Q376" s="424"/>
      <c r="R376" s="207"/>
      <c r="S376" s="207"/>
      <c r="T376" s="207"/>
      <c r="U376" s="207"/>
      <c r="V376" s="207"/>
      <c r="W376" s="207"/>
      <c r="X376" s="207"/>
      <c r="Y376" s="207"/>
      <c r="Z376" s="207"/>
      <c r="AA376" s="207"/>
      <c r="AB376" s="207"/>
      <c r="AC376" s="207"/>
      <c r="AD376" s="207"/>
      <c r="AE376" s="207"/>
      <c r="AF376" s="207"/>
      <c r="AG376" s="207"/>
      <c r="AH376" s="207"/>
      <c r="AI376" s="207"/>
      <c r="AJ376" s="207"/>
      <c r="AK376" s="207"/>
      <c r="AL376" s="207"/>
      <c r="AM376" s="207"/>
      <c r="AN376" s="207"/>
      <c r="AO376" s="207"/>
      <c r="AP376" s="425"/>
    </row>
    <row r="377" spans="1:69" ht="18" x14ac:dyDescent="0.35">
      <c r="A377" s="644" t="s">
        <v>298</v>
      </c>
      <c r="B377" s="766"/>
      <c r="C377" s="766"/>
      <c r="D377" s="766"/>
      <c r="E377" s="766"/>
      <c r="F377" s="766"/>
      <c r="G377" s="766"/>
      <c r="H377" s="766"/>
      <c r="I377" s="766"/>
      <c r="J377" s="766"/>
      <c r="K377" s="766"/>
      <c r="L377" s="589"/>
      <c r="M377" s="199"/>
      <c r="N377" s="207"/>
      <c r="O377" s="207"/>
      <c r="P377" s="423"/>
      <c r="Q377" s="424"/>
      <c r="R377" s="207"/>
      <c r="S377" s="207"/>
      <c r="T377" s="207"/>
      <c r="U377" s="207"/>
      <c r="V377" s="207"/>
      <c r="W377" s="207"/>
      <c r="X377" s="207"/>
      <c r="Y377" s="207"/>
      <c r="Z377" s="207"/>
      <c r="AA377" s="207"/>
      <c r="AB377" s="207"/>
      <c r="AC377" s="207"/>
      <c r="AD377" s="207"/>
      <c r="AE377" s="207"/>
      <c r="AF377" s="207"/>
      <c r="AG377" s="207"/>
      <c r="AH377" s="207"/>
      <c r="AI377" s="207"/>
      <c r="AJ377" s="207"/>
      <c r="AK377" s="207"/>
      <c r="AL377" s="207"/>
      <c r="AM377" s="207"/>
      <c r="AN377" s="207"/>
      <c r="AO377" s="207"/>
      <c r="AP377" s="425"/>
    </row>
    <row r="378" spans="1:69" ht="18" x14ac:dyDescent="0.35">
      <c r="A378" s="644" t="s">
        <v>329</v>
      </c>
      <c r="B378" s="766"/>
      <c r="C378" s="766"/>
      <c r="D378" s="766"/>
      <c r="E378" s="766"/>
      <c r="F378" s="766"/>
      <c r="G378" s="766"/>
      <c r="H378" s="766"/>
      <c r="I378" s="766"/>
      <c r="J378" s="766"/>
      <c r="K378" s="766"/>
      <c r="L378" s="589"/>
      <c r="M378" s="199"/>
      <c r="N378" s="207"/>
      <c r="O378" s="207"/>
      <c r="P378" s="411"/>
      <c r="Q378" s="422"/>
      <c r="R378" s="208"/>
      <c r="S378" s="208"/>
      <c r="T378" s="208"/>
      <c r="U378" s="208"/>
      <c r="V378" s="208"/>
      <c r="W378" s="208"/>
      <c r="X378" s="208"/>
      <c r="Y378" s="208"/>
      <c r="Z378" s="208"/>
      <c r="AA378" s="208"/>
      <c r="AB378" s="208"/>
      <c r="AC378" s="208"/>
      <c r="AD378" s="208"/>
      <c r="AE378" s="208"/>
      <c r="AF378" s="208"/>
      <c r="AG378" s="208"/>
      <c r="AH378" s="208"/>
      <c r="AI378" s="208"/>
      <c r="AJ378" s="208"/>
      <c r="AK378" s="208"/>
      <c r="AL378" s="208"/>
      <c r="AM378" s="208"/>
      <c r="AN378" s="208"/>
      <c r="AO378" s="208"/>
      <c r="AP378" s="425"/>
    </row>
    <row r="379" spans="1:69" ht="18" x14ac:dyDescent="0.35">
      <c r="A379" s="644" t="s">
        <v>330</v>
      </c>
      <c r="B379" s="766"/>
      <c r="C379" s="766"/>
      <c r="D379" s="766"/>
      <c r="E379" s="766"/>
      <c r="F379" s="766"/>
      <c r="G379" s="766"/>
      <c r="H379" s="766"/>
      <c r="I379" s="766"/>
      <c r="J379" s="766"/>
      <c r="K379" s="766"/>
      <c r="L379" s="589"/>
      <c r="M379" s="199"/>
      <c r="N379" s="207"/>
      <c r="O379" s="207"/>
      <c r="P379" s="426"/>
      <c r="Q379" s="427"/>
      <c r="R379" s="293"/>
      <c r="S379" s="293"/>
      <c r="T379" s="293"/>
      <c r="U379" s="293"/>
      <c r="V379" s="293"/>
      <c r="W379" s="293"/>
      <c r="X379" s="293"/>
      <c r="Y379" s="293"/>
      <c r="Z379" s="293"/>
      <c r="AA379" s="293"/>
      <c r="AB379" s="293"/>
      <c r="AC379" s="293"/>
      <c r="AD379" s="293"/>
      <c r="AE379" s="293"/>
      <c r="AF379" s="293"/>
      <c r="AG379" s="293"/>
      <c r="AH379" s="293"/>
      <c r="AI379" s="293"/>
      <c r="AJ379" s="293"/>
      <c r="AK379" s="293"/>
      <c r="AL379" s="293"/>
      <c r="AM379" s="293"/>
      <c r="AN379" s="293"/>
      <c r="AO379" s="293"/>
      <c r="AP379" s="425"/>
    </row>
    <row r="380" spans="1:69" x14ac:dyDescent="0.3">
      <c r="N380" s="207"/>
      <c r="O380" s="207"/>
      <c r="P380" s="426"/>
      <c r="Q380" s="427"/>
      <c r="R380" s="293"/>
      <c r="S380" s="293"/>
      <c r="T380" s="293"/>
      <c r="U380" s="293"/>
      <c r="V380" s="293"/>
      <c r="W380" s="293"/>
      <c r="X380" s="293"/>
      <c r="Y380" s="293"/>
      <c r="Z380" s="293"/>
      <c r="AA380" s="293"/>
      <c r="AB380" s="293"/>
      <c r="AC380" s="293"/>
      <c r="AD380" s="293"/>
      <c r="AE380" s="293"/>
      <c r="AF380" s="293"/>
      <c r="AG380" s="293"/>
      <c r="AH380" s="293"/>
      <c r="AI380" s="293"/>
      <c r="AJ380" s="293"/>
      <c r="AK380" s="293"/>
      <c r="AL380" s="293"/>
      <c r="AM380" s="293"/>
      <c r="AN380" s="293"/>
      <c r="AO380" s="293"/>
      <c r="AP380" s="425"/>
    </row>
    <row r="381" spans="1:69" ht="18" x14ac:dyDescent="0.35">
      <c r="A381" s="667" t="s">
        <v>1170</v>
      </c>
      <c r="B381" s="762"/>
      <c r="C381" s="762"/>
      <c r="D381" s="762"/>
      <c r="E381" s="762"/>
      <c r="F381" s="762"/>
      <c r="G381" s="762"/>
      <c r="H381" s="762"/>
      <c r="I381" s="762"/>
      <c r="J381" s="762"/>
      <c r="K381" s="762"/>
      <c r="L381" s="589"/>
      <c r="M381" s="199"/>
      <c r="N381" s="207"/>
      <c r="O381" s="207"/>
      <c r="P381" s="411"/>
      <c r="Q381" s="422"/>
      <c r="R381" s="445"/>
      <c r="S381" s="445"/>
      <c r="T381" s="445"/>
      <c r="U381" s="445"/>
      <c r="V381" s="445"/>
      <c r="W381" s="445"/>
      <c r="X381" s="445"/>
      <c r="Y381" s="445"/>
      <c r="Z381" s="445"/>
      <c r="AA381" s="445"/>
      <c r="AB381" s="445"/>
      <c r="AC381" s="445"/>
      <c r="AD381" s="445"/>
      <c r="AE381" s="445"/>
      <c r="AF381" s="445"/>
      <c r="AG381" s="445"/>
      <c r="AH381" s="445"/>
      <c r="AI381" s="445"/>
      <c r="AJ381" s="445"/>
      <c r="AK381" s="445"/>
      <c r="AL381" s="445"/>
      <c r="AM381" s="445"/>
      <c r="AN381" s="445"/>
      <c r="AO381" s="445"/>
      <c r="AP381" s="425"/>
    </row>
    <row r="382" spans="1:69" ht="18" x14ac:dyDescent="0.35">
      <c r="A382" s="667" t="s">
        <v>1163</v>
      </c>
      <c r="B382" s="762"/>
      <c r="C382" s="762"/>
      <c r="D382" s="762"/>
      <c r="E382" s="762"/>
      <c r="F382" s="762"/>
      <c r="G382" s="762"/>
      <c r="H382" s="762"/>
      <c r="I382" s="762"/>
      <c r="J382" s="762"/>
      <c r="K382" s="762"/>
      <c r="L382" s="589"/>
      <c r="M382" s="199"/>
      <c r="N382" s="207"/>
      <c r="O382" s="207"/>
      <c r="P382" s="446"/>
      <c r="Q382" s="446"/>
      <c r="R382" s="446"/>
      <c r="S382" s="446"/>
      <c r="T382" s="446"/>
      <c r="U382" s="446"/>
      <c r="V382" s="446"/>
      <c r="W382" s="446"/>
      <c r="X382" s="446"/>
      <c r="Y382" s="446"/>
      <c r="Z382" s="446"/>
      <c r="AA382" s="446"/>
      <c r="AB382" s="446"/>
      <c r="AC382" s="446"/>
      <c r="AD382" s="446"/>
      <c r="AE382" s="446"/>
      <c r="AF382" s="446"/>
      <c r="AG382" s="446"/>
      <c r="AH382" s="446"/>
      <c r="AI382" s="446"/>
      <c r="AJ382" s="446"/>
      <c r="AK382" s="446"/>
      <c r="AL382" s="446"/>
      <c r="AM382" s="446"/>
      <c r="AN382" s="446"/>
      <c r="AO382" s="446"/>
      <c r="AP382" s="425"/>
    </row>
    <row r="383" spans="1:69" ht="18.600000000000001" x14ac:dyDescent="0.4">
      <c r="A383" s="696" t="s">
        <v>898</v>
      </c>
      <c r="B383" s="696"/>
      <c r="C383" s="696"/>
      <c r="D383" s="696"/>
      <c r="E383" s="696"/>
      <c r="F383" s="696"/>
      <c r="G383" s="696"/>
      <c r="H383" s="696"/>
      <c r="I383" s="304">
        <v>0.26</v>
      </c>
      <c r="N383" s="207"/>
      <c r="O383" s="207"/>
      <c r="P383" s="446"/>
      <c r="Q383" s="446"/>
      <c r="R383" s="446"/>
      <c r="S383" s="446"/>
      <c r="T383" s="446"/>
      <c r="U383" s="446"/>
      <c r="V383" s="446"/>
      <c r="W383" s="446"/>
      <c r="X383" s="446"/>
      <c r="Y383" s="446"/>
      <c r="Z383" s="446"/>
      <c r="AA383" s="446"/>
      <c r="AB383" s="446"/>
      <c r="AC383" s="446"/>
      <c r="AD383" s="446"/>
      <c r="AE383" s="446"/>
      <c r="AF383" s="446"/>
      <c r="AG383" s="446"/>
      <c r="AH383" s="446"/>
      <c r="AI383" s="446"/>
      <c r="AJ383" s="446"/>
      <c r="AK383" s="446"/>
      <c r="AL383" s="446"/>
      <c r="AM383" s="446"/>
      <c r="AN383" s="446"/>
      <c r="AO383" s="446"/>
      <c r="AP383" s="425"/>
      <c r="AS383" s="206" t="s">
        <v>594</v>
      </c>
      <c r="AT383" s="43" t="e">
        <f>1.006*(#REF!)+R383*(1.805*(#REF!)+2501)</f>
        <v>#REF!</v>
      </c>
      <c r="AU383" s="43" t="e">
        <f>1.006*(#REF!)+S383*(1.805*(#REF!)+2501)</f>
        <v>#REF!</v>
      </c>
      <c r="AV383" s="43" t="e">
        <f>1.006*(#REF!)+T383*(1.805*(#REF!)+2501)</f>
        <v>#REF!</v>
      </c>
      <c r="AW383" s="43" t="e">
        <f>1.006*(#REF!)+U383*(1.805*(#REF!)+2501)</f>
        <v>#REF!</v>
      </c>
      <c r="AX383" s="43" t="e">
        <f>1.006*(#REF!)+V383*(1.805*(#REF!)+2501)</f>
        <v>#REF!</v>
      </c>
      <c r="AY383" s="43" t="e">
        <f>1.006*(#REF!)+W383*(1.805*(#REF!)+2501)</f>
        <v>#REF!</v>
      </c>
      <c r="AZ383" s="43" t="e">
        <f>1.006*(#REF!)+X383*(1.805*(#REF!)+2501)</f>
        <v>#REF!</v>
      </c>
      <c r="BA383" s="43" t="e">
        <f>1.006*(#REF!)+Y383*(1.805*(#REF!)+2501)</f>
        <v>#REF!</v>
      </c>
      <c r="BB383" s="43" t="e">
        <f>1.006*(#REF!)+Z383*(1.805*(#REF!)+2501)</f>
        <v>#REF!</v>
      </c>
      <c r="BC383" s="43" t="e">
        <f>1.006*(#REF!)+AA383*(1.805*(#REF!)+2501)</f>
        <v>#REF!</v>
      </c>
      <c r="BD383" s="43" t="e">
        <f>1.006*(#REF!)+AB383*(1.805*(#REF!)+2501)</f>
        <v>#REF!</v>
      </c>
      <c r="BE383" s="43" t="e">
        <f>1.006*(#REF!)+AC383*(1.805*(#REF!)+2501)</f>
        <v>#REF!</v>
      </c>
      <c r="BF383" s="43" t="e">
        <f>1.006*(#REF!)+AD383*(1.805*(#REF!)+2501)</f>
        <v>#REF!</v>
      </c>
      <c r="BG383" s="43" t="e">
        <f>1.006*(#REF!)+AE383*(1.805*(#REF!)+2501)</f>
        <v>#REF!</v>
      </c>
      <c r="BH383" s="43" t="e">
        <f>1.006*(#REF!)+AF383*(1.805*(#REF!)+2501)</f>
        <v>#REF!</v>
      </c>
      <c r="BI383" s="43" t="e">
        <f>1.006*(#REF!)+AG383*(1.805*(#REF!)+2501)</f>
        <v>#REF!</v>
      </c>
      <c r="BJ383" s="43" t="e">
        <f>1.006*(#REF!)+AH383*(1.805*(#REF!)+2501)</f>
        <v>#REF!</v>
      </c>
      <c r="BK383" s="43" t="e">
        <f>1.006*(#REF!)+AI383*(1.805*(#REF!)+2501)</f>
        <v>#REF!</v>
      </c>
      <c r="BL383" s="43" t="e">
        <f>1.006*(#REF!)+AJ383*(1.805*(#REF!)+2501)</f>
        <v>#REF!</v>
      </c>
      <c r="BM383" s="43" t="e">
        <f>1.006*(#REF!)+AK383*(1.805*(#REF!)+2501)</f>
        <v>#REF!</v>
      </c>
      <c r="BN383" s="43" t="e">
        <f>1.006*(#REF!)+AL383*(1.805*(#REF!)+2501)</f>
        <v>#REF!</v>
      </c>
      <c r="BO383" s="43" t="e">
        <f>1.006*(#REF!)+AM383*(1.805*(#REF!)+2501)</f>
        <v>#REF!</v>
      </c>
      <c r="BP383" s="43" t="e">
        <f>1.006*(#REF!)+AN383*(1.805*(#REF!)+2501)</f>
        <v>#REF!</v>
      </c>
      <c r="BQ383" s="43" t="e">
        <f>1.006*(#REF!)+AO383*(1.805*(#REF!)+2501)</f>
        <v>#REF!</v>
      </c>
    </row>
    <row r="384" spans="1:69" x14ac:dyDescent="0.3">
      <c r="A384" s="696" t="s">
        <v>902</v>
      </c>
      <c r="B384" s="696"/>
      <c r="C384" s="696"/>
      <c r="D384" s="696"/>
      <c r="E384" s="696"/>
      <c r="F384" s="696"/>
      <c r="G384" s="696"/>
      <c r="H384" s="696"/>
      <c r="I384" s="304">
        <v>0.25</v>
      </c>
      <c r="N384" s="207"/>
      <c r="O384" s="207"/>
      <c r="P384" s="445"/>
      <c r="Q384" s="445"/>
      <c r="R384" s="445"/>
      <c r="S384" s="445"/>
      <c r="T384" s="445"/>
      <c r="U384" s="445"/>
      <c r="V384" s="445"/>
      <c r="W384" s="445"/>
      <c r="X384" s="445"/>
      <c r="Y384" s="445"/>
      <c r="Z384" s="445"/>
      <c r="AA384" s="445"/>
      <c r="AB384" s="445"/>
      <c r="AC384" s="445"/>
      <c r="AD384" s="445"/>
      <c r="AE384" s="445"/>
      <c r="AF384" s="445"/>
      <c r="AG384" s="445"/>
      <c r="AH384" s="445"/>
      <c r="AI384" s="445"/>
      <c r="AJ384" s="445"/>
      <c r="AK384" s="445"/>
      <c r="AL384" s="445"/>
      <c r="AM384" s="445"/>
      <c r="AN384" s="445"/>
      <c r="AO384" s="445"/>
      <c r="AP384" s="189"/>
    </row>
    <row r="385" spans="1:69" x14ac:dyDescent="0.3">
      <c r="A385" s="696" t="s">
        <v>971</v>
      </c>
      <c r="B385" s="696"/>
      <c r="C385" s="696"/>
      <c r="D385" s="696"/>
      <c r="E385" s="696"/>
      <c r="F385" s="696"/>
      <c r="G385" s="696"/>
      <c r="H385" s="696"/>
      <c r="I385" s="304">
        <v>0.25</v>
      </c>
      <c r="N385" s="207"/>
      <c r="O385" s="207"/>
      <c r="P385" s="445"/>
      <c r="Q385" s="510"/>
      <c r="R385" s="445"/>
      <c r="S385" s="508"/>
      <c r="T385" s="509"/>
      <c r="U385" s="510"/>
      <c r="V385" s="445"/>
      <c r="W385" s="445"/>
      <c r="X385" s="445"/>
      <c r="Y385" s="445"/>
      <c r="Z385" s="445"/>
      <c r="AA385" s="445"/>
      <c r="AB385" s="445"/>
      <c r="AC385" s="445"/>
      <c r="AD385" s="445"/>
      <c r="AE385" s="445"/>
      <c r="AF385" s="445"/>
      <c r="AG385" s="445"/>
      <c r="AH385" s="445"/>
      <c r="AI385" s="445"/>
      <c r="AJ385" s="445"/>
      <c r="AK385" s="445"/>
      <c r="AL385" s="445"/>
      <c r="AM385" s="445"/>
      <c r="AN385" s="445"/>
      <c r="AO385" s="445"/>
      <c r="AP385" s="189"/>
    </row>
    <row r="386" spans="1:69" x14ac:dyDescent="0.3">
      <c r="A386" s="795" t="s">
        <v>909</v>
      </c>
      <c r="B386" s="927"/>
      <c r="C386" s="927"/>
      <c r="D386" s="927"/>
      <c r="E386" s="927"/>
      <c r="F386" s="927"/>
      <c r="G386" s="927"/>
      <c r="H386" s="928"/>
      <c r="I386" s="304">
        <v>1.4</v>
      </c>
      <c r="N386" s="207"/>
      <c r="O386" s="207"/>
      <c r="P386" s="445"/>
      <c r="Q386" s="510"/>
      <c r="R386" s="445"/>
      <c r="S386" s="445"/>
      <c r="T386" s="445"/>
      <c r="U386" s="445"/>
      <c r="V386" s="445"/>
      <c r="W386" s="445"/>
      <c r="X386" s="445"/>
      <c r="Y386" s="445"/>
      <c r="Z386" s="445"/>
      <c r="AA386" s="445"/>
      <c r="AB386" s="445"/>
      <c r="AC386" s="445"/>
      <c r="AD386" s="445"/>
      <c r="AE386" s="445"/>
      <c r="AF386" s="445"/>
      <c r="AG386" s="445"/>
      <c r="AH386" s="445"/>
      <c r="AI386" s="445"/>
      <c r="AJ386" s="445"/>
      <c r="AK386" s="445"/>
      <c r="AL386" s="445"/>
      <c r="AM386" s="445"/>
      <c r="AN386" s="445"/>
      <c r="AO386" s="445"/>
      <c r="AP386" s="189"/>
    </row>
    <row r="387" spans="1:69" x14ac:dyDescent="0.3">
      <c r="N387" s="207"/>
      <c r="O387" s="207"/>
      <c r="P387" s="426"/>
      <c r="Q387" s="427"/>
      <c r="R387" s="447"/>
      <c r="S387" s="447"/>
      <c r="T387" s="447"/>
      <c r="U387" s="447"/>
      <c r="V387" s="447"/>
      <c r="W387" s="447"/>
      <c r="X387" s="447"/>
      <c r="Y387" s="447"/>
      <c r="Z387" s="447"/>
      <c r="AA387" s="447"/>
      <c r="AB387" s="447"/>
      <c r="AC387" s="447"/>
      <c r="AD387" s="447"/>
      <c r="AE387" s="447"/>
      <c r="AF387" s="447"/>
      <c r="AG387" s="447"/>
      <c r="AH387" s="447"/>
      <c r="AI387" s="447"/>
      <c r="AJ387" s="447"/>
      <c r="AK387" s="447"/>
      <c r="AL387" s="447"/>
      <c r="AM387" s="447"/>
      <c r="AN387" s="447"/>
      <c r="AO387" s="447"/>
      <c r="AP387" s="425"/>
    </row>
    <row r="388" spans="1:69" ht="18" x14ac:dyDescent="0.35">
      <c r="A388" s="667" t="s">
        <v>288</v>
      </c>
      <c r="B388" s="762"/>
      <c r="C388" s="762"/>
      <c r="D388" s="762"/>
      <c r="E388" s="762"/>
      <c r="F388" s="762"/>
      <c r="G388" s="762"/>
      <c r="H388" s="762"/>
      <c r="I388" s="762"/>
      <c r="J388" s="762"/>
      <c r="K388" s="762"/>
      <c r="L388" s="589"/>
      <c r="N388" s="207"/>
      <c r="O388" s="207"/>
      <c r="P388" s="426"/>
      <c r="Q388" s="427"/>
      <c r="R388" s="447"/>
      <c r="S388" s="447"/>
      <c r="T388" s="447"/>
      <c r="U388" s="447"/>
      <c r="V388" s="447"/>
      <c r="W388" s="447"/>
      <c r="X388" s="447"/>
      <c r="Y388" s="447"/>
      <c r="Z388" s="447"/>
      <c r="AA388" s="447"/>
      <c r="AB388" s="447"/>
      <c r="AC388" s="447"/>
      <c r="AD388" s="447"/>
      <c r="AE388" s="447"/>
      <c r="AF388" s="447"/>
      <c r="AG388" s="447"/>
      <c r="AH388" s="447"/>
      <c r="AI388" s="447"/>
      <c r="AJ388" s="447"/>
      <c r="AK388" s="447"/>
      <c r="AL388" s="447"/>
      <c r="AM388" s="447"/>
      <c r="AN388" s="447"/>
      <c r="AO388" s="447"/>
      <c r="AP388" s="425"/>
    </row>
    <row r="389" spans="1:69" ht="18" x14ac:dyDescent="0.35">
      <c r="A389" s="667" t="s">
        <v>1163</v>
      </c>
      <c r="B389" s="762"/>
      <c r="C389" s="762"/>
      <c r="D389" s="762"/>
      <c r="E389" s="762"/>
      <c r="F389" s="762"/>
      <c r="G389" s="762"/>
      <c r="H389" s="762"/>
      <c r="I389" s="762"/>
      <c r="J389" s="762"/>
      <c r="K389" s="762"/>
      <c r="L389" s="589"/>
      <c r="N389" s="207"/>
      <c r="O389" s="207"/>
      <c r="P389" s="426"/>
      <c r="Q389" s="427"/>
      <c r="R389" s="447"/>
      <c r="S389" s="447"/>
      <c r="T389" s="447"/>
      <c r="U389" s="447"/>
      <c r="V389" s="447"/>
      <c r="W389" s="447"/>
      <c r="X389" s="447"/>
      <c r="Y389" s="447"/>
      <c r="Z389" s="447"/>
      <c r="AA389" s="447"/>
      <c r="AB389" s="447"/>
      <c r="AC389" s="447"/>
      <c r="AD389" s="447"/>
      <c r="AE389" s="447"/>
      <c r="AF389" s="447"/>
      <c r="AG389" s="447"/>
      <c r="AH389" s="447"/>
      <c r="AI389" s="447"/>
      <c r="AJ389" s="447"/>
      <c r="AK389" s="447"/>
      <c r="AL389" s="447"/>
      <c r="AM389" s="447"/>
      <c r="AN389" s="447"/>
      <c r="AO389" s="447"/>
      <c r="AP389" s="425"/>
    </row>
    <row r="390" spans="1:69" x14ac:dyDescent="0.3">
      <c r="A390" s="919" t="s">
        <v>900</v>
      </c>
      <c r="B390" s="919"/>
      <c r="C390" s="919"/>
      <c r="D390" s="919"/>
      <c r="E390" s="919"/>
      <c r="F390" s="919"/>
      <c r="G390" s="919"/>
      <c r="H390" s="696"/>
      <c r="I390" s="304">
        <f>P1358</f>
        <v>0.41841004184100422</v>
      </c>
      <c r="N390" s="207"/>
      <c r="O390" s="207"/>
      <c r="P390" s="445"/>
      <c r="Q390" s="445"/>
      <c r="R390" s="445"/>
      <c r="S390" s="445"/>
      <c r="T390" s="445"/>
      <c r="U390" s="445"/>
      <c r="V390" s="445"/>
      <c r="W390" s="445"/>
      <c r="X390" s="445"/>
      <c r="Y390" s="445"/>
      <c r="Z390" s="445"/>
      <c r="AA390" s="445"/>
      <c r="AB390" s="445"/>
      <c r="AC390" s="445"/>
      <c r="AD390" s="445"/>
      <c r="AE390" s="445"/>
      <c r="AF390" s="445"/>
      <c r="AG390" s="445"/>
      <c r="AH390" s="445"/>
      <c r="AI390" s="445"/>
      <c r="AJ390" s="445"/>
      <c r="AK390" s="445"/>
      <c r="AL390" s="445"/>
      <c r="AM390" s="445"/>
      <c r="AN390" s="445"/>
      <c r="AO390" s="445"/>
      <c r="AP390" s="425"/>
      <c r="AT390" s="43" t="e">
        <f t="shared" ref="AT390:BQ390" si="198">($K$843*AT383-$K$844*$K$842)</f>
        <v>#REF!</v>
      </c>
      <c r="AU390" s="43" t="e">
        <f t="shared" si="198"/>
        <v>#REF!</v>
      </c>
      <c r="AV390" s="43" t="e">
        <f t="shared" si="198"/>
        <v>#REF!</v>
      </c>
      <c r="AW390" s="43" t="e">
        <f t="shared" si="198"/>
        <v>#REF!</v>
      </c>
      <c r="AX390" s="43" t="e">
        <f t="shared" si="198"/>
        <v>#REF!</v>
      </c>
      <c r="AY390" s="43" t="e">
        <f t="shared" si="198"/>
        <v>#REF!</v>
      </c>
      <c r="AZ390" s="43" t="e">
        <f t="shared" si="198"/>
        <v>#REF!</v>
      </c>
      <c r="BA390" s="43" t="e">
        <f t="shared" si="198"/>
        <v>#REF!</v>
      </c>
      <c r="BB390" s="43" t="e">
        <f t="shared" si="198"/>
        <v>#REF!</v>
      </c>
      <c r="BC390" s="43" t="e">
        <f t="shared" si="198"/>
        <v>#REF!</v>
      </c>
      <c r="BD390" s="43" t="e">
        <f t="shared" si="198"/>
        <v>#REF!</v>
      </c>
      <c r="BE390" s="43" t="e">
        <f t="shared" si="198"/>
        <v>#REF!</v>
      </c>
      <c r="BF390" s="43" t="e">
        <f t="shared" si="198"/>
        <v>#REF!</v>
      </c>
      <c r="BG390" s="43" t="e">
        <f t="shared" si="198"/>
        <v>#REF!</v>
      </c>
      <c r="BH390" s="43" t="e">
        <f t="shared" si="198"/>
        <v>#REF!</v>
      </c>
      <c r="BI390" s="43" t="e">
        <f t="shared" si="198"/>
        <v>#REF!</v>
      </c>
      <c r="BJ390" s="43" t="e">
        <f t="shared" si="198"/>
        <v>#REF!</v>
      </c>
      <c r="BK390" s="43" t="e">
        <f t="shared" si="198"/>
        <v>#REF!</v>
      </c>
      <c r="BL390" s="43" t="e">
        <f t="shared" si="198"/>
        <v>#REF!</v>
      </c>
      <c r="BM390" s="43" t="e">
        <f t="shared" si="198"/>
        <v>#REF!</v>
      </c>
      <c r="BN390" s="43" t="e">
        <f t="shared" si="198"/>
        <v>#REF!</v>
      </c>
      <c r="BO390" s="43" t="e">
        <f t="shared" si="198"/>
        <v>#REF!</v>
      </c>
      <c r="BP390" s="43" t="e">
        <f t="shared" si="198"/>
        <v>#REF!</v>
      </c>
      <c r="BQ390" s="43" t="e">
        <f t="shared" si="198"/>
        <v>#REF!</v>
      </c>
    </row>
    <row r="391" spans="1:69" x14ac:dyDescent="0.3">
      <c r="A391" s="696" t="s">
        <v>901</v>
      </c>
      <c r="B391" s="696"/>
      <c r="C391" s="696"/>
      <c r="D391" s="696"/>
      <c r="E391" s="696"/>
      <c r="F391" s="696"/>
      <c r="G391" s="696"/>
      <c r="H391" s="696"/>
      <c r="I391" s="304">
        <f>P1254</f>
        <v>0.41485909103543445</v>
      </c>
      <c r="N391" s="207"/>
      <c r="O391" s="207"/>
      <c r="P391" s="445"/>
      <c r="Q391" s="445"/>
      <c r="R391" s="445"/>
      <c r="S391" s="445"/>
      <c r="T391" s="445"/>
      <c r="U391" s="445"/>
      <c r="V391" s="445"/>
      <c r="W391" s="445"/>
      <c r="X391" s="445"/>
      <c r="Y391" s="445"/>
      <c r="Z391" s="445"/>
      <c r="AA391" s="445"/>
      <c r="AB391" s="445"/>
      <c r="AC391" s="445"/>
      <c r="AD391" s="445"/>
      <c r="AE391" s="445"/>
      <c r="AF391" s="445"/>
      <c r="AG391" s="445"/>
      <c r="AH391" s="445"/>
      <c r="AI391" s="445"/>
      <c r="AJ391" s="445"/>
      <c r="AK391" s="445"/>
      <c r="AL391" s="445"/>
      <c r="AM391" s="445"/>
      <c r="AN391" s="445"/>
      <c r="AO391" s="445"/>
      <c r="AP391" s="425"/>
      <c r="AT391" s="43" t="e">
        <f t="shared" ref="AT391:BQ391" si="199">IF(AT390*O350&lt;0,0,AT390*O350)</f>
        <v>#REF!</v>
      </c>
      <c r="AU391" s="43" t="e">
        <f t="shared" si="199"/>
        <v>#REF!</v>
      </c>
      <c r="AV391" s="43" t="e">
        <f t="shared" si="199"/>
        <v>#REF!</v>
      </c>
      <c r="AW391" s="43" t="e">
        <f t="shared" si="199"/>
        <v>#REF!</v>
      </c>
      <c r="AX391" s="43" t="e">
        <f t="shared" si="199"/>
        <v>#REF!</v>
      </c>
      <c r="AY391" s="43" t="e">
        <f t="shared" si="199"/>
        <v>#REF!</v>
      </c>
      <c r="AZ391" s="43" t="e">
        <f t="shared" si="199"/>
        <v>#REF!</v>
      </c>
      <c r="BA391" s="43" t="e">
        <f t="shared" si="199"/>
        <v>#REF!</v>
      </c>
      <c r="BB391" s="43" t="e">
        <f t="shared" si="199"/>
        <v>#REF!</v>
      </c>
      <c r="BC391" s="43" t="e">
        <f t="shared" si="199"/>
        <v>#REF!</v>
      </c>
      <c r="BD391" s="43" t="e">
        <f t="shared" si="199"/>
        <v>#REF!</v>
      </c>
      <c r="BE391" s="43" t="e">
        <f t="shared" si="199"/>
        <v>#REF!</v>
      </c>
      <c r="BF391" s="43" t="e">
        <f t="shared" si="199"/>
        <v>#REF!</v>
      </c>
      <c r="BG391" s="43" t="e">
        <f t="shared" si="199"/>
        <v>#REF!</v>
      </c>
      <c r="BH391" s="43" t="e">
        <f t="shared" si="199"/>
        <v>#REF!</v>
      </c>
      <c r="BI391" s="43" t="e">
        <f t="shared" si="199"/>
        <v>#REF!</v>
      </c>
      <c r="BJ391" s="43" t="e">
        <f t="shared" si="199"/>
        <v>#REF!</v>
      </c>
      <c r="BK391" s="43" t="e">
        <f t="shared" si="199"/>
        <v>#REF!</v>
      </c>
      <c r="BL391" s="43" t="e">
        <f t="shared" si="199"/>
        <v>#REF!</v>
      </c>
      <c r="BM391" s="43" t="e">
        <f t="shared" si="199"/>
        <v>#REF!</v>
      </c>
      <c r="BN391" s="43" t="e">
        <f t="shared" si="199"/>
        <v>#REF!</v>
      </c>
      <c r="BO391" s="43" t="e">
        <f t="shared" si="199"/>
        <v>#REF!</v>
      </c>
      <c r="BP391" s="43" t="e">
        <f t="shared" si="199"/>
        <v>#REF!</v>
      </c>
      <c r="BQ391" s="43" t="e">
        <f t="shared" si="199"/>
        <v>#REF!</v>
      </c>
    </row>
    <row r="392" spans="1:69" x14ac:dyDescent="0.3">
      <c r="A392" s="696" t="s">
        <v>703</v>
      </c>
      <c r="B392" s="696"/>
      <c r="C392" s="696"/>
      <c r="D392" s="696"/>
      <c r="E392" s="696"/>
      <c r="F392" s="696"/>
      <c r="G392" s="696"/>
      <c r="H392" s="696"/>
      <c r="I392" s="304">
        <f>P1399</f>
        <v>1.2318742706326768</v>
      </c>
      <c r="N392" s="207"/>
      <c r="O392" s="207"/>
      <c r="P392" s="445"/>
      <c r="Q392" s="445"/>
      <c r="R392" s="445"/>
      <c r="S392" s="445"/>
      <c r="T392" s="445"/>
      <c r="U392" s="445"/>
      <c r="V392" s="445"/>
      <c r="W392" s="445"/>
      <c r="X392" s="445"/>
      <c r="Y392" s="445"/>
      <c r="Z392" s="445"/>
      <c r="AA392" s="445"/>
      <c r="AB392" s="445"/>
      <c r="AC392" s="445"/>
      <c r="AD392" s="445"/>
      <c r="AE392" s="445"/>
      <c r="AF392" s="445"/>
      <c r="AG392" s="445"/>
      <c r="AH392" s="445"/>
      <c r="AI392" s="445"/>
      <c r="AJ392" s="445"/>
      <c r="AK392" s="445"/>
      <c r="AL392" s="445"/>
      <c r="AM392" s="445"/>
      <c r="AN392" s="445"/>
      <c r="AO392" s="445"/>
      <c r="AP392" s="425"/>
    </row>
    <row r="393" spans="1:69" x14ac:dyDescent="0.3">
      <c r="A393" s="696" t="s">
        <v>1036</v>
      </c>
      <c r="B393" s="696"/>
      <c r="C393" s="696"/>
      <c r="D393" s="696"/>
      <c r="E393" s="696"/>
      <c r="F393" s="696"/>
      <c r="G393" s="696"/>
      <c r="H393" s="696"/>
      <c r="I393" s="304">
        <f>P1319</f>
        <v>0.40561344575718578</v>
      </c>
      <c r="N393" s="207"/>
      <c r="O393" s="207"/>
      <c r="P393" s="445"/>
      <c r="Q393" s="510"/>
      <c r="R393" s="445"/>
      <c r="S393" s="445"/>
      <c r="T393" s="445"/>
      <c r="U393" s="510"/>
      <c r="V393" s="445"/>
      <c r="W393" s="445"/>
      <c r="X393" s="445"/>
      <c r="Y393" s="445"/>
      <c r="Z393" s="445"/>
      <c r="AA393" s="445"/>
      <c r="AB393" s="445"/>
      <c r="AC393" s="445"/>
      <c r="AD393" s="445"/>
      <c r="AE393" s="445"/>
      <c r="AF393" s="445"/>
      <c r="AG393" s="445"/>
      <c r="AH393" s="445"/>
      <c r="AI393" s="445"/>
      <c r="AJ393" s="445"/>
      <c r="AK393" s="445"/>
      <c r="AL393" s="445"/>
      <c r="AM393" s="445"/>
      <c r="AN393" s="445"/>
      <c r="AO393" s="445"/>
      <c r="AP393" s="189"/>
    </row>
    <row r="394" spans="1:69" x14ac:dyDescent="0.3">
      <c r="A394" s="696" t="s">
        <v>972</v>
      </c>
      <c r="B394" s="696"/>
      <c r="C394" s="696"/>
      <c r="D394" s="696"/>
      <c r="E394" s="696"/>
      <c r="F394" s="696"/>
      <c r="G394" s="696"/>
      <c r="H394" s="696"/>
      <c r="I394" s="304">
        <f ca="1">P1115</f>
        <v>0.25515017089978215</v>
      </c>
      <c r="N394" s="207"/>
      <c r="O394" s="207"/>
      <c r="P394" s="445"/>
      <c r="Q394" s="510"/>
      <c r="R394" s="445"/>
      <c r="S394" s="508"/>
      <c r="T394" s="509"/>
      <c r="U394" s="510"/>
      <c r="V394" s="445"/>
      <c r="W394" s="445"/>
      <c r="X394" s="445"/>
      <c r="Y394" s="445"/>
      <c r="Z394" s="445"/>
      <c r="AA394" s="445"/>
      <c r="AB394" s="445"/>
      <c r="AC394" s="445"/>
      <c r="AD394" s="445"/>
      <c r="AE394" s="445"/>
      <c r="AF394" s="445"/>
      <c r="AG394" s="445"/>
      <c r="AH394" s="445"/>
      <c r="AI394" s="445"/>
      <c r="AJ394" s="445"/>
      <c r="AK394" s="445"/>
      <c r="AL394" s="445"/>
      <c r="AM394" s="445"/>
      <c r="AN394" s="445"/>
      <c r="AO394" s="445"/>
      <c r="AP394" s="189"/>
    </row>
    <row r="395" spans="1:69" x14ac:dyDescent="0.3">
      <c r="N395" s="207"/>
      <c r="O395" s="207"/>
      <c r="P395" s="426"/>
      <c r="Q395" s="427"/>
      <c r="R395" s="447"/>
      <c r="S395" s="447"/>
      <c r="T395" s="447"/>
      <c r="U395" s="447"/>
      <c r="V395" s="447"/>
      <c r="W395" s="447"/>
      <c r="X395" s="447"/>
      <c r="Y395" s="447"/>
      <c r="Z395" s="447"/>
      <c r="AA395" s="447"/>
      <c r="AB395" s="447"/>
      <c r="AC395" s="447"/>
      <c r="AD395" s="447"/>
      <c r="AE395" s="447"/>
      <c r="AF395" s="447"/>
      <c r="AG395" s="447"/>
      <c r="AH395" s="447"/>
      <c r="AI395" s="447"/>
      <c r="AJ395" s="447"/>
      <c r="AK395" s="447"/>
      <c r="AL395" s="447"/>
      <c r="AM395" s="447"/>
      <c r="AN395" s="447"/>
      <c r="AO395" s="447"/>
      <c r="AP395" s="425"/>
    </row>
    <row r="396" spans="1:69" ht="18" x14ac:dyDescent="0.35">
      <c r="A396" s="667" t="s">
        <v>960</v>
      </c>
      <c r="B396" s="762"/>
      <c r="C396" s="762"/>
      <c r="D396" s="762"/>
      <c r="E396" s="762"/>
      <c r="F396" s="762"/>
      <c r="G396" s="762"/>
      <c r="H396" s="762"/>
      <c r="I396" s="762"/>
      <c r="J396" s="762"/>
      <c r="K396" s="762"/>
      <c r="L396" s="589"/>
      <c r="M396" s="199"/>
      <c r="N396" s="207"/>
      <c r="O396" s="207"/>
      <c r="P396" s="411"/>
      <c r="Q396" s="422"/>
      <c r="R396" s="208"/>
      <c r="S396" s="208"/>
      <c r="T396" s="208"/>
      <c r="U396" s="208"/>
      <c r="V396" s="208"/>
      <c r="W396" s="208"/>
      <c r="X396" s="208"/>
      <c r="Y396" s="208"/>
      <c r="Z396" s="208"/>
      <c r="AA396" s="208"/>
      <c r="AB396" s="208"/>
      <c r="AC396" s="208"/>
      <c r="AD396" s="208"/>
      <c r="AE396" s="208"/>
      <c r="AF396" s="208"/>
      <c r="AG396" s="208"/>
      <c r="AH396" s="208"/>
      <c r="AI396" s="208"/>
      <c r="AJ396" s="208"/>
      <c r="AK396" s="208"/>
      <c r="AL396" s="208"/>
      <c r="AM396" s="208"/>
      <c r="AN396" s="208"/>
      <c r="AO396" s="208"/>
      <c r="AP396" s="425"/>
    </row>
    <row r="397" spans="1:69" ht="18" x14ac:dyDescent="0.35">
      <c r="A397" s="667" t="s">
        <v>961</v>
      </c>
      <c r="B397" s="762"/>
      <c r="C397" s="762"/>
      <c r="D397" s="762"/>
      <c r="E397" s="762"/>
      <c r="F397" s="762"/>
      <c r="G397" s="762"/>
      <c r="H397" s="762"/>
      <c r="I397" s="762"/>
      <c r="J397" s="762"/>
      <c r="K397" s="762"/>
      <c r="L397" s="589"/>
      <c r="M397" s="199"/>
      <c r="N397" s="207"/>
      <c r="O397" s="207"/>
      <c r="P397" s="207"/>
      <c r="Q397" s="207"/>
      <c r="R397" s="207"/>
      <c r="S397" s="207"/>
      <c r="T397" s="207"/>
      <c r="U397" s="207"/>
      <c r="V397" s="207"/>
      <c r="W397" s="207"/>
      <c r="X397" s="207"/>
      <c r="Y397" s="207"/>
      <c r="Z397" s="207"/>
      <c r="AA397" s="207"/>
      <c r="AB397" s="207"/>
      <c r="AC397" s="207"/>
      <c r="AD397" s="207"/>
      <c r="AE397" s="207"/>
      <c r="AF397" s="207"/>
      <c r="AG397" s="207"/>
      <c r="AH397" s="207"/>
      <c r="AI397" s="207"/>
      <c r="AJ397" s="207"/>
      <c r="AK397" s="207"/>
      <c r="AL397" s="207"/>
      <c r="AM397" s="207"/>
      <c r="AN397" s="207"/>
      <c r="AO397" s="207"/>
      <c r="AP397" s="425"/>
    </row>
    <row r="398" spans="1:69" ht="18.600000000000001" x14ac:dyDescent="0.4">
      <c r="A398" s="696" t="s">
        <v>898</v>
      </c>
      <c r="B398" s="696"/>
      <c r="C398" s="696"/>
      <c r="D398" s="696"/>
      <c r="E398" s="696"/>
      <c r="F398" s="696"/>
      <c r="G398" s="696"/>
      <c r="H398" s="696"/>
      <c r="I398" s="304" t="e">
        <f>Q403</f>
        <v>#DIV/0!</v>
      </c>
      <c r="N398" s="207"/>
      <c r="O398" s="207"/>
      <c r="P398" s="207"/>
      <c r="Q398" s="207"/>
      <c r="R398" s="207"/>
      <c r="S398" s="207"/>
      <c r="T398" s="207"/>
      <c r="U398" s="207"/>
      <c r="V398" s="207"/>
      <c r="W398" s="207"/>
      <c r="X398" s="207"/>
      <c r="Y398" s="207"/>
      <c r="Z398" s="207"/>
      <c r="AA398" s="207"/>
      <c r="AB398" s="207"/>
      <c r="AC398" s="207"/>
      <c r="AD398" s="207"/>
      <c r="AE398" s="207"/>
      <c r="AF398" s="207"/>
      <c r="AG398" s="207"/>
      <c r="AH398" s="207"/>
      <c r="AI398" s="207"/>
      <c r="AJ398" s="207"/>
      <c r="AK398" s="207"/>
      <c r="AL398" s="207"/>
      <c r="AM398" s="207"/>
      <c r="AN398" s="207"/>
      <c r="AO398" s="207"/>
      <c r="AP398" s="425"/>
      <c r="AS398" s="206" t="s">
        <v>594</v>
      </c>
      <c r="AT398" s="43" t="e">
        <f>1.006*(#REF!)+R398*(1.805*(#REF!)+2501)</f>
        <v>#REF!</v>
      </c>
      <c r="AU398" s="43" t="e">
        <f>1.006*(#REF!)+S398*(1.805*(#REF!)+2501)</f>
        <v>#REF!</v>
      </c>
      <c r="AV398" s="43" t="e">
        <f>1.006*(#REF!)+T398*(1.805*(#REF!)+2501)</f>
        <v>#REF!</v>
      </c>
      <c r="AW398" s="43" t="e">
        <f>1.006*(#REF!)+U398*(1.805*(#REF!)+2501)</f>
        <v>#REF!</v>
      </c>
      <c r="AX398" s="43" t="e">
        <f>1.006*(#REF!)+V398*(1.805*(#REF!)+2501)</f>
        <v>#REF!</v>
      </c>
      <c r="AY398" s="43" t="e">
        <f>1.006*(#REF!)+W398*(1.805*(#REF!)+2501)</f>
        <v>#REF!</v>
      </c>
      <c r="AZ398" s="43" t="e">
        <f>1.006*(#REF!)+X398*(1.805*(#REF!)+2501)</f>
        <v>#REF!</v>
      </c>
      <c r="BA398" s="43" t="e">
        <f>1.006*(#REF!)+Y398*(1.805*(#REF!)+2501)</f>
        <v>#REF!</v>
      </c>
      <c r="BB398" s="43" t="e">
        <f>1.006*(#REF!)+Z398*(1.805*(#REF!)+2501)</f>
        <v>#REF!</v>
      </c>
      <c r="BC398" s="43" t="e">
        <f>1.006*(#REF!)+AA398*(1.805*(#REF!)+2501)</f>
        <v>#REF!</v>
      </c>
      <c r="BD398" s="43" t="e">
        <f>1.006*(#REF!)+AB398*(1.805*(#REF!)+2501)</f>
        <v>#REF!</v>
      </c>
      <c r="BE398" s="43" t="e">
        <f>1.006*(#REF!)+AC398*(1.805*(#REF!)+2501)</f>
        <v>#REF!</v>
      </c>
      <c r="BF398" s="43" t="e">
        <f>1.006*(#REF!)+AD398*(1.805*(#REF!)+2501)</f>
        <v>#REF!</v>
      </c>
      <c r="BG398" s="43" t="e">
        <f>1.006*(#REF!)+AE398*(1.805*(#REF!)+2501)</f>
        <v>#REF!</v>
      </c>
      <c r="BH398" s="43" t="e">
        <f>1.006*(#REF!)+AF398*(1.805*(#REF!)+2501)</f>
        <v>#REF!</v>
      </c>
      <c r="BI398" s="43" t="e">
        <f>1.006*(#REF!)+AG398*(1.805*(#REF!)+2501)</f>
        <v>#REF!</v>
      </c>
      <c r="BJ398" s="43" t="e">
        <f>1.006*(#REF!)+AH398*(1.805*(#REF!)+2501)</f>
        <v>#REF!</v>
      </c>
      <c r="BK398" s="43" t="e">
        <f>1.006*(#REF!)+AI398*(1.805*(#REF!)+2501)</f>
        <v>#REF!</v>
      </c>
      <c r="BL398" s="43" t="e">
        <f>1.006*(#REF!)+AJ398*(1.805*(#REF!)+2501)</f>
        <v>#REF!</v>
      </c>
      <c r="BM398" s="43" t="e">
        <f>1.006*(#REF!)+AK398*(1.805*(#REF!)+2501)</f>
        <v>#REF!</v>
      </c>
      <c r="BN398" s="43" t="e">
        <f>1.006*(#REF!)+AL398*(1.805*(#REF!)+2501)</f>
        <v>#REF!</v>
      </c>
      <c r="BO398" s="43" t="e">
        <f>1.006*(#REF!)+AM398*(1.805*(#REF!)+2501)</f>
        <v>#REF!</v>
      </c>
      <c r="BP398" s="43" t="e">
        <f>1.006*(#REF!)+AN398*(1.805*(#REF!)+2501)</f>
        <v>#REF!</v>
      </c>
      <c r="BQ398" s="43" t="e">
        <f>1.006*(#REF!)+AO398*(1.805*(#REF!)+2501)</f>
        <v>#REF!</v>
      </c>
    </row>
    <row r="399" spans="1:69" x14ac:dyDescent="0.3">
      <c r="A399" s="919" t="s">
        <v>900</v>
      </c>
      <c r="B399" s="919"/>
      <c r="C399" s="919"/>
      <c r="D399" s="919"/>
      <c r="E399" s="919"/>
      <c r="F399" s="919"/>
      <c r="G399" s="919"/>
      <c r="H399" s="696"/>
      <c r="I399" s="42">
        <f>L1358</f>
        <v>0</v>
      </c>
      <c r="N399" s="207"/>
      <c r="O399" s="207"/>
      <c r="P399" s="208"/>
      <c r="Q399" s="208"/>
      <c r="R399" s="208"/>
      <c r="S399" s="208"/>
      <c r="T399" s="208"/>
      <c r="U399" s="208"/>
      <c r="V399" s="208"/>
      <c r="W399" s="208"/>
      <c r="X399" s="208"/>
      <c r="Y399" s="208"/>
      <c r="Z399" s="208"/>
      <c r="AA399" s="208"/>
      <c r="AB399" s="208"/>
      <c r="AC399" s="208"/>
      <c r="AD399" s="208"/>
      <c r="AE399" s="208"/>
      <c r="AF399" s="208"/>
      <c r="AG399" s="208"/>
      <c r="AH399" s="208"/>
      <c r="AI399" s="208"/>
      <c r="AJ399" s="208"/>
      <c r="AK399" s="208"/>
      <c r="AL399" s="208"/>
      <c r="AM399" s="208"/>
      <c r="AN399" s="208"/>
      <c r="AO399" s="208"/>
      <c r="AP399" s="425"/>
      <c r="AT399" s="43" t="e">
        <f t="shared" ref="AT399:BQ399" si="200">($K$870*AT398-$K$871*$K$868)</f>
        <v>#REF!</v>
      </c>
      <c r="AU399" s="43" t="e">
        <f t="shared" si="200"/>
        <v>#REF!</v>
      </c>
      <c r="AV399" s="43" t="e">
        <f t="shared" si="200"/>
        <v>#REF!</v>
      </c>
      <c r="AW399" s="43" t="e">
        <f t="shared" si="200"/>
        <v>#REF!</v>
      </c>
      <c r="AX399" s="43" t="e">
        <f t="shared" si="200"/>
        <v>#REF!</v>
      </c>
      <c r="AY399" s="43" t="e">
        <f t="shared" si="200"/>
        <v>#REF!</v>
      </c>
      <c r="AZ399" s="43" t="e">
        <f t="shared" si="200"/>
        <v>#REF!</v>
      </c>
      <c r="BA399" s="43" t="e">
        <f t="shared" si="200"/>
        <v>#REF!</v>
      </c>
      <c r="BB399" s="43" t="e">
        <f t="shared" si="200"/>
        <v>#REF!</v>
      </c>
      <c r="BC399" s="43" t="e">
        <f t="shared" si="200"/>
        <v>#REF!</v>
      </c>
      <c r="BD399" s="43" t="e">
        <f t="shared" si="200"/>
        <v>#REF!</v>
      </c>
      <c r="BE399" s="43" t="e">
        <f t="shared" si="200"/>
        <v>#REF!</v>
      </c>
      <c r="BF399" s="43" t="e">
        <f t="shared" si="200"/>
        <v>#REF!</v>
      </c>
      <c r="BG399" s="43" t="e">
        <f t="shared" si="200"/>
        <v>#REF!</v>
      </c>
      <c r="BH399" s="43" t="e">
        <f t="shared" si="200"/>
        <v>#REF!</v>
      </c>
      <c r="BI399" s="43" t="e">
        <f t="shared" si="200"/>
        <v>#REF!</v>
      </c>
      <c r="BJ399" s="43" t="e">
        <f t="shared" si="200"/>
        <v>#REF!</v>
      </c>
      <c r="BK399" s="43" t="e">
        <f t="shared" si="200"/>
        <v>#REF!</v>
      </c>
      <c r="BL399" s="43" t="e">
        <f t="shared" si="200"/>
        <v>#REF!</v>
      </c>
      <c r="BM399" s="43" t="e">
        <f t="shared" si="200"/>
        <v>#REF!</v>
      </c>
      <c r="BN399" s="43" t="e">
        <f t="shared" si="200"/>
        <v>#REF!</v>
      </c>
      <c r="BO399" s="43" t="e">
        <f t="shared" si="200"/>
        <v>#REF!</v>
      </c>
      <c r="BP399" s="43" t="e">
        <f t="shared" si="200"/>
        <v>#REF!</v>
      </c>
      <c r="BQ399" s="43" t="e">
        <f t="shared" si="200"/>
        <v>#REF!</v>
      </c>
    </row>
    <row r="400" spans="1:69" x14ac:dyDescent="0.3">
      <c r="A400" s="696" t="s">
        <v>901</v>
      </c>
      <c r="B400" s="696"/>
      <c r="C400" s="696"/>
      <c r="D400" s="696"/>
      <c r="E400" s="696"/>
      <c r="F400" s="696"/>
      <c r="G400" s="696"/>
      <c r="H400" s="696"/>
      <c r="I400" s="42">
        <f>L1265</f>
        <v>0.47771918674580288</v>
      </c>
      <c r="N400" s="207"/>
      <c r="O400" s="207"/>
      <c r="P400" s="208"/>
      <c r="Q400" s="208"/>
      <c r="R400" s="208"/>
      <c r="S400" s="208"/>
      <c r="T400" s="208"/>
      <c r="U400" s="208"/>
      <c r="V400" s="208"/>
      <c r="W400" s="208"/>
      <c r="X400" s="208"/>
      <c r="Y400" s="208"/>
      <c r="Z400" s="208"/>
      <c r="AA400" s="208"/>
      <c r="AB400" s="208"/>
      <c r="AC400" s="208"/>
      <c r="AD400" s="208"/>
      <c r="AE400" s="208"/>
      <c r="AF400" s="208"/>
      <c r="AG400" s="208"/>
      <c r="AH400" s="208"/>
      <c r="AI400" s="208"/>
      <c r="AJ400" s="208"/>
      <c r="AK400" s="208"/>
      <c r="AL400" s="208"/>
      <c r="AM400" s="208"/>
      <c r="AN400" s="208"/>
      <c r="AO400" s="208"/>
      <c r="AP400" s="425"/>
      <c r="AT400" s="43" t="e">
        <f t="shared" ref="AT400:BQ400" si="201">IF(AT399*O364&lt;0,0,AT399*O364)</f>
        <v>#REF!</v>
      </c>
      <c r="AU400" s="43" t="e">
        <f t="shared" si="201"/>
        <v>#REF!</v>
      </c>
      <c r="AV400" s="43" t="e">
        <f t="shared" si="201"/>
        <v>#REF!</v>
      </c>
      <c r="AW400" s="43" t="e">
        <f t="shared" si="201"/>
        <v>#REF!</v>
      </c>
      <c r="AX400" s="43" t="e">
        <f t="shared" si="201"/>
        <v>#REF!</v>
      </c>
      <c r="AY400" s="43" t="e">
        <f t="shared" si="201"/>
        <v>#REF!</v>
      </c>
      <c r="AZ400" s="43" t="e">
        <f t="shared" si="201"/>
        <v>#REF!</v>
      </c>
      <c r="BA400" s="43" t="e">
        <f t="shared" si="201"/>
        <v>#REF!</v>
      </c>
      <c r="BB400" s="43" t="e">
        <f t="shared" si="201"/>
        <v>#REF!</v>
      </c>
      <c r="BC400" s="43" t="e">
        <f t="shared" si="201"/>
        <v>#REF!</v>
      </c>
      <c r="BD400" s="43" t="e">
        <f t="shared" si="201"/>
        <v>#REF!</v>
      </c>
      <c r="BE400" s="43" t="e">
        <f t="shared" si="201"/>
        <v>#REF!</v>
      </c>
      <c r="BF400" s="43" t="e">
        <f t="shared" si="201"/>
        <v>#REF!</v>
      </c>
      <c r="BG400" s="43" t="e">
        <f t="shared" si="201"/>
        <v>#REF!</v>
      </c>
      <c r="BH400" s="43" t="e">
        <f t="shared" si="201"/>
        <v>#REF!</v>
      </c>
      <c r="BI400" s="43" t="e">
        <f t="shared" si="201"/>
        <v>#REF!</v>
      </c>
      <c r="BJ400" s="43" t="e">
        <f t="shared" si="201"/>
        <v>#REF!</v>
      </c>
      <c r="BK400" s="43" t="e">
        <f t="shared" si="201"/>
        <v>#REF!</v>
      </c>
      <c r="BL400" s="43" t="e">
        <f t="shared" si="201"/>
        <v>#REF!</v>
      </c>
      <c r="BM400" s="43" t="e">
        <f t="shared" si="201"/>
        <v>#REF!</v>
      </c>
      <c r="BN400" s="43" t="e">
        <f t="shared" si="201"/>
        <v>#REF!</v>
      </c>
      <c r="BO400" s="43" t="e">
        <f t="shared" si="201"/>
        <v>#REF!</v>
      </c>
      <c r="BP400" s="43" t="e">
        <f t="shared" si="201"/>
        <v>#REF!</v>
      </c>
      <c r="BQ400" s="43" t="e">
        <f t="shared" si="201"/>
        <v>#REF!</v>
      </c>
    </row>
    <row r="401" spans="1:42" x14ac:dyDescent="0.3">
      <c r="A401" s="696" t="s">
        <v>703</v>
      </c>
      <c r="B401" s="696"/>
      <c r="C401" s="696"/>
      <c r="D401" s="696"/>
      <c r="E401" s="696"/>
      <c r="F401" s="696"/>
      <c r="G401" s="696"/>
      <c r="H401" s="696"/>
      <c r="I401" s="42">
        <f>L1399</f>
        <v>0.35396073262513633</v>
      </c>
      <c r="N401" s="207"/>
      <c r="O401" s="207"/>
      <c r="P401" s="208"/>
      <c r="Q401" s="208"/>
      <c r="R401" s="208"/>
      <c r="S401" s="208"/>
      <c r="T401" s="208"/>
      <c r="U401" s="208"/>
      <c r="V401" s="208"/>
      <c r="W401" s="208"/>
      <c r="X401" s="208"/>
      <c r="Y401" s="208"/>
      <c r="Z401" s="208"/>
      <c r="AA401" s="208"/>
      <c r="AB401" s="208"/>
      <c r="AC401" s="208"/>
      <c r="AD401" s="208"/>
      <c r="AE401" s="208"/>
      <c r="AF401" s="208"/>
      <c r="AG401" s="208"/>
      <c r="AH401" s="208"/>
      <c r="AI401" s="208"/>
      <c r="AJ401" s="208"/>
      <c r="AK401" s="208"/>
      <c r="AL401" s="208"/>
      <c r="AM401" s="208"/>
      <c r="AN401" s="208"/>
      <c r="AO401" s="208"/>
      <c r="AP401" s="425"/>
    </row>
    <row r="402" spans="1:42" x14ac:dyDescent="0.3">
      <c r="A402" s="696" t="s">
        <v>902</v>
      </c>
      <c r="B402" s="696"/>
      <c r="C402" s="696"/>
      <c r="D402" s="696"/>
      <c r="E402" s="696"/>
      <c r="F402" s="696"/>
      <c r="G402" s="696"/>
      <c r="H402" s="696"/>
      <c r="I402" s="42">
        <f>L1210</f>
        <v>0.25276256708669598</v>
      </c>
      <c r="N402" s="849" t="s">
        <v>657</v>
      </c>
      <c r="O402" s="849"/>
      <c r="P402" s="421"/>
      <c r="Q402" s="421" t="s">
        <v>659</v>
      </c>
      <c r="R402" s="208"/>
      <c r="S402" s="421" t="s">
        <v>658</v>
      </c>
      <c r="T402" s="421"/>
      <c r="U402" s="421" t="s">
        <v>660</v>
      </c>
      <c r="V402" s="208"/>
      <c r="W402" s="208"/>
      <c r="X402" s="208"/>
      <c r="Y402" s="208"/>
      <c r="Z402" s="208"/>
      <c r="AA402" s="208"/>
      <c r="AB402" s="208"/>
      <c r="AC402" s="208"/>
      <c r="AD402" s="208"/>
      <c r="AE402" s="208"/>
      <c r="AF402" s="208"/>
      <c r="AG402" s="208"/>
      <c r="AH402" s="208"/>
      <c r="AI402" s="208"/>
      <c r="AJ402" s="208"/>
      <c r="AK402" s="208"/>
      <c r="AL402" s="208"/>
      <c r="AM402" s="208"/>
      <c r="AN402" s="208"/>
      <c r="AO402" s="208"/>
      <c r="AP402" s="189"/>
    </row>
    <row r="403" spans="1:42" x14ac:dyDescent="0.3">
      <c r="A403" s="696" t="s">
        <v>1036</v>
      </c>
      <c r="B403" s="696"/>
      <c r="C403" s="696"/>
      <c r="D403" s="696"/>
      <c r="E403" s="696"/>
      <c r="F403" s="696"/>
      <c r="G403" s="696"/>
      <c r="H403" s="696"/>
      <c r="I403" s="42">
        <f>L1319</f>
        <v>0.41711237387778188</v>
      </c>
      <c r="N403" s="173" t="s">
        <v>904</v>
      </c>
      <c r="O403" s="173" t="s">
        <v>905</v>
      </c>
      <c r="P403" s="176"/>
      <c r="Q403" s="848" t="e">
        <f>SUM(P404:P406)/SUM(O404:O406)</f>
        <v>#DIV/0!</v>
      </c>
      <c r="R403" s="208"/>
      <c r="S403" s="176" t="s">
        <v>904</v>
      </c>
      <c r="T403" s="176" t="s">
        <v>905</v>
      </c>
      <c r="U403" s="848">
        <f>(S404*T404+S405*T405)/(T404+T405)</f>
        <v>0.25069822466978497</v>
      </c>
      <c r="V403" s="208"/>
      <c r="W403" s="208"/>
      <c r="X403" s="208"/>
      <c r="Y403" s="208"/>
      <c r="Z403" s="208"/>
      <c r="AA403" s="208"/>
      <c r="AB403" s="208"/>
      <c r="AC403" s="208"/>
      <c r="AD403" s="208"/>
      <c r="AE403" s="208"/>
      <c r="AF403" s="208"/>
      <c r="AG403" s="208"/>
      <c r="AH403" s="208"/>
      <c r="AI403" s="208"/>
      <c r="AJ403" s="208"/>
      <c r="AK403" s="208"/>
      <c r="AL403" s="208"/>
      <c r="AM403" s="208"/>
      <c r="AN403" s="208"/>
      <c r="AO403" s="208"/>
      <c r="AP403" s="189"/>
    </row>
    <row r="404" spans="1:42" x14ac:dyDescent="0.3">
      <c r="A404" s="696" t="s">
        <v>972</v>
      </c>
      <c r="B404" s="696"/>
      <c r="C404" s="696"/>
      <c r="D404" s="696"/>
      <c r="E404" s="696"/>
      <c r="F404" s="696"/>
      <c r="G404" s="696"/>
      <c r="H404" s="696"/>
      <c r="I404" s="42">
        <f ca="1">L1115</f>
        <v>0.21257066417245804</v>
      </c>
      <c r="N404" s="389">
        <f>L1162</f>
        <v>0.24821613270047677</v>
      </c>
      <c r="O404" s="390">
        <f>E145</f>
        <v>0</v>
      </c>
      <c r="P404" s="176">
        <f>N404*O404</f>
        <v>0</v>
      </c>
      <c r="Q404" s="848"/>
      <c r="R404" s="208"/>
      <c r="S404" s="391">
        <f>L1132</f>
        <v>0.25069822466978497</v>
      </c>
      <c r="T404" s="392">
        <f>C145</f>
        <v>1E-22</v>
      </c>
      <c r="U404" s="848"/>
      <c r="V404" s="208"/>
      <c r="W404" s="208"/>
      <c r="X404" s="208"/>
      <c r="Y404" s="208"/>
      <c r="Z404" s="208"/>
      <c r="AA404" s="208"/>
      <c r="AB404" s="208"/>
      <c r="AC404" s="208"/>
      <c r="AD404" s="208"/>
      <c r="AE404" s="208"/>
      <c r="AF404" s="208"/>
      <c r="AG404" s="208"/>
      <c r="AH404" s="208"/>
      <c r="AI404" s="208"/>
      <c r="AJ404" s="208"/>
      <c r="AK404" s="208"/>
      <c r="AL404" s="208"/>
      <c r="AM404" s="208"/>
      <c r="AN404" s="208"/>
      <c r="AO404" s="208"/>
      <c r="AP404" s="189"/>
    </row>
    <row r="405" spans="1:42" x14ac:dyDescent="0.3">
      <c r="A405" s="696" t="s">
        <v>971</v>
      </c>
      <c r="B405" s="696"/>
      <c r="C405" s="696"/>
      <c r="D405" s="696"/>
      <c r="E405" s="696"/>
      <c r="F405" s="696"/>
      <c r="G405" s="696"/>
      <c r="H405" s="696"/>
      <c r="I405" s="304">
        <f>U403</f>
        <v>0.25069822466978497</v>
      </c>
      <c r="N405" s="389">
        <f>L1180</f>
        <v>0.31050280985852913</v>
      </c>
      <c r="O405" s="390">
        <f>F145</f>
        <v>0</v>
      </c>
      <c r="P405" s="176">
        <f>N405*O405</f>
        <v>0</v>
      </c>
      <c r="Q405" s="848"/>
      <c r="R405" s="208"/>
      <c r="S405" s="391">
        <f>L1148</f>
        <v>0.25099071131333112</v>
      </c>
      <c r="T405" s="392">
        <f>D145</f>
        <v>1E-52</v>
      </c>
      <c r="U405" s="848"/>
      <c r="V405" s="208"/>
      <c r="W405" s="208"/>
      <c r="X405" s="208"/>
      <c r="Y405" s="208"/>
      <c r="Z405" s="208"/>
      <c r="AA405" s="208"/>
      <c r="AB405" s="208"/>
      <c r="AC405" s="208"/>
      <c r="AD405" s="208"/>
      <c r="AE405" s="208"/>
      <c r="AF405" s="208"/>
      <c r="AG405" s="208"/>
      <c r="AH405" s="208"/>
      <c r="AI405" s="208"/>
      <c r="AJ405" s="208"/>
      <c r="AK405" s="208"/>
      <c r="AL405" s="208"/>
      <c r="AM405" s="208"/>
      <c r="AN405" s="208"/>
      <c r="AO405" s="208"/>
      <c r="AP405" s="189"/>
    </row>
    <row r="406" spans="1:42" x14ac:dyDescent="0.3">
      <c r="A406" s="795" t="s">
        <v>909</v>
      </c>
      <c r="B406" s="927"/>
      <c r="C406" s="927"/>
      <c r="D406" s="927"/>
      <c r="E406" s="927"/>
      <c r="F406" s="927"/>
      <c r="G406" s="927"/>
      <c r="H406" s="928"/>
      <c r="I406" s="304" t="e">
        <f>I433</f>
        <v>#DIV/0!</v>
      </c>
      <c r="N406" s="389">
        <f>L1194</f>
        <v>0.24821613270047677</v>
      </c>
      <c r="O406" s="390">
        <f>G145</f>
        <v>0</v>
      </c>
      <c r="P406" s="176">
        <f>N406*O406</f>
        <v>0</v>
      </c>
      <c r="Q406" s="848"/>
      <c r="R406" s="208"/>
      <c r="S406" s="208"/>
      <c r="T406" s="208"/>
      <c r="U406" s="208"/>
      <c r="V406" s="208"/>
      <c r="W406" s="208"/>
      <c r="X406" s="208"/>
      <c r="Y406" s="208"/>
      <c r="Z406" s="208"/>
      <c r="AA406" s="208"/>
      <c r="AB406" s="208"/>
      <c r="AC406" s="208"/>
      <c r="AD406" s="208"/>
      <c r="AE406" s="208"/>
      <c r="AF406" s="208"/>
      <c r="AG406" s="208"/>
      <c r="AH406" s="208"/>
      <c r="AI406" s="208"/>
      <c r="AJ406" s="208"/>
      <c r="AK406" s="208"/>
      <c r="AL406" s="208"/>
      <c r="AM406" s="208"/>
      <c r="AN406" s="208"/>
      <c r="AO406" s="208"/>
      <c r="AP406" s="189"/>
    </row>
    <row r="408" spans="1:42" ht="18" x14ac:dyDescent="0.35">
      <c r="A408" s="15"/>
      <c r="B408" s="5"/>
      <c r="C408" s="5"/>
      <c r="D408" s="5"/>
      <c r="E408" s="5"/>
      <c r="F408" s="5"/>
      <c r="G408" s="5"/>
      <c r="H408" s="5"/>
      <c r="I408" s="5"/>
    </row>
    <row r="409" spans="1:42" ht="19.8" x14ac:dyDescent="0.4">
      <c r="A409" s="15" t="s">
        <v>956</v>
      </c>
      <c r="B409" s="5"/>
      <c r="C409" s="5"/>
      <c r="D409" s="5"/>
      <c r="E409" s="5"/>
      <c r="F409" s="5"/>
      <c r="G409" s="5"/>
      <c r="H409" s="5"/>
      <c r="I409" s="5"/>
      <c r="O409" s="1" t="s">
        <v>435</v>
      </c>
    </row>
    <row r="410" spans="1:42" ht="20.399999999999999" x14ac:dyDescent="0.45">
      <c r="A410" s="720" t="s">
        <v>952</v>
      </c>
      <c r="B410" s="589"/>
      <c r="C410" s="589"/>
      <c r="D410" s="589"/>
      <c r="E410" s="589"/>
      <c r="F410" s="589"/>
      <c r="G410" s="589"/>
      <c r="H410" s="589"/>
      <c r="I410" s="589"/>
      <c r="J410" s="589"/>
      <c r="K410" s="926"/>
      <c r="O410" s="1" t="s">
        <v>436</v>
      </c>
      <c r="P410" s="1" t="s">
        <v>437</v>
      </c>
    </row>
    <row r="411" spans="1:42" ht="20.399999999999999" x14ac:dyDescent="0.45">
      <c r="A411" s="720" t="s">
        <v>1055</v>
      </c>
      <c r="B411" s="589"/>
      <c r="C411" s="589"/>
      <c r="D411" s="589"/>
      <c r="E411" s="589"/>
      <c r="F411" s="589"/>
      <c r="G411" s="589"/>
      <c r="H411" s="589"/>
      <c r="I411" s="589"/>
      <c r="J411" s="589"/>
      <c r="K411" s="926"/>
      <c r="O411" s="440" t="e">
        <f>I433*J433</f>
        <v>#DIV/0!</v>
      </c>
      <c r="P411" s="440">
        <f>K433*L433*K$199</f>
        <v>0</v>
      </c>
    </row>
    <row r="412" spans="1:42" ht="20.399999999999999" x14ac:dyDescent="0.45">
      <c r="A412" s="720" t="s">
        <v>953</v>
      </c>
      <c r="B412" s="589"/>
      <c r="C412" s="589"/>
      <c r="D412" s="589"/>
      <c r="E412" s="589"/>
      <c r="F412" s="589"/>
      <c r="G412" s="589"/>
      <c r="H412" s="589"/>
      <c r="I412" s="589"/>
      <c r="J412" s="589"/>
      <c r="K412" s="926"/>
      <c r="O412" s="440" t="e">
        <f>I434*J434</f>
        <v>#DIV/0!</v>
      </c>
      <c r="P412" s="440">
        <f>K434*L434*K$199</f>
        <v>0</v>
      </c>
    </row>
    <row r="413" spans="1:42" ht="20.399999999999999" x14ac:dyDescent="0.45">
      <c r="A413" s="720" t="s">
        <v>954</v>
      </c>
      <c r="B413" s="589"/>
      <c r="C413" s="589"/>
      <c r="D413" s="589"/>
      <c r="E413" s="589"/>
      <c r="F413" s="589"/>
      <c r="G413" s="589"/>
      <c r="H413" s="589"/>
      <c r="I413" s="589"/>
      <c r="J413" s="589"/>
      <c r="K413" s="926"/>
      <c r="O413" s="440">
        <f>I435*J435</f>
        <v>2.5069822466978498E-23</v>
      </c>
      <c r="P413" s="440">
        <f>K435*L435*K$199</f>
        <v>0</v>
      </c>
      <c r="T413"/>
    </row>
    <row r="414" spans="1:42" ht="20.399999999999999" x14ac:dyDescent="0.45">
      <c r="A414" s="720" t="s">
        <v>955</v>
      </c>
      <c r="B414" s="589"/>
      <c r="C414" s="589"/>
      <c r="D414" s="589"/>
      <c r="E414" s="589"/>
      <c r="F414" s="589"/>
      <c r="G414" s="589"/>
      <c r="H414" s="589"/>
      <c r="I414" s="589"/>
      <c r="J414" s="589"/>
      <c r="K414" s="926"/>
      <c r="O414" s="440">
        <f ca="1">I436*J436</f>
        <v>2.1257066417245803E-42</v>
      </c>
      <c r="P414" s="440"/>
    </row>
    <row r="415" spans="1:42" ht="18" x14ac:dyDescent="0.35">
      <c r="A415" s="15"/>
      <c r="B415"/>
      <c r="C415" s="14"/>
      <c r="D415" s="14"/>
      <c r="E415" s="14"/>
      <c r="F415" s="14"/>
      <c r="G415" s="14"/>
      <c r="H415" s="14"/>
      <c r="I415" s="14"/>
      <c r="J415" s="14"/>
      <c r="K415" s="23"/>
      <c r="O415" s="440">
        <f>I437*J437</f>
        <v>0</v>
      </c>
      <c r="P415" s="440">
        <f>K437*L437*K$199</f>
        <v>0</v>
      </c>
    </row>
    <row r="416" spans="1:42" ht="18" x14ac:dyDescent="0.35">
      <c r="A416" s="15" t="s">
        <v>956</v>
      </c>
      <c r="B416"/>
      <c r="C416" s="14"/>
      <c r="D416" s="14"/>
      <c r="E416" s="14"/>
      <c r="F416" s="14"/>
      <c r="G416" s="14"/>
      <c r="H416" s="14"/>
      <c r="I416" s="14"/>
      <c r="J416" s="14"/>
      <c r="K416" s="23"/>
      <c r="O416" s="441" t="e">
        <f>SUM(O411:O415)</f>
        <v>#DIV/0!</v>
      </c>
      <c r="P416" s="441">
        <f>SUM(P411:P415)</f>
        <v>0</v>
      </c>
    </row>
    <row r="417" spans="1:69" ht="20.399999999999999" x14ac:dyDescent="0.45">
      <c r="A417" s="720" t="s">
        <v>957</v>
      </c>
      <c r="B417" s="589"/>
      <c r="C417" s="589"/>
      <c r="D417" s="589"/>
      <c r="E417" s="589"/>
      <c r="F417" s="589"/>
      <c r="G417" s="589"/>
      <c r="H417" s="589"/>
      <c r="I417" s="589"/>
      <c r="J417" s="589"/>
      <c r="K417" s="926"/>
      <c r="O417" s="1" t="s">
        <v>438</v>
      </c>
    </row>
    <row r="418" spans="1:69" ht="20.399999999999999" x14ac:dyDescent="0.45">
      <c r="A418" s="720" t="s">
        <v>958</v>
      </c>
      <c r="B418" s="589"/>
      <c r="C418" s="589"/>
      <c r="D418" s="589"/>
      <c r="E418" s="589"/>
      <c r="F418" s="589"/>
      <c r="G418" s="589"/>
      <c r="H418" s="589"/>
      <c r="I418" s="589"/>
      <c r="J418" s="589"/>
      <c r="K418" s="926"/>
      <c r="O418" s="440">
        <f>I447*J447</f>
        <v>4.7771918674580286E-45</v>
      </c>
      <c r="P418" s="440">
        <f>K447*L447*K$199</f>
        <v>0</v>
      </c>
    </row>
    <row r="419" spans="1:69" ht="18" x14ac:dyDescent="0.35">
      <c r="A419" s="15"/>
      <c r="B419"/>
      <c r="C419" s="14"/>
      <c r="D419" s="14"/>
      <c r="E419" s="14"/>
      <c r="F419" s="14"/>
      <c r="G419" s="14"/>
      <c r="H419" s="14"/>
      <c r="I419" s="14"/>
      <c r="J419" s="14"/>
      <c r="K419" s="23"/>
      <c r="O419" s="440">
        <f>I448*J448</f>
        <v>0</v>
      </c>
      <c r="P419" s="440">
        <f>K448*L448*K$199</f>
        <v>0</v>
      </c>
    </row>
    <row r="420" spans="1:69" ht="18" x14ac:dyDescent="0.35">
      <c r="A420" s="15" t="s">
        <v>956</v>
      </c>
      <c r="B420" s="14"/>
      <c r="C420" s="14"/>
      <c r="D420" s="14"/>
      <c r="E420" s="14"/>
      <c r="F420" s="14"/>
      <c r="G420" s="14"/>
      <c r="H420" s="14"/>
      <c r="I420" s="14"/>
      <c r="J420" s="14"/>
      <c r="K420" s="23"/>
      <c r="O420" s="440">
        <f>I449*J449</f>
        <v>0</v>
      </c>
      <c r="P420" s="440">
        <f>K449*L449*K$199</f>
        <v>0</v>
      </c>
    </row>
    <row r="421" spans="1:69" ht="18" x14ac:dyDescent="0.35">
      <c r="A421" s="15"/>
      <c r="B421"/>
      <c r="C421" s="14"/>
      <c r="D421" s="14"/>
      <c r="E421" s="14"/>
      <c r="F421" s="14"/>
      <c r="G421" s="14"/>
      <c r="H421" s="14"/>
      <c r="I421" s="14"/>
      <c r="J421" s="14"/>
      <c r="K421" s="23"/>
      <c r="O421" s="440">
        <f>I450*J450</f>
        <v>0</v>
      </c>
      <c r="P421" s="440">
        <f>K450*L450*K$199</f>
        <v>0</v>
      </c>
    </row>
    <row r="422" spans="1:69" ht="18" x14ac:dyDescent="0.35">
      <c r="A422" s="15"/>
      <c r="B422"/>
      <c r="C422" s="14"/>
      <c r="D422" s="14"/>
      <c r="E422" s="14"/>
      <c r="F422" s="14"/>
      <c r="G422" s="14"/>
      <c r="H422" s="14"/>
      <c r="I422" s="14"/>
      <c r="J422" s="14"/>
      <c r="K422" s="23"/>
      <c r="O422" s="441">
        <f>SUM(O418:O421)</f>
        <v>4.7771918674580286E-45</v>
      </c>
      <c r="P422" s="441">
        <f>SUM(P418:P421)</f>
        <v>0</v>
      </c>
    </row>
    <row r="423" spans="1:69" ht="18.600000000000001" thickBot="1" x14ac:dyDescent="0.4">
      <c r="A423" s="644" t="s">
        <v>908</v>
      </c>
      <c r="B423" s="766"/>
      <c r="C423" s="766"/>
      <c r="D423" s="766"/>
      <c r="E423" s="766"/>
      <c r="F423" s="766"/>
      <c r="G423" s="766"/>
      <c r="H423" s="766"/>
      <c r="I423" s="766"/>
      <c r="J423" s="766"/>
      <c r="K423" s="766"/>
    </row>
    <row r="424" spans="1:69" ht="20.399999999999999" x14ac:dyDescent="0.45">
      <c r="A424" s="644" t="s">
        <v>974</v>
      </c>
      <c r="B424" s="766"/>
      <c r="C424" s="766"/>
      <c r="D424" s="766"/>
      <c r="E424" s="766"/>
      <c r="F424" s="766"/>
      <c r="G424" s="766"/>
      <c r="H424" s="766"/>
      <c r="I424" s="766"/>
      <c r="J424" s="766"/>
      <c r="K424" s="766"/>
      <c r="N424" s="818" t="s">
        <v>172</v>
      </c>
      <c r="O424" s="821">
        <v>8</v>
      </c>
      <c r="P424" s="180" t="s">
        <v>522</v>
      </c>
      <c r="Q424" s="181"/>
      <c r="R424" s="182"/>
      <c r="S424" s="182"/>
      <c r="T424" s="182"/>
      <c r="U424" s="182"/>
      <c r="V424" s="182"/>
      <c r="W424" s="182"/>
      <c r="X424" s="182"/>
      <c r="Y424" s="182"/>
      <c r="Z424" s="182"/>
      <c r="AA424" s="182"/>
      <c r="AB424" s="182"/>
      <c r="AC424" s="182"/>
      <c r="AD424" s="182"/>
      <c r="AE424" s="182"/>
      <c r="AF424" s="182"/>
      <c r="AG424" s="182"/>
      <c r="AH424" s="182"/>
      <c r="AI424" s="182"/>
      <c r="AJ424" s="182"/>
      <c r="AK424" s="182"/>
      <c r="AL424" s="182"/>
      <c r="AM424" s="262"/>
      <c r="AN424" s="207"/>
      <c r="AO424" s="275"/>
      <c r="AP424" s="189"/>
      <c r="AT424" s="929"/>
      <c r="AU424" s="929"/>
      <c r="AV424" s="929"/>
      <c r="AW424" s="929"/>
      <c r="AX424" s="929"/>
      <c r="AY424" s="929"/>
      <c r="AZ424" s="929"/>
      <c r="BA424" s="929"/>
      <c r="BB424" s="929"/>
      <c r="BC424" s="929"/>
      <c r="BD424" s="929"/>
      <c r="BE424" s="929"/>
      <c r="BF424" s="929"/>
      <c r="BG424" s="929"/>
      <c r="BH424" s="929"/>
      <c r="BI424" s="929"/>
      <c r="BJ424" s="929"/>
      <c r="BK424" s="929"/>
      <c r="BL424" s="929"/>
      <c r="BM424" s="929"/>
      <c r="BN424" s="929"/>
      <c r="BO424" s="929"/>
      <c r="BP424" s="929"/>
      <c r="BQ424" s="929"/>
    </row>
    <row r="425" spans="1:69" ht="18" hidden="1" x14ac:dyDescent="0.35">
      <c r="A425" s="5"/>
      <c r="B425" s="5"/>
      <c r="C425" s="5"/>
      <c r="D425" s="5"/>
      <c r="E425" s="5"/>
      <c r="F425" s="5"/>
      <c r="G425" s="5"/>
      <c r="H425" s="5"/>
      <c r="I425" s="5"/>
      <c r="N425" s="819"/>
      <c r="O425" s="822"/>
      <c r="P425" s="183" t="s">
        <v>531</v>
      </c>
      <c r="Q425" s="184"/>
      <c r="R425" s="173"/>
      <c r="S425" s="173"/>
      <c r="T425" s="173"/>
      <c r="U425" s="173"/>
      <c r="V425" s="173"/>
      <c r="W425" s="173"/>
      <c r="X425" s="173"/>
      <c r="Y425" s="173"/>
      <c r="Z425" s="173"/>
      <c r="AA425" s="173"/>
      <c r="AB425" s="173"/>
      <c r="AC425" s="173"/>
      <c r="AD425" s="173"/>
      <c r="AE425" s="173"/>
      <c r="AF425" s="173"/>
      <c r="AG425" s="173"/>
      <c r="AH425" s="173"/>
      <c r="AI425" s="173"/>
      <c r="AJ425" s="173"/>
      <c r="AK425" s="173"/>
      <c r="AL425" s="173"/>
      <c r="AM425" s="259"/>
      <c r="AN425" s="207"/>
      <c r="AO425" s="254"/>
      <c r="AP425" s="189"/>
    </row>
    <row r="426" spans="1:69" ht="18.600000000000001" hidden="1" x14ac:dyDescent="0.4">
      <c r="A426" s="586" t="s">
        <v>59</v>
      </c>
      <c r="B426" s="586"/>
      <c r="C426" s="586"/>
      <c r="D426" s="586"/>
      <c r="E426" s="586"/>
      <c r="F426" s="586"/>
      <c r="G426" s="586"/>
      <c r="H426" s="586"/>
      <c r="K426" s="7" t="s">
        <v>911</v>
      </c>
      <c r="L426" s="17">
        <f>O25</f>
        <v>0</v>
      </c>
      <c r="M426" s="335"/>
      <c r="N426" s="819"/>
      <c r="O426" s="822"/>
      <c r="P426" s="170" t="s">
        <v>523</v>
      </c>
      <c r="Q426" s="172"/>
      <c r="R426" s="173"/>
      <c r="S426" s="173"/>
      <c r="T426" s="173"/>
      <c r="U426" s="173"/>
      <c r="V426" s="173"/>
      <c r="W426" s="173"/>
      <c r="X426" s="173"/>
      <c r="Y426" s="173"/>
      <c r="Z426" s="173"/>
      <c r="AA426" s="173"/>
      <c r="AB426" s="173"/>
      <c r="AC426" s="173"/>
      <c r="AD426" s="173"/>
      <c r="AE426" s="173"/>
      <c r="AF426" s="173"/>
      <c r="AG426" s="173"/>
      <c r="AH426" s="173"/>
      <c r="AI426" s="173"/>
      <c r="AJ426" s="173"/>
      <c r="AK426" s="173"/>
      <c r="AL426" s="173"/>
      <c r="AM426" s="259"/>
      <c r="AN426" s="207"/>
      <c r="AO426" s="276"/>
      <c r="AP426" s="189"/>
    </row>
    <row r="427" spans="1:69" ht="18.600000000000001" hidden="1" x14ac:dyDescent="0.4">
      <c r="A427" s="586" t="s">
        <v>62</v>
      </c>
      <c r="B427" s="586"/>
      <c r="C427" s="586"/>
      <c r="D427" s="586"/>
      <c r="E427" s="586"/>
      <c r="F427" s="586"/>
      <c r="G427" s="586"/>
      <c r="H427" s="586"/>
      <c r="K427" s="7" t="s">
        <v>912</v>
      </c>
      <c r="L427" s="17">
        <f>H136</f>
        <v>0</v>
      </c>
      <c r="M427" s="335"/>
      <c r="N427" s="819"/>
      <c r="O427" s="822"/>
      <c r="P427" s="174" t="s">
        <v>524</v>
      </c>
      <c r="Q427" s="175"/>
      <c r="R427" s="176"/>
      <c r="S427" s="176"/>
      <c r="T427" s="176"/>
      <c r="U427" s="176"/>
      <c r="V427" s="176"/>
      <c r="W427" s="176"/>
      <c r="X427" s="176"/>
      <c r="Y427" s="176"/>
      <c r="Z427" s="176"/>
      <c r="AA427" s="176"/>
      <c r="AB427" s="176"/>
      <c r="AC427" s="176"/>
      <c r="AD427" s="176"/>
      <c r="AE427" s="176"/>
      <c r="AF427" s="176"/>
      <c r="AG427" s="176"/>
      <c r="AH427" s="176"/>
      <c r="AI427" s="176"/>
      <c r="AJ427" s="176"/>
      <c r="AK427" s="176"/>
      <c r="AL427" s="176"/>
      <c r="AM427" s="260"/>
      <c r="AN427" s="208"/>
      <c r="AO427" s="277"/>
      <c r="AP427" s="189"/>
    </row>
    <row r="428" spans="1:69" ht="18.600000000000001" hidden="1" x14ac:dyDescent="0.4">
      <c r="A428" s="586" t="s">
        <v>1027</v>
      </c>
      <c r="B428" s="586"/>
      <c r="C428" s="586"/>
      <c r="D428" s="586"/>
      <c r="E428" s="586"/>
      <c r="F428" s="586"/>
      <c r="G428" s="586"/>
      <c r="H428" s="586"/>
      <c r="K428" s="7" t="s">
        <v>913</v>
      </c>
      <c r="L428" s="81">
        <f>J25</f>
        <v>0</v>
      </c>
      <c r="M428" s="335"/>
      <c r="N428" s="819"/>
      <c r="O428" s="822"/>
      <c r="P428" s="170" t="s">
        <v>525</v>
      </c>
      <c r="Q428" s="172"/>
      <c r="R428" s="173"/>
      <c r="S428" s="173"/>
      <c r="T428" s="173"/>
      <c r="U428" s="173"/>
      <c r="V428" s="173"/>
      <c r="W428" s="173"/>
      <c r="X428" s="173"/>
      <c r="Y428" s="173"/>
      <c r="Z428" s="173"/>
      <c r="AA428" s="173"/>
      <c r="AB428" s="173"/>
      <c r="AC428" s="173"/>
      <c r="AD428" s="173"/>
      <c r="AE428" s="173"/>
      <c r="AF428" s="173"/>
      <c r="AG428" s="173"/>
      <c r="AH428" s="173"/>
      <c r="AI428" s="173"/>
      <c r="AJ428" s="173"/>
      <c r="AK428" s="173"/>
      <c r="AL428" s="173"/>
      <c r="AM428" s="259"/>
      <c r="AN428" s="207"/>
      <c r="AO428" s="276"/>
      <c r="AP428" s="189"/>
    </row>
    <row r="429" spans="1:69" ht="18.600000000000001" hidden="1" x14ac:dyDescent="0.4">
      <c r="A429" s="586" t="s">
        <v>287</v>
      </c>
      <c r="B429" s="586"/>
      <c r="C429" s="586"/>
      <c r="D429" s="586"/>
      <c r="E429" s="586"/>
      <c r="F429" s="586"/>
      <c r="G429" s="586"/>
      <c r="H429" s="586"/>
      <c r="K429" s="7" t="s">
        <v>930</v>
      </c>
      <c r="L429" s="44">
        <v>0</v>
      </c>
      <c r="M429" s="335"/>
      <c r="N429" s="819"/>
      <c r="O429" s="822"/>
      <c r="P429" s="170" t="s">
        <v>526</v>
      </c>
      <c r="Q429" s="172"/>
      <c r="R429" s="173"/>
      <c r="S429" s="173"/>
      <c r="T429" s="173"/>
      <c r="U429" s="173"/>
      <c r="V429" s="173"/>
      <c r="W429" s="173"/>
      <c r="X429" s="173"/>
      <c r="Y429" s="173"/>
      <c r="Z429" s="173"/>
      <c r="AA429" s="173"/>
      <c r="AB429" s="173"/>
      <c r="AC429" s="173"/>
      <c r="AD429" s="173"/>
      <c r="AE429" s="173"/>
      <c r="AF429" s="173"/>
      <c r="AG429" s="173"/>
      <c r="AH429" s="173"/>
      <c r="AI429" s="173"/>
      <c r="AJ429" s="173"/>
      <c r="AK429" s="173"/>
      <c r="AL429" s="173"/>
      <c r="AM429" s="259"/>
      <c r="AN429" s="207"/>
      <c r="AO429" s="276"/>
      <c r="AP429" s="189"/>
    </row>
    <row r="430" spans="1:69" x14ac:dyDescent="0.3">
      <c r="A430" s="5"/>
      <c r="B430" s="5"/>
      <c r="C430" s="5"/>
      <c r="D430" s="5"/>
      <c r="E430" s="5"/>
      <c r="F430" s="5"/>
      <c r="G430" s="5"/>
      <c r="H430" s="5"/>
      <c r="I430" s="5"/>
      <c r="N430" s="819"/>
      <c r="O430" s="822"/>
      <c r="P430" s="174"/>
      <c r="Q430" s="175"/>
      <c r="R430" s="176"/>
      <c r="S430" s="176"/>
      <c r="T430" s="176"/>
      <c r="U430" s="176"/>
      <c r="V430" s="176"/>
      <c r="W430" s="176"/>
      <c r="X430" s="176"/>
      <c r="Y430" s="176"/>
      <c r="Z430" s="176"/>
      <c r="AA430" s="176"/>
      <c r="AB430" s="176"/>
      <c r="AC430" s="176"/>
      <c r="AD430" s="176"/>
      <c r="AE430" s="176"/>
      <c r="AF430" s="176"/>
      <c r="AG430" s="176"/>
      <c r="AH430" s="176"/>
      <c r="AI430" s="176"/>
      <c r="AJ430" s="176"/>
      <c r="AK430" s="176"/>
      <c r="AL430" s="176"/>
      <c r="AM430" s="260"/>
      <c r="AN430" s="208"/>
      <c r="AO430" s="277"/>
      <c r="AP430" s="189"/>
    </row>
    <row r="431" spans="1:69" x14ac:dyDescent="0.3">
      <c r="A431" s="5"/>
      <c r="B431" s="5"/>
      <c r="C431" s="5"/>
      <c r="D431" s="5"/>
      <c r="E431" s="5"/>
      <c r="F431" s="5"/>
      <c r="G431" s="5"/>
      <c r="H431" s="5"/>
      <c r="I431" s="5"/>
      <c r="N431" s="819"/>
      <c r="O431" s="822"/>
      <c r="P431" s="174"/>
      <c r="Q431" s="175"/>
      <c r="R431" s="176"/>
      <c r="S431" s="176"/>
      <c r="T431" s="176"/>
      <c r="U431" s="176"/>
      <c r="V431" s="176"/>
      <c r="W431" s="176"/>
      <c r="X431" s="176"/>
      <c r="Y431" s="176"/>
      <c r="Z431" s="176"/>
      <c r="AA431" s="176"/>
      <c r="AB431" s="176"/>
      <c r="AC431" s="176"/>
      <c r="AD431" s="176"/>
      <c r="AE431" s="176"/>
      <c r="AF431" s="176"/>
      <c r="AG431" s="176"/>
      <c r="AH431" s="176"/>
      <c r="AI431" s="176"/>
      <c r="AJ431" s="176"/>
      <c r="AK431" s="176"/>
      <c r="AL431" s="176"/>
      <c r="AM431" s="260"/>
      <c r="AN431" s="208"/>
      <c r="AO431" s="277"/>
      <c r="AP431" s="189"/>
    </row>
    <row r="432" spans="1:69" ht="18.600000000000001" x14ac:dyDescent="0.4">
      <c r="A432" s="764" t="s">
        <v>903</v>
      </c>
      <c r="B432" s="764"/>
      <c r="C432" s="764"/>
      <c r="D432" s="764"/>
      <c r="E432" s="566"/>
      <c r="F432" s="566"/>
      <c r="G432" s="566"/>
      <c r="H432" s="566"/>
      <c r="I432" s="8" t="s">
        <v>904</v>
      </c>
      <c r="J432" s="8" t="s">
        <v>905</v>
      </c>
      <c r="K432" s="8" t="s">
        <v>910</v>
      </c>
      <c r="L432" s="8" t="s">
        <v>384</v>
      </c>
      <c r="M432" s="160"/>
      <c r="N432" s="819"/>
      <c r="O432" s="822"/>
      <c r="P432" s="177" t="s">
        <v>528</v>
      </c>
      <c r="Q432" s="178"/>
      <c r="R432" s="179"/>
      <c r="S432" s="179"/>
      <c r="T432" s="179"/>
      <c r="U432" s="179"/>
      <c r="V432" s="179"/>
      <c r="W432" s="179"/>
      <c r="X432" s="179"/>
      <c r="Y432" s="179"/>
      <c r="Z432" s="179"/>
      <c r="AA432" s="179"/>
      <c r="AB432" s="179"/>
      <c r="AC432" s="179"/>
      <c r="AD432" s="179"/>
      <c r="AE432" s="179"/>
      <c r="AF432" s="179"/>
      <c r="AG432" s="179"/>
      <c r="AH432" s="179"/>
      <c r="AI432" s="179"/>
      <c r="AJ432" s="179"/>
      <c r="AK432" s="179"/>
      <c r="AL432" s="179"/>
      <c r="AM432" s="261"/>
      <c r="AN432" s="293"/>
      <c r="AO432" s="278"/>
      <c r="AP432" s="189"/>
    </row>
    <row r="433" spans="1:69" ht="18" x14ac:dyDescent="0.35">
      <c r="A433" s="696" t="s">
        <v>63</v>
      </c>
      <c r="B433" s="696"/>
      <c r="C433" s="696"/>
      <c r="D433" s="696"/>
      <c r="E433" s="566"/>
      <c r="F433" s="566"/>
      <c r="G433" s="566"/>
      <c r="H433" s="566"/>
      <c r="I433" s="6" t="e">
        <f>W139</f>
        <v>#DIV/0!</v>
      </c>
      <c r="J433" s="10">
        <f>H137</f>
        <v>0</v>
      </c>
      <c r="K433" s="10">
        <f>L427</f>
        <v>0</v>
      </c>
      <c r="L433" s="104">
        <v>0.15</v>
      </c>
      <c r="M433" s="162"/>
      <c r="N433" s="819"/>
      <c r="O433" s="822"/>
      <c r="P433" s="177" t="s">
        <v>529</v>
      </c>
      <c r="Q433" s="178"/>
      <c r="R433" s="179"/>
      <c r="S433" s="179"/>
      <c r="T433" s="179"/>
      <c r="U433" s="179"/>
      <c r="V433" s="179"/>
      <c r="W433" s="179"/>
      <c r="X433" s="179"/>
      <c r="Y433" s="179"/>
      <c r="Z433" s="179"/>
      <c r="AA433" s="179"/>
      <c r="AB433" s="179"/>
      <c r="AC433" s="179"/>
      <c r="AD433" s="179"/>
      <c r="AE433" s="179"/>
      <c r="AF433" s="179"/>
      <c r="AG433" s="179"/>
      <c r="AH433" s="179"/>
      <c r="AI433" s="179"/>
      <c r="AJ433" s="179"/>
      <c r="AK433" s="179"/>
      <c r="AL433" s="179"/>
      <c r="AM433" s="261"/>
      <c r="AN433" s="293"/>
      <c r="AO433" s="278"/>
      <c r="AP433" s="189"/>
    </row>
    <row r="434" spans="1:69" ht="18" x14ac:dyDescent="0.35">
      <c r="A434" s="696" t="s">
        <v>64</v>
      </c>
      <c r="B434" s="696"/>
      <c r="C434" s="696"/>
      <c r="D434" s="696"/>
      <c r="E434" s="566"/>
      <c r="F434" s="566"/>
      <c r="G434" s="566"/>
      <c r="H434" s="566"/>
      <c r="I434" s="6" t="e">
        <f>I398</f>
        <v>#DIV/0!</v>
      </c>
      <c r="J434" s="463">
        <f>SUM(D50:K50)-K173</f>
        <v>-9.9999999999999996E-83</v>
      </c>
      <c r="K434" s="10">
        <f>L426</f>
        <v>0</v>
      </c>
      <c r="L434" s="104">
        <v>0.15</v>
      </c>
      <c r="M434" s="162"/>
      <c r="N434" s="819"/>
      <c r="O434" s="822"/>
      <c r="P434" s="174" t="s">
        <v>530</v>
      </c>
      <c r="Q434" s="175"/>
      <c r="R434" s="176"/>
      <c r="S434" s="176"/>
      <c r="T434" s="176"/>
      <c r="U434" s="176"/>
      <c r="V434" s="176"/>
      <c r="W434" s="176"/>
      <c r="X434" s="176"/>
      <c r="Y434" s="176"/>
      <c r="Z434" s="176"/>
      <c r="AA434" s="176"/>
      <c r="AB434" s="176"/>
      <c r="AC434" s="176"/>
      <c r="AD434" s="176"/>
      <c r="AE434" s="176"/>
      <c r="AF434" s="176"/>
      <c r="AG434" s="176"/>
      <c r="AH434" s="176"/>
      <c r="AI434" s="176"/>
      <c r="AJ434" s="176"/>
      <c r="AK434" s="176"/>
      <c r="AL434" s="176"/>
      <c r="AM434" s="260"/>
      <c r="AN434" s="208"/>
      <c r="AO434" s="277"/>
      <c r="AP434" s="189"/>
    </row>
    <row r="435" spans="1:69" ht="18" x14ac:dyDescent="0.35">
      <c r="A435" s="696" t="s">
        <v>65</v>
      </c>
      <c r="B435" s="696"/>
      <c r="C435" s="696"/>
      <c r="D435" s="696"/>
      <c r="E435" s="566"/>
      <c r="F435" s="566"/>
      <c r="G435" s="566"/>
      <c r="H435" s="566"/>
      <c r="I435" s="6">
        <f>I405</f>
        <v>0.25069822466978497</v>
      </c>
      <c r="J435" s="10">
        <f>H153</f>
        <v>1E-22</v>
      </c>
      <c r="K435" s="920">
        <f>L429</f>
        <v>0</v>
      </c>
      <c r="L435" s="925">
        <v>0.2</v>
      </c>
      <c r="M435" s="327"/>
      <c r="N435" s="819"/>
      <c r="O435" s="822"/>
      <c r="P435" s="173" t="s">
        <v>532</v>
      </c>
      <c r="Q435" s="173"/>
      <c r="R435" s="173"/>
      <c r="S435" s="173"/>
      <c r="T435" s="173"/>
      <c r="U435" s="173"/>
      <c r="V435" s="173"/>
      <c r="W435" s="173"/>
      <c r="X435" s="173"/>
      <c r="Y435" s="173"/>
      <c r="Z435" s="173"/>
      <c r="AA435" s="173"/>
      <c r="AB435" s="173"/>
      <c r="AC435" s="173"/>
      <c r="AD435" s="173"/>
      <c r="AE435" s="173"/>
      <c r="AF435" s="173"/>
      <c r="AG435" s="173"/>
      <c r="AH435" s="173"/>
      <c r="AI435" s="173"/>
      <c r="AJ435" s="173"/>
      <c r="AK435" s="173"/>
      <c r="AL435" s="173"/>
      <c r="AM435" s="259"/>
      <c r="AN435" s="207"/>
      <c r="AO435" s="276"/>
      <c r="AP435" s="189"/>
    </row>
    <row r="436" spans="1:69" ht="18" x14ac:dyDescent="0.35">
      <c r="A436" s="696" t="s">
        <v>66</v>
      </c>
      <c r="B436" s="566"/>
      <c r="C436" s="566"/>
      <c r="D436" s="566"/>
      <c r="E436" s="566"/>
      <c r="F436" s="566"/>
      <c r="G436" s="566"/>
      <c r="H436" s="566"/>
      <c r="I436" s="304">
        <f ca="1">I404</f>
        <v>0.21257066417245804</v>
      </c>
      <c r="J436" s="10">
        <f>H154</f>
        <v>1E-41</v>
      </c>
      <c r="K436" s="920"/>
      <c r="L436" s="925"/>
      <c r="M436" s="327"/>
      <c r="N436" s="819"/>
      <c r="O436" s="822"/>
      <c r="P436" s="173" t="s">
        <v>533</v>
      </c>
      <c r="Q436" s="173"/>
      <c r="R436" s="173"/>
      <c r="S436" s="173"/>
      <c r="T436" s="173"/>
      <c r="U436" s="173"/>
      <c r="V436" s="173"/>
      <c r="W436" s="173"/>
      <c r="X436" s="173"/>
      <c r="Y436" s="173"/>
      <c r="Z436" s="173"/>
      <c r="AA436" s="173"/>
      <c r="AB436" s="173"/>
      <c r="AC436" s="173"/>
      <c r="AD436" s="173"/>
      <c r="AE436" s="173"/>
      <c r="AF436" s="173"/>
      <c r="AG436" s="173"/>
      <c r="AH436" s="173"/>
      <c r="AI436" s="173"/>
      <c r="AJ436" s="173"/>
      <c r="AK436" s="173"/>
      <c r="AL436" s="173"/>
      <c r="AM436" s="259"/>
      <c r="AN436" s="207"/>
      <c r="AO436" s="276"/>
      <c r="AP436" s="189"/>
      <c r="AS436" s="206"/>
    </row>
    <row r="437" spans="1:69" ht="18" x14ac:dyDescent="0.35">
      <c r="A437" s="696" t="s">
        <v>902</v>
      </c>
      <c r="B437" s="696"/>
      <c r="C437" s="696"/>
      <c r="D437" s="696"/>
      <c r="E437" s="566"/>
      <c r="F437" s="566"/>
      <c r="G437" s="566"/>
      <c r="H437" s="566"/>
      <c r="I437" s="6">
        <f>I402</f>
        <v>0.25276256708669598</v>
      </c>
      <c r="J437" s="9">
        <f>I25</f>
        <v>0</v>
      </c>
      <c r="K437" s="10">
        <f>L428</f>
        <v>0</v>
      </c>
      <c r="L437" s="104">
        <v>0.55000000000000004</v>
      </c>
      <c r="M437" s="162"/>
      <c r="N437" s="819"/>
      <c r="O437" s="822"/>
      <c r="P437" s="176" t="s">
        <v>534</v>
      </c>
      <c r="Q437" s="176"/>
      <c r="R437" s="176"/>
      <c r="S437" s="176"/>
      <c r="T437" s="176"/>
      <c r="U437" s="176"/>
      <c r="V437" s="176"/>
      <c r="W437" s="176"/>
      <c r="X437" s="176"/>
      <c r="Y437" s="176"/>
      <c r="Z437" s="176"/>
      <c r="AA437" s="176"/>
      <c r="AB437" s="176"/>
      <c r="AC437" s="176"/>
      <c r="AD437" s="176"/>
      <c r="AE437" s="176"/>
      <c r="AF437" s="176"/>
      <c r="AG437" s="176"/>
      <c r="AH437" s="176"/>
      <c r="AI437" s="176"/>
      <c r="AJ437" s="176"/>
      <c r="AK437" s="176"/>
      <c r="AL437" s="176"/>
      <c r="AM437" s="260"/>
      <c r="AN437" s="208"/>
      <c r="AO437" s="273"/>
      <c r="AP437" s="189"/>
    </row>
    <row r="438" spans="1:69" ht="19.2" thickBot="1" x14ac:dyDescent="0.45">
      <c r="A438" s="924" t="s">
        <v>918</v>
      </c>
      <c r="B438" s="777"/>
      <c r="C438" s="777"/>
      <c r="D438" s="777"/>
      <c r="E438" s="566"/>
      <c r="F438" s="566"/>
      <c r="G438" s="566"/>
      <c r="H438" s="566"/>
      <c r="I438" s="921" t="e">
        <f>O416+P416</f>
        <v>#DIV/0!</v>
      </c>
      <c r="J438" s="921"/>
      <c r="K438" s="921"/>
      <c r="L438" s="921"/>
      <c r="M438" s="328"/>
      <c r="N438" s="820"/>
      <c r="O438" s="823"/>
      <c r="P438" s="185" t="s">
        <v>535</v>
      </c>
      <c r="Q438" s="185"/>
      <c r="R438" s="185"/>
      <c r="S438" s="185"/>
      <c r="T438" s="185"/>
      <c r="U438" s="185"/>
      <c r="V438" s="185"/>
      <c r="W438" s="185"/>
      <c r="X438" s="185"/>
      <c r="Y438" s="185"/>
      <c r="Z438" s="185"/>
      <c r="AA438" s="185"/>
      <c r="AB438" s="185"/>
      <c r="AC438" s="185"/>
      <c r="AD438" s="185"/>
      <c r="AE438" s="185"/>
      <c r="AF438" s="185"/>
      <c r="AG438" s="185"/>
      <c r="AH438" s="185"/>
      <c r="AI438" s="185"/>
      <c r="AJ438" s="185"/>
      <c r="AK438" s="185"/>
      <c r="AL438" s="185"/>
      <c r="AM438" s="263"/>
      <c r="AN438" s="208"/>
      <c r="AO438" s="279"/>
      <c r="AP438" s="189"/>
    </row>
    <row r="439" spans="1:69" hidden="1" x14ac:dyDescent="0.3">
      <c r="A439" s="413"/>
      <c r="B439" s="414"/>
      <c r="C439" s="414"/>
      <c r="D439" s="414"/>
      <c r="E439" s="23"/>
      <c r="F439" s="23"/>
      <c r="G439" s="23"/>
      <c r="H439" s="23"/>
      <c r="I439" s="415"/>
      <c r="J439" s="415"/>
      <c r="K439" s="415"/>
      <c r="L439" s="415"/>
      <c r="M439" s="328"/>
      <c r="N439" s="416"/>
      <c r="O439" s="417"/>
      <c r="P439" s="418"/>
      <c r="Q439" s="418"/>
      <c r="R439" s="418"/>
      <c r="S439" s="418"/>
      <c r="T439" s="418"/>
      <c r="U439" s="418"/>
      <c r="V439" s="418"/>
      <c r="W439" s="418"/>
      <c r="X439" s="418"/>
      <c r="Y439" s="418"/>
      <c r="Z439" s="418"/>
      <c r="AA439" s="418"/>
      <c r="AB439" s="418"/>
      <c r="AC439" s="418"/>
      <c r="AD439" s="418"/>
      <c r="AE439" s="418"/>
      <c r="AF439" s="418"/>
      <c r="AG439" s="418"/>
      <c r="AH439" s="418"/>
      <c r="AI439" s="418"/>
      <c r="AJ439" s="418"/>
      <c r="AK439" s="418"/>
      <c r="AL439" s="418"/>
      <c r="AM439" s="419"/>
      <c r="AN439" s="208"/>
      <c r="AO439" s="420"/>
      <c r="AP439" s="189"/>
    </row>
    <row r="440" spans="1:69" hidden="1" x14ac:dyDescent="0.3">
      <c r="A440" s="586" t="s">
        <v>401</v>
      </c>
      <c r="B440" s="586"/>
      <c r="C440" s="586"/>
      <c r="D440" s="586"/>
      <c r="E440" s="586"/>
      <c r="F440" s="586"/>
      <c r="G440" s="586"/>
      <c r="H440" s="586"/>
      <c r="I440" s="589"/>
      <c r="J440" s="589"/>
      <c r="K440" s="589"/>
      <c r="L440" s="589"/>
      <c r="M440" s="328"/>
      <c r="N440" s="416"/>
      <c r="O440" s="417"/>
      <c r="P440" s="418"/>
      <c r="Q440" s="418"/>
      <c r="R440" s="418"/>
      <c r="S440" s="418"/>
      <c r="T440" s="418"/>
      <c r="U440" s="418"/>
      <c r="V440" s="418"/>
      <c r="W440" s="418"/>
      <c r="X440" s="418"/>
      <c r="Y440" s="418"/>
      <c r="Z440" s="418"/>
      <c r="AA440" s="418"/>
      <c r="AB440" s="418"/>
      <c r="AC440" s="418"/>
      <c r="AD440" s="418"/>
      <c r="AE440" s="418"/>
      <c r="AF440" s="418"/>
      <c r="AG440" s="418"/>
      <c r="AH440" s="418"/>
      <c r="AI440" s="418"/>
      <c r="AJ440" s="418"/>
      <c r="AK440" s="418"/>
      <c r="AL440" s="418"/>
      <c r="AM440" s="419"/>
      <c r="AN440" s="208"/>
      <c r="AO440" s="420"/>
      <c r="AP440" s="189"/>
    </row>
    <row r="441" spans="1:69" ht="19.2" hidden="1" thickBot="1" x14ac:dyDescent="0.45">
      <c r="A441" s="586" t="s">
        <v>402</v>
      </c>
      <c r="B441" s="586"/>
      <c r="C441" s="586"/>
      <c r="D441" s="586"/>
      <c r="E441" s="586"/>
      <c r="F441" s="586"/>
      <c r="G441" s="586"/>
      <c r="H441" s="586"/>
      <c r="I441" s="589"/>
      <c r="J441" s="589"/>
      <c r="K441" s="589"/>
      <c r="L441" s="589"/>
      <c r="M441" s="328"/>
      <c r="N441" s="416"/>
      <c r="O441" s="417"/>
      <c r="P441" s="418"/>
      <c r="Q441" s="418"/>
      <c r="R441" s="418"/>
      <c r="S441" s="418"/>
      <c r="T441" s="418"/>
      <c r="U441" s="418"/>
      <c r="V441" s="418"/>
      <c r="W441" s="418"/>
      <c r="X441" s="418"/>
      <c r="Y441" s="418"/>
      <c r="Z441" s="418"/>
      <c r="AA441" s="418"/>
      <c r="AB441" s="418"/>
      <c r="AC441" s="418"/>
      <c r="AD441" s="418"/>
      <c r="AE441" s="418"/>
      <c r="AF441" s="418"/>
      <c r="AG441" s="418"/>
      <c r="AH441" s="418"/>
      <c r="AI441" s="418"/>
      <c r="AJ441" s="418"/>
      <c r="AK441" s="418"/>
      <c r="AL441" s="418"/>
      <c r="AM441" s="419"/>
      <c r="AN441" s="208"/>
      <c r="AO441" s="420"/>
      <c r="AP441" s="189"/>
    </row>
    <row r="442" spans="1:69" ht="18" x14ac:dyDescent="0.35">
      <c r="A442" s="5"/>
      <c r="B442" s="5"/>
      <c r="C442" s="5"/>
      <c r="D442" s="5"/>
      <c r="E442" s="5"/>
      <c r="F442" s="5"/>
      <c r="G442" s="5"/>
      <c r="H442" s="5"/>
      <c r="I442" s="5"/>
      <c r="N442" s="818" t="s">
        <v>173</v>
      </c>
      <c r="O442" s="821">
        <v>9</v>
      </c>
      <c r="P442" s="180" t="s">
        <v>522</v>
      </c>
      <c r="Q442" s="181"/>
      <c r="R442" s="182"/>
      <c r="S442" s="182"/>
      <c r="T442" s="182"/>
      <c r="U442" s="182"/>
      <c r="V442" s="182"/>
      <c r="W442" s="182"/>
      <c r="X442" s="182"/>
      <c r="Y442" s="182"/>
      <c r="Z442" s="182"/>
      <c r="AA442" s="182"/>
      <c r="AB442" s="182"/>
      <c r="AC442" s="182"/>
      <c r="AD442" s="182"/>
      <c r="AE442" s="182"/>
      <c r="AF442" s="182"/>
      <c r="AG442" s="182"/>
      <c r="AH442" s="182"/>
      <c r="AI442" s="182"/>
      <c r="AJ442" s="182"/>
      <c r="AK442" s="182"/>
      <c r="AL442" s="182"/>
      <c r="AM442" s="262"/>
      <c r="AN442" s="207"/>
      <c r="AO442" s="275"/>
      <c r="AP442" s="189"/>
      <c r="AT442" s="929"/>
      <c r="AU442" s="929"/>
      <c r="AV442" s="929"/>
      <c r="AW442" s="929"/>
      <c r="AX442" s="929"/>
      <c r="AY442" s="929"/>
      <c r="AZ442" s="929"/>
      <c r="BA442" s="929"/>
      <c r="BB442" s="929"/>
      <c r="BC442" s="929"/>
      <c r="BD442" s="929"/>
      <c r="BE442" s="929"/>
      <c r="BF442" s="929"/>
      <c r="BG442" s="929"/>
      <c r="BH442" s="929"/>
      <c r="BI442" s="929"/>
      <c r="BJ442" s="929"/>
      <c r="BK442" s="929"/>
      <c r="BL442" s="929"/>
      <c r="BM442" s="929"/>
      <c r="BN442" s="929"/>
      <c r="BO442" s="929"/>
      <c r="BP442" s="929"/>
      <c r="BQ442" s="929"/>
    </row>
    <row r="443" spans="1:69" ht="20.399999999999999" x14ac:dyDescent="0.45">
      <c r="A443" s="720" t="s">
        <v>914</v>
      </c>
      <c r="B443" s="589"/>
      <c r="C443" s="589"/>
      <c r="D443" s="589"/>
      <c r="E443" s="589"/>
      <c r="F443" s="589"/>
      <c r="G443" s="589"/>
      <c r="H443" s="589"/>
      <c r="I443" s="589"/>
      <c r="J443" s="589"/>
      <c r="K443" s="589"/>
      <c r="L443" s="23"/>
      <c r="M443" s="199"/>
      <c r="N443" s="819"/>
      <c r="O443" s="822"/>
      <c r="P443" s="183" t="s">
        <v>531</v>
      </c>
      <c r="Q443" s="184"/>
      <c r="R443" s="173"/>
      <c r="S443" s="173"/>
      <c r="T443" s="173"/>
      <c r="U443" s="173"/>
      <c r="V443" s="173"/>
      <c r="W443" s="173"/>
      <c r="X443" s="173"/>
      <c r="Y443" s="173"/>
      <c r="Z443" s="173"/>
      <c r="AA443" s="173"/>
      <c r="AB443" s="173"/>
      <c r="AC443" s="173"/>
      <c r="AD443" s="173"/>
      <c r="AE443" s="173"/>
      <c r="AF443" s="173"/>
      <c r="AG443" s="173"/>
      <c r="AH443" s="173"/>
      <c r="AI443" s="173"/>
      <c r="AJ443" s="173"/>
      <c r="AK443" s="173"/>
      <c r="AL443" s="173"/>
      <c r="AM443" s="259"/>
      <c r="AN443" s="207"/>
      <c r="AO443" s="254"/>
      <c r="AP443" s="189"/>
    </row>
    <row r="444" spans="1:69" ht="18" x14ac:dyDescent="0.35">
      <c r="A444" s="2"/>
      <c r="B444" s="2"/>
      <c r="C444" s="2"/>
      <c r="D444" s="2"/>
      <c r="E444" s="2"/>
      <c r="F444" s="2"/>
      <c r="G444" s="2"/>
      <c r="H444" s="4"/>
      <c r="I444" s="4"/>
      <c r="N444" s="819"/>
      <c r="O444" s="822"/>
      <c r="P444" s="170" t="s">
        <v>523</v>
      </c>
      <c r="Q444" s="172"/>
      <c r="R444" s="173"/>
      <c r="S444" s="173"/>
      <c r="T444" s="173"/>
      <c r="U444" s="173"/>
      <c r="V444" s="173"/>
      <c r="W444" s="173"/>
      <c r="X444" s="173"/>
      <c r="Y444" s="173"/>
      <c r="Z444" s="173"/>
      <c r="AA444" s="173"/>
      <c r="AB444" s="173"/>
      <c r="AC444" s="173"/>
      <c r="AD444" s="173"/>
      <c r="AE444" s="173"/>
      <c r="AF444" s="173"/>
      <c r="AG444" s="173"/>
      <c r="AH444" s="173"/>
      <c r="AI444" s="173"/>
      <c r="AJ444" s="173"/>
      <c r="AK444" s="173"/>
      <c r="AL444" s="173"/>
      <c r="AM444" s="259"/>
      <c r="AN444" s="207"/>
      <c r="AO444" s="276"/>
      <c r="AP444" s="189"/>
    </row>
    <row r="445" spans="1:69" ht="18" x14ac:dyDescent="0.35">
      <c r="A445" s="2"/>
      <c r="B445" s="2"/>
      <c r="C445" s="2"/>
      <c r="D445" s="2"/>
      <c r="E445" s="2"/>
      <c r="F445" s="2"/>
      <c r="G445" s="2"/>
      <c r="H445" s="4"/>
      <c r="I445" s="4"/>
      <c r="N445" s="819"/>
      <c r="O445" s="822"/>
      <c r="P445" s="170"/>
      <c r="Q445" s="172"/>
      <c r="R445" s="173"/>
      <c r="S445" s="173"/>
      <c r="T445" s="173"/>
      <c r="U445" s="173"/>
      <c r="V445" s="173"/>
      <c r="W445" s="173"/>
      <c r="X445" s="173"/>
      <c r="Y445" s="173"/>
      <c r="Z445" s="173"/>
      <c r="AA445" s="173"/>
      <c r="AB445" s="173"/>
      <c r="AC445" s="173"/>
      <c r="AD445" s="173"/>
      <c r="AE445" s="173"/>
      <c r="AF445" s="173"/>
      <c r="AG445" s="173"/>
      <c r="AH445" s="173"/>
      <c r="AI445" s="173"/>
      <c r="AJ445" s="173"/>
      <c r="AK445" s="173"/>
      <c r="AL445" s="173"/>
      <c r="AM445" s="259"/>
      <c r="AN445" s="207"/>
      <c r="AO445" s="276"/>
      <c r="AP445" s="189"/>
    </row>
    <row r="446" spans="1:69" ht="18" x14ac:dyDescent="0.35">
      <c r="A446" s="764" t="s">
        <v>903</v>
      </c>
      <c r="B446" s="764"/>
      <c r="C446" s="764"/>
      <c r="D446" s="764"/>
      <c r="E446" s="566"/>
      <c r="F446" s="566"/>
      <c r="G446" s="566"/>
      <c r="H446" s="566"/>
      <c r="I446" s="8" t="s">
        <v>904</v>
      </c>
      <c r="J446" s="8" t="s">
        <v>905</v>
      </c>
      <c r="K446" s="8" t="s">
        <v>885</v>
      </c>
      <c r="L446" s="8" t="s">
        <v>906</v>
      </c>
      <c r="M446" s="160"/>
      <c r="N446" s="819"/>
      <c r="O446" s="822"/>
      <c r="P446" s="174" t="s">
        <v>524</v>
      </c>
      <c r="Q446" s="175"/>
      <c r="R446" s="176"/>
      <c r="S446" s="176"/>
      <c r="T446" s="176"/>
      <c r="U446" s="176"/>
      <c r="V446" s="176"/>
      <c r="W446" s="176"/>
      <c r="X446" s="176"/>
      <c r="Y446" s="176"/>
      <c r="Z446" s="176"/>
      <c r="AA446" s="176"/>
      <c r="AB446" s="176"/>
      <c r="AC446" s="176"/>
      <c r="AD446" s="176"/>
      <c r="AE446" s="176"/>
      <c r="AF446" s="176"/>
      <c r="AG446" s="176"/>
      <c r="AH446" s="176"/>
      <c r="AI446" s="176"/>
      <c r="AJ446" s="176"/>
      <c r="AK446" s="176"/>
      <c r="AL446" s="176"/>
      <c r="AM446" s="260"/>
      <c r="AN446" s="208"/>
      <c r="AO446" s="277"/>
      <c r="AP446" s="189"/>
      <c r="AQ446" s="39"/>
      <c r="AR446" s="39"/>
      <c r="AT446" s="204"/>
      <c r="AU446" s="204"/>
      <c r="AV446" s="204"/>
      <c r="AW446" s="204"/>
      <c r="AX446" s="204"/>
      <c r="AY446" s="204"/>
      <c r="AZ446" s="204"/>
      <c r="BA446" s="204"/>
      <c r="BB446" s="204"/>
      <c r="BC446" s="204"/>
      <c r="BD446" s="204"/>
      <c r="BE446" s="204"/>
      <c r="BF446" s="204"/>
      <c r="BG446" s="204"/>
      <c r="BH446" s="204"/>
      <c r="BI446" s="204"/>
      <c r="BJ446" s="204"/>
      <c r="BK446" s="204"/>
      <c r="BL446" s="204"/>
      <c r="BM446" s="204"/>
      <c r="BN446" s="204"/>
      <c r="BO446" s="204"/>
      <c r="BP446" s="204"/>
      <c r="BQ446" s="204"/>
    </row>
    <row r="447" spans="1:69" ht="18" x14ac:dyDescent="0.35">
      <c r="A447" s="696" t="s">
        <v>901</v>
      </c>
      <c r="B447" s="696"/>
      <c r="C447" s="696"/>
      <c r="D447" s="696"/>
      <c r="E447" s="566"/>
      <c r="F447" s="566"/>
      <c r="G447" s="566"/>
      <c r="H447" s="566"/>
      <c r="I447" s="304">
        <f>I400</f>
        <v>0.47771918674580288</v>
      </c>
      <c r="J447" s="10">
        <f>I145</f>
        <v>9.9999999999999995E-45</v>
      </c>
      <c r="K447" s="10">
        <f>N157</f>
        <v>1E-41</v>
      </c>
      <c r="L447" s="104">
        <v>0.6</v>
      </c>
      <c r="M447" s="162"/>
      <c r="N447" s="819"/>
      <c r="O447" s="822"/>
      <c r="P447" s="170" t="s">
        <v>525</v>
      </c>
      <c r="Q447" s="172"/>
      <c r="R447" s="173"/>
      <c r="S447" s="173"/>
      <c r="T447" s="173"/>
      <c r="U447" s="173"/>
      <c r="V447" s="173"/>
      <c r="W447" s="173"/>
      <c r="X447" s="173"/>
      <c r="Y447" s="173"/>
      <c r="Z447" s="173"/>
      <c r="AA447" s="173"/>
      <c r="AB447" s="173"/>
      <c r="AC447" s="173"/>
      <c r="AD447" s="173"/>
      <c r="AE447" s="173"/>
      <c r="AF447" s="173"/>
      <c r="AG447" s="173"/>
      <c r="AH447" s="173"/>
      <c r="AI447" s="173"/>
      <c r="AJ447" s="173"/>
      <c r="AK447" s="173"/>
      <c r="AL447" s="173"/>
      <c r="AM447" s="259"/>
      <c r="AN447" s="207"/>
      <c r="AO447" s="276"/>
      <c r="AP447" s="189"/>
    </row>
    <row r="448" spans="1:69" ht="18" x14ac:dyDescent="0.35">
      <c r="A448" s="696" t="s">
        <v>1074</v>
      </c>
      <c r="B448" s="696"/>
      <c r="C448" s="696"/>
      <c r="D448" s="696"/>
      <c r="E448" s="566"/>
      <c r="F448" s="566"/>
      <c r="G448" s="566"/>
      <c r="H448" s="566"/>
      <c r="I448" s="304">
        <f>I401</f>
        <v>0.35396073262513633</v>
      </c>
      <c r="J448" s="10">
        <f>K145</f>
        <v>0</v>
      </c>
      <c r="K448" s="10">
        <f>N161</f>
        <v>1E-41</v>
      </c>
      <c r="L448" s="104">
        <v>0.6</v>
      </c>
      <c r="M448" s="162"/>
      <c r="N448" s="819"/>
      <c r="O448" s="822"/>
      <c r="P448" s="170" t="s">
        <v>526</v>
      </c>
      <c r="Q448" s="172"/>
      <c r="R448" s="173"/>
      <c r="S448" s="173"/>
      <c r="T448" s="173"/>
      <c r="U448" s="173"/>
      <c r="V448" s="173"/>
      <c r="W448" s="173"/>
      <c r="X448" s="173"/>
      <c r="Y448" s="173"/>
      <c r="Z448" s="173"/>
      <c r="AA448" s="173"/>
      <c r="AB448" s="173"/>
      <c r="AC448" s="173"/>
      <c r="AD448" s="173"/>
      <c r="AE448" s="173"/>
      <c r="AF448" s="173"/>
      <c r="AG448" s="173"/>
      <c r="AH448" s="173"/>
      <c r="AI448" s="173"/>
      <c r="AJ448" s="173"/>
      <c r="AK448" s="173"/>
      <c r="AL448" s="173"/>
      <c r="AM448" s="259"/>
      <c r="AN448" s="207"/>
      <c r="AO448" s="276"/>
      <c r="AP448" s="189"/>
    </row>
    <row r="449" spans="1:45" ht="18" x14ac:dyDescent="0.35">
      <c r="A449" s="696" t="s">
        <v>1036</v>
      </c>
      <c r="B449" s="696"/>
      <c r="C449" s="696"/>
      <c r="D449" s="696"/>
      <c r="E449" s="566"/>
      <c r="F449" s="566"/>
      <c r="G449" s="566"/>
      <c r="H449" s="566"/>
      <c r="I449" s="304">
        <f>I403</f>
        <v>0.41711237387778188</v>
      </c>
      <c r="J449" s="10">
        <f>J145</f>
        <v>0</v>
      </c>
      <c r="K449" s="10">
        <f>N159</f>
        <v>1E-41</v>
      </c>
      <c r="L449" s="104">
        <v>0.6</v>
      </c>
      <c r="M449" s="162"/>
      <c r="N449" s="819"/>
      <c r="O449" s="822"/>
      <c r="P449" s="174" t="s">
        <v>527</v>
      </c>
      <c r="Q449" s="175"/>
      <c r="R449" s="176"/>
      <c r="S449" s="176"/>
      <c r="T449" s="176"/>
      <c r="U449" s="176"/>
      <c r="V449" s="176"/>
      <c r="W449" s="176"/>
      <c r="X449" s="176"/>
      <c r="Y449" s="176"/>
      <c r="Z449" s="176"/>
      <c r="AA449" s="176"/>
      <c r="AB449" s="176"/>
      <c r="AC449" s="176"/>
      <c r="AD449" s="176"/>
      <c r="AE449" s="176"/>
      <c r="AF449" s="176"/>
      <c r="AG449" s="176"/>
      <c r="AH449" s="176"/>
      <c r="AI449" s="176"/>
      <c r="AJ449" s="176"/>
      <c r="AK449" s="176"/>
      <c r="AL449" s="176"/>
      <c r="AM449" s="260"/>
      <c r="AN449" s="208"/>
      <c r="AO449" s="277"/>
      <c r="AP449" s="189"/>
    </row>
    <row r="450" spans="1:45" ht="18" x14ac:dyDescent="0.35">
      <c r="A450" s="696" t="s">
        <v>1051</v>
      </c>
      <c r="B450" s="696"/>
      <c r="C450" s="696"/>
      <c r="D450" s="696"/>
      <c r="E450" s="566"/>
      <c r="F450" s="566"/>
      <c r="G450" s="566"/>
      <c r="H450" s="566"/>
      <c r="I450" s="304">
        <f>I399</f>
        <v>0</v>
      </c>
      <c r="J450" s="10">
        <f>K173</f>
        <v>9.9999999999999996E-83</v>
      </c>
      <c r="K450" s="10">
        <f>N164</f>
        <v>1E-41</v>
      </c>
      <c r="L450" s="104">
        <v>0.6</v>
      </c>
      <c r="M450" s="162"/>
      <c r="N450" s="819"/>
      <c r="O450" s="822"/>
      <c r="P450" s="177" t="s">
        <v>528</v>
      </c>
      <c r="Q450" s="178"/>
      <c r="R450" s="179"/>
      <c r="S450" s="179"/>
      <c r="T450" s="179"/>
      <c r="U450" s="179"/>
      <c r="V450" s="179"/>
      <c r="W450" s="179"/>
      <c r="X450" s="179"/>
      <c r="Y450" s="179"/>
      <c r="Z450" s="179"/>
      <c r="AA450" s="179"/>
      <c r="AB450" s="179"/>
      <c r="AC450" s="179"/>
      <c r="AD450" s="179"/>
      <c r="AE450" s="179"/>
      <c r="AF450" s="179"/>
      <c r="AG450" s="179"/>
      <c r="AH450" s="179"/>
      <c r="AI450" s="179"/>
      <c r="AJ450" s="179"/>
      <c r="AK450" s="179"/>
      <c r="AL450" s="179"/>
      <c r="AM450" s="261"/>
      <c r="AN450" s="293"/>
      <c r="AO450" s="278"/>
      <c r="AP450" s="189"/>
    </row>
    <row r="451" spans="1:45" ht="18.600000000000001" x14ac:dyDescent="0.4">
      <c r="A451" s="924" t="s">
        <v>917</v>
      </c>
      <c r="B451" s="777"/>
      <c r="C451" s="777"/>
      <c r="D451" s="777"/>
      <c r="E451" s="566"/>
      <c r="F451" s="566"/>
      <c r="G451" s="566"/>
      <c r="H451" s="566"/>
      <c r="I451" s="921">
        <f>O422+P422</f>
        <v>4.7771918674580286E-45</v>
      </c>
      <c r="J451" s="921"/>
      <c r="K451" s="921"/>
      <c r="L451" s="921"/>
      <c r="M451" s="328"/>
      <c r="N451" s="819"/>
      <c r="O451" s="822"/>
      <c r="P451" s="177" t="s">
        <v>529</v>
      </c>
      <c r="Q451" s="178"/>
      <c r="R451" s="179"/>
      <c r="S451" s="179"/>
      <c r="T451" s="179"/>
      <c r="U451" s="179"/>
      <c r="V451" s="179"/>
      <c r="W451" s="179"/>
      <c r="X451" s="179"/>
      <c r="Y451" s="179"/>
      <c r="Z451" s="179"/>
      <c r="AA451" s="179"/>
      <c r="AB451" s="179"/>
      <c r="AC451" s="179"/>
      <c r="AD451" s="179"/>
      <c r="AE451" s="179"/>
      <c r="AF451" s="179"/>
      <c r="AG451" s="179"/>
      <c r="AH451" s="179"/>
      <c r="AI451" s="179"/>
      <c r="AJ451" s="179"/>
      <c r="AK451" s="179"/>
      <c r="AL451" s="179"/>
      <c r="AM451" s="261"/>
      <c r="AN451" s="293"/>
      <c r="AO451" s="278"/>
      <c r="AP451" s="189"/>
    </row>
    <row r="452" spans="1:45" ht="18" x14ac:dyDescent="0.35">
      <c r="N452" s="819"/>
      <c r="O452" s="822"/>
      <c r="P452" s="174" t="s">
        <v>530</v>
      </c>
      <c r="Q452" s="175"/>
      <c r="R452" s="176"/>
      <c r="S452" s="176"/>
      <c r="T452" s="176"/>
      <c r="U452" s="176"/>
      <c r="V452" s="176"/>
      <c r="W452" s="176"/>
      <c r="X452" s="176"/>
      <c r="Y452" s="176"/>
      <c r="Z452" s="176"/>
      <c r="AA452" s="176"/>
      <c r="AB452" s="176"/>
      <c r="AC452" s="176"/>
      <c r="AD452" s="176"/>
      <c r="AE452" s="176"/>
      <c r="AF452" s="176"/>
      <c r="AG452" s="176"/>
      <c r="AH452" s="176"/>
      <c r="AI452" s="176"/>
      <c r="AJ452" s="176"/>
      <c r="AK452" s="176"/>
      <c r="AL452" s="176"/>
      <c r="AM452" s="260"/>
      <c r="AN452" s="208"/>
      <c r="AO452" s="277"/>
      <c r="AP452" s="189"/>
    </row>
    <row r="453" spans="1:45" ht="20.399999999999999" x14ac:dyDescent="0.45">
      <c r="A453" s="720" t="s">
        <v>915</v>
      </c>
      <c r="B453" s="589"/>
      <c r="C453" s="589"/>
      <c r="D453" s="589"/>
      <c r="E453" s="589"/>
      <c r="F453" s="589"/>
      <c r="G453" s="589"/>
      <c r="H453" s="589"/>
      <c r="I453" s="589"/>
      <c r="J453" s="589"/>
      <c r="K453" s="589"/>
      <c r="L453" s="23"/>
      <c r="M453" s="199"/>
      <c r="N453" s="819"/>
      <c r="O453" s="822"/>
      <c r="P453" s="173" t="s">
        <v>532</v>
      </c>
      <c r="Q453" s="173"/>
      <c r="R453" s="173"/>
      <c r="S453" s="173"/>
      <c r="T453" s="173"/>
      <c r="U453" s="173"/>
      <c r="V453" s="173"/>
      <c r="W453" s="173"/>
      <c r="X453" s="173"/>
      <c r="Y453" s="173"/>
      <c r="Z453" s="173"/>
      <c r="AA453" s="173"/>
      <c r="AB453" s="173"/>
      <c r="AC453" s="173"/>
      <c r="AD453" s="173"/>
      <c r="AE453" s="173"/>
      <c r="AF453" s="173"/>
      <c r="AG453" s="173"/>
      <c r="AH453" s="173"/>
      <c r="AI453" s="173"/>
      <c r="AJ453" s="173"/>
      <c r="AK453" s="173"/>
      <c r="AL453" s="173"/>
      <c r="AM453" s="259"/>
      <c r="AN453" s="207"/>
      <c r="AO453" s="276"/>
      <c r="AP453" s="189"/>
    </row>
    <row r="454" spans="1:45" ht="18" x14ac:dyDescent="0.35">
      <c r="N454" s="819"/>
      <c r="O454" s="822"/>
      <c r="P454" s="173" t="s">
        <v>533</v>
      </c>
      <c r="Q454" s="173"/>
      <c r="R454" s="173"/>
      <c r="S454" s="173"/>
      <c r="T454" s="173"/>
      <c r="U454" s="173"/>
      <c r="V454" s="173"/>
      <c r="W454" s="173"/>
      <c r="X454" s="173"/>
      <c r="Y454" s="173"/>
      <c r="Z454" s="173"/>
      <c r="AA454" s="173"/>
      <c r="AB454" s="173"/>
      <c r="AC454" s="173"/>
      <c r="AD454" s="173"/>
      <c r="AE454" s="173"/>
      <c r="AF454" s="173"/>
      <c r="AG454" s="173"/>
      <c r="AH454" s="173"/>
      <c r="AI454" s="173"/>
      <c r="AJ454" s="173"/>
      <c r="AK454" s="173"/>
      <c r="AL454" s="173"/>
      <c r="AM454" s="259"/>
      <c r="AN454" s="207"/>
      <c r="AO454" s="276"/>
      <c r="AP454" s="189"/>
      <c r="AS454" s="206"/>
    </row>
    <row r="455" spans="1:45" ht="19.8" x14ac:dyDescent="0.4">
      <c r="A455" s="825" t="s">
        <v>640</v>
      </c>
      <c r="B455" s="825"/>
      <c r="C455" s="825"/>
      <c r="D455" s="403"/>
      <c r="E455" s="402" t="s">
        <v>639</v>
      </c>
      <c r="F455" s="36"/>
      <c r="G455" s="19" t="s">
        <v>638</v>
      </c>
      <c r="H455" s="404">
        <f>IF(K586=0,0,((K581*K582)*(K585*K586))/((K585*K586)+(K581*K582)))</f>
        <v>0</v>
      </c>
      <c r="J455" s="19" t="s">
        <v>916</v>
      </c>
      <c r="K455" s="922" t="e">
        <f>I438+I451+H455</f>
        <v>#DIV/0!</v>
      </c>
      <c r="L455" s="923"/>
      <c r="M455" s="199"/>
      <c r="N455" s="819"/>
      <c r="O455" s="822"/>
      <c r="P455" s="176" t="s">
        <v>534</v>
      </c>
      <c r="Q455" s="176"/>
      <c r="R455" s="176"/>
      <c r="S455" s="176"/>
      <c r="T455" s="176"/>
      <c r="U455" s="176"/>
      <c r="V455" s="176"/>
      <c r="W455" s="176"/>
      <c r="X455" s="176"/>
      <c r="Y455" s="176"/>
      <c r="Z455" s="176"/>
      <c r="AA455" s="176"/>
      <c r="AB455" s="176"/>
      <c r="AC455" s="176"/>
      <c r="AD455" s="176"/>
      <c r="AE455" s="176"/>
      <c r="AF455" s="176"/>
      <c r="AG455" s="176"/>
      <c r="AH455" s="176"/>
      <c r="AI455" s="176"/>
      <c r="AJ455" s="176"/>
      <c r="AK455" s="176"/>
      <c r="AL455" s="176"/>
      <c r="AM455" s="260"/>
      <c r="AN455" s="208"/>
      <c r="AO455" s="273"/>
      <c r="AP455" s="189"/>
    </row>
    <row r="456" spans="1:45" ht="18.600000000000001" thickBot="1" x14ac:dyDescent="0.4">
      <c r="N456" s="820"/>
      <c r="O456" s="823"/>
      <c r="P456" s="185" t="s">
        <v>535</v>
      </c>
      <c r="Q456" s="185"/>
      <c r="R456" s="185"/>
      <c r="S456" s="185"/>
      <c r="T456" s="185"/>
      <c r="U456" s="185"/>
      <c r="V456" s="185"/>
      <c r="W456" s="185"/>
      <c r="X456" s="185"/>
      <c r="Y456" s="185"/>
      <c r="Z456" s="185"/>
      <c r="AA456" s="185"/>
      <c r="AB456" s="185"/>
      <c r="AC456" s="185"/>
      <c r="AD456" s="185"/>
      <c r="AE456" s="185"/>
      <c r="AF456" s="185"/>
      <c r="AG456" s="185"/>
      <c r="AH456" s="185"/>
      <c r="AI456" s="185"/>
      <c r="AJ456" s="185"/>
      <c r="AK456" s="185"/>
      <c r="AL456" s="185"/>
      <c r="AM456" s="263"/>
      <c r="AN456" s="208"/>
      <c r="AO456" s="279"/>
      <c r="AP456" s="189"/>
    </row>
    <row r="457" spans="1:45" ht="18" hidden="1" x14ac:dyDescent="0.35">
      <c r="A457" s="590" t="s">
        <v>43</v>
      </c>
      <c r="B457" s="590"/>
      <c r="C457" s="590"/>
      <c r="D457" s="590"/>
      <c r="E457" s="590"/>
      <c r="F457" s="590"/>
      <c r="G457" s="590"/>
      <c r="H457" s="590"/>
      <c r="I457" s="590"/>
      <c r="J457" s="591"/>
      <c r="K457" s="591"/>
      <c r="L457" s="591"/>
      <c r="V457" s="208"/>
      <c r="W457" s="208"/>
      <c r="X457" s="208"/>
      <c r="Y457" s="208"/>
      <c r="Z457" s="208"/>
      <c r="AA457" s="208"/>
      <c r="AB457" s="208"/>
      <c r="AC457" s="208"/>
      <c r="AD457" s="208"/>
      <c r="AE457" s="208"/>
      <c r="AF457" s="208"/>
      <c r="AG457" s="208"/>
      <c r="AH457" s="208"/>
      <c r="AI457" s="208"/>
      <c r="AJ457" s="208"/>
      <c r="AK457" s="208"/>
      <c r="AL457" s="208"/>
      <c r="AM457" s="208"/>
      <c r="AN457" s="208"/>
      <c r="AO457" s="208"/>
      <c r="AP457" s="189"/>
    </row>
    <row r="458" spans="1:45" ht="18" hidden="1" x14ac:dyDescent="0.35">
      <c r="A458" s="581"/>
      <c r="B458" s="582"/>
      <c r="C458" s="569" t="s">
        <v>882</v>
      </c>
      <c r="D458" s="592" t="s">
        <v>166</v>
      </c>
      <c r="E458" s="593"/>
      <c r="F458" s="593"/>
      <c r="G458" s="593"/>
      <c r="H458" s="593"/>
      <c r="I458" s="593"/>
      <c r="J458" s="593"/>
      <c r="K458" s="593"/>
      <c r="L458" s="588" t="s">
        <v>400</v>
      </c>
      <c r="M458" s="311"/>
      <c r="V458" s="208"/>
      <c r="W458" s="208"/>
      <c r="X458" s="208"/>
      <c r="Y458" s="208"/>
      <c r="Z458" s="208"/>
      <c r="AA458" s="208"/>
      <c r="AB458" s="208"/>
      <c r="AC458" s="208"/>
      <c r="AD458" s="208"/>
      <c r="AE458" s="208"/>
      <c r="AF458" s="208"/>
      <c r="AG458" s="208"/>
      <c r="AH458" s="208"/>
      <c r="AI458" s="208"/>
      <c r="AJ458" s="208"/>
      <c r="AK458" s="208"/>
      <c r="AL458" s="208"/>
      <c r="AM458" s="208"/>
      <c r="AN458" s="208"/>
      <c r="AO458" s="208"/>
      <c r="AP458" s="189"/>
    </row>
    <row r="459" spans="1:45" hidden="1" x14ac:dyDescent="0.3">
      <c r="A459" s="760"/>
      <c r="B459" s="761"/>
      <c r="C459" s="596"/>
      <c r="D459" s="13" t="s">
        <v>12</v>
      </c>
      <c r="E459" s="13" t="s">
        <v>11</v>
      </c>
      <c r="F459" s="13" t="s">
        <v>10</v>
      </c>
      <c r="G459" s="13" t="s">
        <v>17</v>
      </c>
      <c r="H459" s="13" t="s">
        <v>16</v>
      </c>
      <c r="I459" s="13" t="s">
        <v>15</v>
      </c>
      <c r="J459" s="13" t="s">
        <v>14</v>
      </c>
      <c r="K459" s="13" t="s">
        <v>13</v>
      </c>
      <c r="L459" s="575"/>
      <c r="M459" s="312"/>
      <c r="N459" s="306" t="s">
        <v>12</v>
      </c>
      <c r="O459" s="13" t="s">
        <v>11</v>
      </c>
      <c r="P459" s="13" t="s">
        <v>10</v>
      </c>
      <c r="Q459" s="13" t="s">
        <v>17</v>
      </c>
      <c r="R459" s="13" t="s">
        <v>16</v>
      </c>
      <c r="S459" s="13" t="s">
        <v>15</v>
      </c>
      <c r="T459" s="13" t="s">
        <v>14</v>
      </c>
      <c r="U459" s="13" t="s">
        <v>13</v>
      </c>
      <c r="V459" s="208"/>
      <c r="W459" s="208"/>
      <c r="X459" s="208"/>
      <c r="Y459" s="208"/>
      <c r="Z459" s="208"/>
      <c r="AA459" s="208"/>
      <c r="AB459" s="208"/>
      <c r="AC459" s="208"/>
      <c r="AD459" s="208"/>
      <c r="AE459" s="208"/>
      <c r="AF459" s="208"/>
      <c r="AG459" s="208"/>
      <c r="AH459" s="208"/>
      <c r="AI459" s="208"/>
      <c r="AJ459" s="208"/>
      <c r="AK459" s="208"/>
      <c r="AL459" s="208"/>
      <c r="AM459" s="208"/>
      <c r="AN459" s="208"/>
      <c r="AO459" s="208"/>
      <c r="AP459" s="189"/>
    </row>
    <row r="460" spans="1:45" ht="18" hidden="1" x14ac:dyDescent="0.3">
      <c r="A460" s="698"/>
      <c r="B460" s="614"/>
      <c r="C460" s="13" t="s">
        <v>883</v>
      </c>
      <c r="D460" s="13" t="s">
        <v>883</v>
      </c>
      <c r="E460" s="13" t="s">
        <v>883</v>
      </c>
      <c r="F460" s="13" t="s">
        <v>883</v>
      </c>
      <c r="G460" s="13" t="s">
        <v>883</v>
      </c>
      <c r="H460" s="13" t="s">
        <v>883</v>
      </c>
      <c r="I460" s="13" t="s">
        <v>883</v>
      </c>
      <c r="J460" s="13" t="s">
        <v>883</v>
      </c>
      <c r="K460" s="13" t="s">
        <v>883</v>
      </c>
      <c r="L460" s="13" t="s">
        <v>883</v>
      </c>
      <c r="M460" s="313"/>
      <c r="N460" s="306" t="s">
        <v>907</v>
      </c>
      <c r="O460" s="13" t="s">
        <v>907</v>
      </c>
      <c r="P460" s="13" t="s">
        <v>821</v>
      </c>
      <c r="Q460" s="13" t="s">
        <v>821</v>
      </c>
      <c r="R460" s="13" t="s">
        <v>821</v>
      </c>
      <c r="S460" s="13" t="s">
        <v>821</v>
      </c>
      <c r="T460" s="13" t="s">
        <v>821</v>
      </c>
      <c r="U460" s="13" t="s">
        <v>821</v>
      </c>
      <c r="V460" s="208"/>
      <c r="W460" s="208"/>
      <c r="X460" s="208"/>
      <c r="Y460" s="208"/>
      <c r="Z460" s="208"/>
      <c r="AA460" s="208"/>
      <c r="AB460" s="208"/>
      <c r="AC460" s="208"/>
      <c r="AD460" s="208"/>
      <c r="AE460" s="208"/>
      <c r="AF460" s="208"/>
      <c r="AG460" s="208"/>
      <c r="AH460" s="208"/>
      <c r="AI460" s="208"/>
      <c r="AJ460" s="208"/>
      <c r="AK460" s="208"/>
      <c r="AL460" s="208"/>
      <c r="AM460" s="208"/>
      <c r="AN460" s="208"/>
      <c r="AO460" s="208"/>
      <c r="AP460" s="189"/>
    </row>
    <row r="461" spans="1:45" hidden="1" x14ac:dyDescent="0.3">
      <c r="A461" s="565" t="str">
        <f t="shared" ref="A461:A471" si="202">IF(A7="","",A7)</f>
        <v>I етаж</v>
      </c>
      <c r="B461" s="566"/>
      <c r="C461" s="110">
        <f t="shared" ref="C461:C471" si="203">E7</f>
        <v>0</v>
      </c>
      <c r="D461" s="41"/>
      <c r="E461" s="41"/>
      <c r="F461" s="41"/>
      <c r="G461" s="41"/>
      <c r="H461" s="41"/>
      <c r="I461" s="41"/>
      <c r="J461" s="41"/>
      <c r="K461" s="41"/>
      <c r="L461" s="13">
        <f t="shared" ref="L461:L466" si="204">SUM(D461:K461)</f>
        <v>0</v>
      </c>
      <c r="M461" s="161"/>
      <c r="N461" s="74">
        <f>D461*$C461</f>
        <v>0</v>
      </c>
      <c r="O461" s="74">
        <f t="shared" ref="O461:O472" si="205">E461*$C461</f>
        <v>0</v>
      </c>
      <c r="P461" s="74">
        <f t="shared" ref="P461:P472" si="206">F461*$C461</f>
        <v>0</v>
      </c>
      <c r="Q461" s="74">
        <f t="shared" ref="Q461:Q472" si="207">G461*$C461</f>
        <v>0</v>
      </c>
      <c r="R461" s="74">
        <f t="shared" ref="R461:R472" si="208">H461*$C461</f>
        <v>0</v>
      </c>
      <c r="S461" s="74">
        <f t="shared" ref="S461:S472" si="209">I461*$C461</f>
        <v>0</v>
      </c>
      <c r="T461" s="74">
        <f t="shared" ref="T461:T472" si="210">J461*$C461</f>
        <v>0</v>
      </c>
      <c r="U461" s="74">
        <f t="shared" ref="U461:U472" si="211">K461*$C461</f>
        <v>0</v>
      </c>
      <c r="V461" s="208"/>
      <c r="W461" s="208"/>
      <c r="X461" s="208"/>
      <c r="Y461" s="208"/>
      <c r="Z461" s="208"/>
      <c r="AA461" s="208"/>
      <c r="AB461" s="208"/>
      <c r="AC461" s="208"/>
      <c r="AD461" s="208"/>
      <c r="AE461" s="208"/>
      <c r="AF461" s="208"/>
      <c r="AG461" s="208"/>
      <c r="AH461" s="208"/>
      <c r="AI461" s="208"/>
      <c r="AJ461" s="208"/>
      <c r="AK461" s="208"/>
      <c r="AL461" s="208"/>
      <c r="AM461" s="208"/>
      <c r="AN461" s="208"/>
      <c r="AO461" s="208"/>
      <c r="AP461" s="189"/>
    </row>
    <row r="462" spans="1:45" hidden="1" x14ac:dyDescent="0.3">
      <c r="A462" s="565" t="str">
        <f t="shared" si="202"/>
        <v>ІІ етаж</v>
      </c>
      <c r="B462" s="566"/>
      <c r="C462" s="110">
        <f t="shared" si="203"/>
        <v>0</v>
      </c>
      <c r="D462" s="41"/>
      <c r="E462" s="41"/>
      <c r="F462" s="41"/>
      <c r="G462" s="41"/>
      <c r="H462" s="41"/>
      <c r="I462" s="41"/>
      <c r="J462" s="41"/>
      <c r="K462" s="41"/>
      <c r="L462" s="13">
        <f t="shared" si="204"/>
        <v>0</v>
      </c>
      <c r="M462" s="161"/>
      <c r="N462" s="74">
        <f t="shared" ref="N462:N472" si="212">D462*$C462</f>
        <v>0</v>
      </c>
      <c r="O462" s="74">
        <f t="shared" si="205"/>
        <v>0</v>
      </c>
      <c r="P462" s="74">
        <f t="shared" si="206"/>
        <v>0</v>
      </c>
      <c r="Q462" s="74">
        <f t="shared" si="207"/>
        <v>0</v>
      </c>
      <c r="R462" s="74">
        <f t="shared" si="208"/>
        <v>0</v>
      </c>
      <c r="S462" s="74">
        <f t="shared" si="209"/>
        <v>0</v>
      </c>
      <c r="T462" s="74">
        <f t="shared" si="210"/>
        <v>0</v>
      </c>
      <c r="U462" s="74">
        <f t="shared" si="211"/>
        <v>0</v>
      </c>
      <c r="V462" s="208"/>
      <c r="W462" s="208"/>
      <c r="X462" s="208"/>
      <c r="Y462" s="208"/>
      <c r="Z462" s="208"/>
      <c r="AA462" s="208"/>
      <c r="AB462" s="208"/>
      <c r="AC462" s="208"/>
      <c r="AD462" s="208"/>
      <c r="AE462" s="208"/>
      <c r="AF462" s="208"/>
      <c r="AG462" s="208"/>
      <c r="AH462" s="208"/>
      <c r="AI462" s="208"/>
      <c r="AJ462" s="208"/>
      <c r="AK462" s="208"/>
      <c r="AL462" s="208"/>
      <c r="AM462" s="208"/>
      <c r="AN462" s="208"/>
      <c r="AO462" s="208"/>
      <c r="AP462" s="189"/>
    </row>
    <row r="463" spans="1:45" hidden="1" x14ac:dyDescent="0.3">
      <c r="A463" s="565" t="str">
        <f t="shared" si="202"/>
        <v>ІІІ етаж</v>
      </c>
      <c r="B463" s="566"/>
      <c r="C463" s="110">
        <f t="shared" si="203"/>
        <v>0</v>
      </c>
      <c r="D463" s="41"/>
      <c r="E463" s="41"/>
      <c r="F463" s="41"/>
      <c r="G463" s="41"/>
      <c r="H463" s="41"/>
      <c r="I463" s="41"/>
      <c r="J463" s="41"/>
      <c r="K463" s="41"/>
      <c r="L463" s="13">
        <f t="shared" si="204"/>
        <v>0</v>
      </c>
      <c r="M463" s="161"/>
      <c r="N463" s="74">
        <f t="shared" si="212"/>
        <v>0</v>
      </c>
      <c r="O463" s="74">
        <f t="shared" si="205"/>
        <v>0</v>
      </c>
      <c r="P463" s="74">
        <f t="shared" si="206"/>
        <v>0</v>
      </c>
      <c r="Q463" s="74">
        <f t="shared" si="207"/>
        <v>0</v>
      </c>
      <c r="R463" s="74">
        <f t="shared" si="208"/>
        <v>0</v>
      </c>
      <c r="S463" s="74">
        <f t="shared" si="209"/>
        <v>0</v>
      </c>
      <c r="T463" s="74">
        <f t="shared" si="210"/>
        <v>0</v>
      </c>
      <c r="U463" s="74">
        <f t="shared" si="211"/>
        <v>0</v>
      </c>
      <c r="V463" s="208"/>
      <c r="W463" s="208"/>
      <c r="X463" s="208"/>
      <c r="Y463" s="208"/>
      <c r="Z463" s="208"/>
      <c r="AA463" s="208"/>
      <c r="AB463" s="208"/>
      <c r="AC463" s="208"/>
      <c r="AD463" s="208"/>
      <c r="AE463" s="208"/>
      <c r="AF463" s="208"/>
      <c r="AG463" s="208"/>
      <c r="AH463" s="208"/>
      <c r="AI463" s="208"/>
      <c r="AJ463" s="208"/>
      <c r="AK463" s="208"/>
      <c r="AL463" s="208"/>
      <c r="AM463" s="208"/>
      <c r="AN463" s="208"/>
      <c r="AO463" s="208"/>
      <c r="AP463" s="189"/>
    </row>
    <row r="464" spans="1:45" hidden="1" x14ac:dyDescent="0.3">
      <c r="A464" s="565" t="str">
        <f t="shared" si="202"/>
        <v>ІV етаж</v>
      </c>
      <c r="B464" s="566"/>
      <c r="C464" s="110">
        <f t="shared" si="203"/>
        <v>0</v>
      </c>
      <c r="D464" s="41"/>
      <c r="E464" s="41"/>
      <c r="F464" s="41"/>
      <c r="G464" s="41"/>
      <c r="H464" s="41"/>
      <c r="I464" s="41"/>
      <c r="J464" s="41"/>
      <c r="K464" s="41"/>
      <c r="L464" s="13">
        <f t="shared" si="204"/>
        <v>0</v>
      </c>
      <c r="M464" s="161"/>
      <c r="N464" s="74">
        <f t="shared" si="212"/>
        <v>0</v>
      </c>
      <c r="O464" s="74">
        <f t="shared" si="205"/>
        <v>0</v>
      </c>
      <c r="P464" s="74">
        <f t="shared" si="206"/>
        <v>0</v>
      </c>
      <c r="Q464" s="74">
        <f t="shared" si="207"/>
        <v>0</v>
      </c>
      <c r="R464" s="74">
        <f t="shared" si="208"/>
        <v>0</v>
      </c>
      <c r="S464" s="74">
        <f t="shared" si="209"/>
        <v>0</v>
      </c>
      <c r="T464" s="74">
        <f t="shared" si="210"/>
        <v>0</v>
      </c>
      <c r="U464" s="74">
        <f t="shared" si="211"/>
        <v>0</v>
      </c>
      <c r="V464" s="208"/>
      <c r="W464" s="208"/>
      <c r="X464" s="208"/>
      <c r="Y464" s="208"/>
      <c r="Z464" s="208"/>
      <c r="AA464" s="208"/>
      <c r="AB464" s="208"/>
      <c r="AC464" s="208"/>
      <c r="AD464" s="208"/>
      <c r="AE464" s="208"/>
      <c r="AF464" s="208"/>
      <c r="AG464" s="208"/>
      <c r="AH464" s="208"/>
      <c r="AI464" s="208"/>
      <c r="AJ464" s="208"/>
      <c r="AK464" s="208"/>
      <c r="AL464" s="208"/>
      <c r="AM464" s="208"/>
      <c r="AN464" s="208"/>
      <c r="AO464" s="208"/>
      <c r="AP464" s="189"/>
    </row>
    <row r="465" spans="1:42" hidden="1" x14ac:dyDescent="0.3">
      <c r="A465" s="565" t="str">
        <f t="shared" si="202"/>
        <v>V етаж</v>
      </c>
      <c r="B465" s="566"/>
      <c r="C465" s="110">
        <f t="shared" si="203"/>
        <v>0</v>
      </c>
      <c r="D465" s="41"/>
      <c r="E465" s="41"/>
      <c r="F465" s="41"/>
      <c r="G465" s="41"/>
      <c r="H465" s="41"/>
      <c r="I465" s="41"/>
      <c r="J465" s="41"/>
      <c r="K465" s="41"/>
      <c r="L465" s="13">
        <f t="shared" si="204"/>
        <v>0</v>
      </c>
      <c r="M465" s="161"/>
      <c r="N465" s="74">
        <f t="shared" si="212"/>
        <v>0</v>
      </c>
      <c r="O465" s="74">
        <f t="shared" si="205"/>
        <v>0</v>
      </c>
      <c r="P465" s="74">
        <f t="shared" si="206"/>
        <v>0</v>
      </c>
      <c r="Q465" s="74">
        <f t="shared" si="207"/>
        <v>0</v>
      </c>
      <c r="R465" s="74">
        <f t="shared" si="208"/>
        <v>0</v>
      </c>
      <c r="S465" s="74">
        <f t="shared" si="209"/>
        <v>0</v>
      </c>
      <c r="T465" s="74">
        <f t="shared" si="210"/>
        <v>0</v>
      </c>
      <c r="U465" s="74">
        <f t="shared" si="211"/>
        <v>0</v>
      </c>
      <c r="V465" s="208"/>
      <c r="W465" s="208"/>
      <c r="X465" s="208"/>
      <c r="Y465" s="208"/>
      <c r="Z465" s="208"/>
      <c r="AA465" s="208"/>
      <c r="AB465" s="208"/>
      <c r="AC465" s="208"/>
      <c r="AD465" s="208"/>
      <c r="AE465" s="208"/>
      <c r="AF465" s="208"/>
      <c r="AG465" s="208"/>
      <c r="AH465" s="208"/>
      <c r="AI465" s="208"/>
      <c r="AJ465" s="208"/>
      <c r="AK465" s="208"/>
      <c r="AL465" s="208"/>
      <c r="AM465" s="208"/>
      <c r="AN465" s="208"/>
      <c r="AO465" s="208"/>
      <c r="AP465" s="189"/>
    </row>
    <row r="466" spans="1:42" hidden="1" x14ac:dyDescent="0.3">
      <c r="A466" s="565" t="str">
        <f t="shared" si="202"/>
        <v>VІ етаж</v>
      </c>
      <c r="B466" s="566"/>
      <c r="C466" s="110">
        <f t="shared" si="203"/>
        <v>0</v>
      </c>
      <c r="D466" s="41"/>
      <c r="E466" s="41"/>
      <c r="F466" s="41"/>
      <c r="G466" s="41"/>
      <c r="H466" s="41"/>
      <c r="I466" s="41"/>
      <c r="J466" s="41"/>
      <c r="K466" s="41"/>
      <c r="L466" s="13">
        <f t="shared" si="204"/>
        <v>0</v>
      </c>
      <c r="M466" s="161"/>
      <c r="N466" s="74">
        <f t="shared" si="212"/>
        <v>0</v>
      </c>
      <c r="O466" s="74">
        <f t="shared" si="205"/>
        <v>0</v>
      </c>
      <c r="P466" s="74">
        <f t="shared" si="206"/>
        <v>0</v>
      </c>
      <c r="Q466" s="74">
        <f t="shared" si="207"/>
        <v>0</v>
      </c>
      <c r="R466" s="74">
        <f t="shared" si="208"/>
        <v>0</v>
      </c>
      <c r="S466" s="74">
        <f t="shared" si="209"/>
        <v>0</v>
      </c>
      <c r="T466" s="74">
        <f t="shared" si="210"/>
        <v>0</v>
      </c>
      <c r="U466" s="74">
        <f t="shared" si="211"/>
        <v>0</v>
      </c>
      <c r="V466" s="208"/>
      <c r="W466" s="208"/>
      <c r="X466" s="208"/>
      <c r="Y466" s="208"/>
      <c r="Z466" s="208"/>
      <c r="AA466" s="208"/>
      <c r="AB466" s="208"/>
      <c r="AC466" s="208"/>
      <c r="AD466" s="208"/>
      <c r="AE466" s="208"/>
      <c r="AF466" s="208"/>
      <c r="AG466" s="208"/>
      <c r="AH466" s="208"/>
      <c r="AI466" s="208"/>
      <c r="AJ466" s="208"/>
      <c r="AK466" s="208"/>
      <c r="AL466" s="208"/>
      <c r="AM466" s="208"/>
      <c r="AN466" s="208"/>
      <c r="AO466" s="208"/>
      <c r="AP466" s="189"/>
    </row>
    <row r="467" spans="1:42" hidden="1" x14ac:dyDescent="0.3">
      <c r="A467" s="565" t="str">
        <f t="shared" si="202"/>
        <v>VІІ етаж</v>
      </c>
      <c r="B467" s="566"/>
      <c r="C467" s="110">
        <f t="shared" si="203"/>
        <v>0</v>
      </c>
      <c r="D467" s="41"/>
      <c r="E467" s="41"/>
      <c r="F467" s="41"/>
      <c r="G467" s="41"/>
      <c r="H467" s="41"/>
      <c r="I467" s="41"/>
      <c r="J467" s="41"/>
      <c r="K467" s="41"/>
      <c r="L467" s="13">
        <f t="shared" ref="L467:L472" si="213">SUM(D467:K467)</f>
        <v>0</v>
      </c>
      <c r="M467" s="161"/>
      <c r="N467" s="74">
        <f t="shared" si="212"/>
        <v>0</v>
      </c>
      <c r="O467" s="74">
        <f t="shared" si="205"/>
        <v>0</v>
      </c>
      <c r="P467" s="74">
        <f t="shared" si="206"/>
        <v>0</v>
      </c>
      <c r="Q467" s="74">
        <f t="shared" si="207"/>
        <v>0</v>
      </c>
      <c r="R467" s="74">
        <f t="shared" si="208"/>
        <v>0</v>
      </c>
      <c r="S467" s="74">
        <f t="shared" si="209"/>
        <v>0</v>
      </c>
      <c r="T467" s="74">
        <f t="shared" si="210"/>
        <v>0</v>
      </c>
      <c r="U467" s="74">
        <f t="shared" si="211"/>
        <v>0</v>
      </c>
      <c r="V467" s="208"/>
      <c r="W467" s="208"/>
      <c r="X467" s="208"/>
      <c r="Y467" s="208"/>
      <c r="Z467" s="208"/>
      <c r="AA467" s="208"/>
      <c r="AB467" s="208"/>
      <c r="AC467" s="208"/>
      <c r="AD467" s="208"/>
      <c r="AE467" s="208"/>
      <c r="AF467" s="208"/>
      <c r="AG467" s="208"/>
      <c r="AH467" s="208"/>
      <c r="AI467" s="208"/>
      <c r="AJ467" s="208"/>
      <c r="AK467" s="208"/>
      <c r="AL467" s="208"/>
      <c r="AM467" s="208"/>
      <c r="AN467" s="208"/>
      <c r="AO467" s="208"/>
      <c r="AP467" s="189"/>
    </row>
    <row r="468" spans="1:42" hidden="1" x14ac:dyDescent="0.3">
      <c r="A468" s="565" t="str">
        <f t="shared" si="202"/>
        <v>VІІІ етаж</v>
      </c>
      <c r="B468" s="566"/>
      <c r="C468" s="110">
        <f t="shared" si="203"/>
        <v>0</v>
      </c>
      <c r="D468" s="41"/>
      <c r="E468" s="41"/>
      <c r="F468" s="41"/>
      <c r="G468" s="41"/>
      <c r="H468" s="41"/>
      <c r="I468" s="41"/>
      <c r="J468" s="41"/>
      <c r="K468" s="41"/>
      <c r="L468" s="13">
        <f t="shared" si="213"/>
        <v>0</v>
      </c>
      <c r="M468" s="161"/>
      <c r="N468" s="74">
        <f t="shared" si="212"/>
        <v>0</v>
      </c>
      <c r="O468" s="74">
        <f t="shared" si="205"/>
        <v>0</v>
      </c>
      <c r="P468" s="74">
        <f t="shared" si="206"/>
        <v>0</v>
      </c>
      <c r="Q468" s="74">
        <f t="shared" si="207"/>
        <v>0</v>
      </c>
      <c r="R468" s="74">
        <f t="shared" si="208"/>
        <v>0</v>
      </c>
      <c r="S468" s="74">
        <f t="shared" si="209"/>
        <v>0</v>
      </c>
      <c r="T468" s="74">
        <f t="shared" si="210"/>
        <v>0</v>
      </c>
      <c r="U468" s="74">
        <f t="shared" si="211"/>
        <v>0</v>
      </c>
      <c r="V468" s="208"/>
      <c r="W468" s="208"/>
      <c r="X468" s="208"/>
      <c r="Y468" s="208"/>
      <c r="Z468" s="208"/>
      <c r="AA468" s="208"/>
      <c r="AB468" s="208"/>
      <c r="AC468" s="208"/>
      <c r="AD468" s="208"/>
      <c r="AE468" s="208"/>
      <c r="AF468" s="208"/>
      <c r="AG468" s="208"/>
      <c r="AH468" s="208"/>
      <c r="AI468" s="208"/>
      <c r="AJ468" s="208"/>
      <c r="AK468" s="208"/>
      <c r="AL468" s="208"/>
      <c r="AM468" s="208"/>
      <c r="AN468" s="208"/>
      <c r="AO468" s="208"/>
      <c r="AP468" s="189"/>
    </row>
    <row r="469" spans="1:42" hidden="1" x14ac:dyDescent="0.3">
      <c r="A469" s="565" t="str">
        <f t="shared" si="202"/>
        <v/>
      </c>
      <c r="B469" s="566"/>
      <c r="C469" s="110">
        <f t="shared" si="203"/>
        <v>0</v>
      </c>
      <c r="D469" s="41"/>
      <c r="E469" s="41"/>
      <c r="F469" s="41"/>
      <c r="G469" s="41"/>
      <c r="H469" s="41"/>
      <c r="I469" s="41"/>
      <c r="J469" s="41"/>
      <c r="K469" s="41"/>
      <c r="L469" s="13">
        <f t="shared" si="213"/>
        <v>0</v>
      </c>
      <c r="M469" s="161"/>
      <c r="N469" s="74">
        <f t="shared" si="212"/>
        <v>0</v>
      </c>
      <c r="O469" s="74">
        <f t="shared" si="205"/>
        <v>0</v>
      </c>
      <c r="P469" s="74">
        <f t="shared" si="206"/>
        <v>0</v>
      </c>
      <c r="Q469" s="74">
        <f t="shared" si="207"/>
        <v>0</v>
      </c>
      <c r="R469" s="74">
        <f t="shared" si="208"/>
        <v>0</v>
      </c>
      <c r="S469" s="74">
        <f t="shared" si="209"/>
        <v>0</v>
      </c>
      <c r="T469" s="74">
        <f t="shared" si="210"/>
        <v>0</v>
      </c>
      <c r="U469" s="74">
        <f t="shared" si="211"/>
        <v>0</v>
      </c>
      <c r="V469" s="208"/>
      <c r="W469" s="208"/>
      <c r="X469" s="208"/>
      <c r="Y469" s="208"/>
      <c r="Z469" s="208"/>
      <c r="AA469" s="208"/>
      <c r="AB469" s="208"/>
      <c r="AC469" s="208"/>
      <c r="AD469" s="208"/>
      <c r="AE469" s="208"/>
      <c r="AF469" s="208"/>
      <c r="AG469" s="208"/>
      <c r="AH469" s="208"/>
      <c r="AI469" s="208"/>
      <c r="AJ469" s="208"/>
      <c r="AK469" s="208"/>
      <c r="AL469" s="208"/>
      <c r="AM469" s="208"/>
      <c r="AN469" s="208"/>
      <c r="AO469" s="208"/>
      <c r="AP469" s="189"/>
    </row>
    <row r="470" spans="1:42" hidden="1" x14ac:dyDescent="0.3">
      <c r="A470" s="565" t="str">
        <f t="shared" si="202"/>
        <v/>
      </c>
      <c r="B470" s="566"/>
      <c r="C470" s="110">
        <f t="shared" si="203"/>
        <v>0</v>
      </c>
      <c r="D470" s="41"/>
      <c r="E470" s="41"/>
      <c r="F470" s="41"/>
      <c r="G470" s="41"/>
      <c r="H470" s="41"/>
      <c r="I470" s="41"/>
      <c r="J470" s="41"/>
      <c r="K470" s="41"/>
      <c r="L470" s="13">
        <f t="shared" si="213"/>
        <v>0</v>
      </c>
      <c r="M470" s="161"/>
      <c r="N470" s="74">
        <f t="shared" si="212"/>
        <v>0</v>
      </c>
      <c r="O470" s="74">
        <f t="shared" si="205"/>
        <v>0</v>
      </c>
      <c r="P470" s="74">
        <f t="shared" si="206"/>
        <v>0</v>
      </c>
      <c r="Q470" s="74">
        <f t="shared" si="207"/>
        <v>0</v>
      </c>
      <c r="R470" s="74">
        <f t="shared" si="208"/>
        <v>0</v>
      </c>
      <c r="S470" s="74">
        <f t="shared" si="209"/>
        <v>0</v>
      </c>
      <c r="T470" s="74">
        <f t="shared" si="210"/>
        <v>0</v>
      </c>
      <c r="U470" s="74">
        <f t="shared" si="211"/>
        <v>0</v>
      </c>
      <c r="V470" s="208"/>
      <c r="W470" s="208"/>
      <c r="X470" s="208"/>
      <c r="Y470" s="208"/>
      <c r="Z470" s="208"/>
      <c r="AA470" s="208"/>
      <c r="AB470" s="208"/>
      <c r="AC470" s="208"/>
      <c r="AD470" s="208"/>
      <c r="AE470" s="208"/>
      <c r="AF470" s="208"/>
      <c r="AG470" s="208"/>
      <c r="AH470" s="208"/>
      <c r="AI470" s="208"/>
      <c r="AJ470" s="208"/>
      <c r="AK470" s="208"/>
      <c r="AL470" s="208"/>
      <c r="AM470" s="208"/>
      <c r="AN470" s="208"/>
      <c r="AO470" s="208"/>
      <c r="AP470" s="189"/>
    </row>
    <row r="471" spans="1:42" hidden="1" x14ac:dyDescent="0.3">
      <c r="A471" s="565" t="str">
        <f t="shared" si="202"/>
        <v/>
      </c>
      <c r="B471" s="566"/>
      <c r="C471" s="110">
        <f t="shared" si="203"/>
        <v>0</v>
      </c>
      <c r="D471" s="41"/>
      <c r="E471" s="41"/>
      <c r="F471" s="41"/>
      <c r="G471" s="41"/>
      <c r="H471" s="41"/>
      <c r="I471" s="41"/>
      <c r="J471" s="41"/>
      <c r="K471" s="41"/>
      <c r="L471" s="13">
        <f t="shared" si="213"/>
        <v>0</v>
      </c>
      <c r="M471" s="161"/>
      <c r="N471" s="74">
        <f t="shared" si="212"/>
        <v>0</v>
      </c>
      <c r="O471" s="74">
        <f t="shared" si="205"/>
        <v>0</v>
      </c>
      <c r="P471" s="74">
        <f t="shared" si="206"/>
        <v>0</v>
      </c>
      <c r="Q471" s="74">
        <f t="shared" si="207"/>
        <v>0</v>
      </c>
      <c r="R471" s="74">
        <f t="shared" si="208"/>
        <v>0</v>
      </c>
      <c r="S471" s="74">
        <f t="shared" si="209"/>
        <v>0</v>
      </c>
      <c r="T471" s="74">
        <f t="shared" si="210"/>
        <v>0</v>
      </c>
      <c r="U471" s="74">
        <f t="shared" si="211"/>
        <v>0</v>
      </c>
      <c r="V471" s="208"/>
      <c r="W471" s="208"/>
      <c r="X471" s="208"/>
      <c r="Y471" s="208"/>
      <c r="Z471" s="208"/>
      <c r="AA471" s="208"/>
      <c r="AB471" s="208"/>
      <c r="AC471" s="208"/>
      <c r="AD471" s="208"/>
      <c r="AE471" s="208"/>
      <c r="AF471" s="208"/>
      <c r="AG471" s="208"/>
      <c r="AH471" s="208"/>
      <c r="AI471" s="208"/>
      <c r="AJ471" s="208"/>
      <c r="AK471" s="208"/>
      <c r="AL471" s="208"/>
      <c r="AM471" s="208"/>
      <c r="AN471" s="208"/>
      <c r="AO471" s="208"/>
      <c r="AP471" s="189"/>
    </row>
    <row r="472" spans="1:42" hidden="1" x14ac:dyDescent="0.3">
      <c r="A472" s="565" t="str">
        <f>IF(A24="","",A24)</f>
        <v/>
      </c>
      <c r="B472" s="566"/>
      <c r="C472" s="110">
        <f>E24</f>
        <v>0</v>
      </c>
      <c r="D472" s="41"/>
      <c r="E472" s="41"/>
      <c r="F472" s="41"/>
      <c r="G472" s="41"/>
      <c r="H472" s="41"/>
      <c r="I472" s="41"/>
      <c r="J472" s="41"/>
      <c r="K472" s="41"/>
      <c r="L472" s="13">
        <f t="shared" si="213"/>
        <v>0</v>
      </c>
      <c r="M472" s="161"/>
      <c r="N472" s="74">
        <f t="shared" si="212"/>
        <v>0</v>
      </c>
      <c r="O472" s="74">
        <f t="shared" si="205"/>
        <v>0</v>
      </c>
      <c r="P472" s="74">
        <f t="shared" si="206"/>
        <v>0</v>
      </c>
      <c r="Q472" s="74">
        <f t="shared" si="207"/>
        <v>0</v>
      </c>
      <c r="R472" s="74">
        <f t="shared" si="208"/>
        <v>0</v>
      </c>
      <c r="S472" s="74">
        <f t="shared" si="209"/>
        <v>0</v>
      </c>
      <c r="T472" s="74">
        <f t="shared" si="210"/>
        <v>0</v>
      </c>
      <c r="U472" s="74">
        <f t="shared" si="211"/>
        <v>0</v>
      </c>
      <c r="V472" s="208"/>
      <c r="W472" s="208"/>
      <c r="X472" s="208"/>
      <c r="Y472" s="208"/>
      <c r="Z472" s="208"/>
      <c r="AA472" s="208"/>
      <c r="AB472" s="208"/>
      <c r="AC472" s="208"/>
      <c r="AD472" s="208"/>
      <c r="AE472" s="208"/>
      <c r="AF472" s="208"/>
      <c r="AG472" s="208"/>
      <c r="AH472" s="208"/>
      <c r="AI472" s="208"/>
      <c r="AJ472" s="208"/>
      <c r="AK472" s="208"/>
      <c r="AL472" s="208"/>
      <c r="AM472" s="208"/>
      <c r="AN472" s="208"/>
      <c r="AO472" s="208"/>
      <c r="AP472" s="189"/>
    </row>
    <row r="473" spans="1:42" ht="18" hidden="1" x14ac:dyDescent="0.3">
      <c r="A473" s="777" t="s">
        <v>679</v>
      </c>
      <c r="B473" s="777"/>
      <c r="C473" s="777"/>
      <c r="D473" s="211">
        <f t="shared" ref="D473:K473" si="214">N473</f>
        <v>0</v>
      </c>
      <c r="E473" s="211">
        <f t="shared" si="214"/>
        <v>0</v>
      </c>
      <c r="F473" s="211">
        <f t="shared" si="214"/>
        <v>0</v>
      </c>
      <c r="G473" s="211">
        <f t="shared" si="214"/>
        <v>0</v>
      </c>
      <c r="H473" s="211">
        <f t="shared" si="214"/>
        <v>0</v>
      </c>
      <c r="I473" s="211">
        <f t="shared" si="214"/>
        <v>0</v>
      </c>
      <c r="J473" s="211">
        <f t="shared" si="214"/>
        <v>0</v>
      </c>
      <c r="K473" s="211">
        <f t="shared" si="214"/>
        <v>0</v>
      </c>
      <c r="L473" s="13">
        <f>SUM(L461:L472)</f>
        <v>0</v>
      </c>
      <c r="M473" s="161"/>
      <c r="N473" s="74">
        <f t="shared" ref="N473:U473" si="215">SUM(N461:N472)</f>
        <v>0</v>
      </c>
      <c r="O473" s="74">
        <f t="shared" si="215"/>
        <v>0</v>
      </c>
      <c r="P473" s="74">
        <f t="shared" si="215"/>
        <v>0</v>
      </c>
      <c r="Q473" s="74">
        <f t="shared" si="215"/>
        <v>0</v>
      </c>
      <c r="R473" s="74">
        <f t="shared" si="215"/>
        <v>0</v>
      </c>
      <c r="S473" s="74">
        <f t="shared" si="215"/>
        <v>0</v>
      </c>
      <c r="T473" s="74">
        <f t="shared" si="215"/>
        <v>0</v>
      </c>
      <c r="U473" s="74">
        <f t="shared" si="215"/>
        <v>0</v>
      </c>
      <c r="V473" s="208"/>
      <c r="W473" s="208"/>
      <c r="X473" s="208"/>
      <c r="Y473" s="208"/>
      <c r="Z473" s="208"/>
      <c r="AA473" s="208"/>
      <c r="AB473" s="208"/>
      <c r="AC473" s="208"/>
      <c r="AD473" s="208"/>
      <c r="AE473" s="208"/>
      <c r="AF473" s="208"/>
      <c r="AG473" s="208"/>
      <c r="AH473" s="208"/>
      <c r="AI473" s="208"/>
      <c r="AJ473" s="208"/>
      <c r="AK473" s="208"/>
      <c r="AL473" s="208"/>
      <c r="AM473" s="208"/>
      <c r="AN473" s="208"/>
      <c r="AO473" s="208"/>
      <c r="AP473" s="189"/>
    </row>
    <row r="474" spans="1:42" ht="18" hidden="1" x14ac:dyDescent="0.3">
      <c r="A474" s="777" t="s">
        <v>611</v>
      </c>
      <c r="B474" s="777"/>
      <c r="C474" s="777"/>
      <c r="D474" s="469">
        <f>D473-E516</f>
        <v>0</v>
      </c>
      <c r="E474" s="469">
        <f t="shared" ref="E474:K474" si="216">E473-F516</f>
        <v>0</v>
      </c>
      <c r="F474" s="469">
        <f t="shared" si="216"/>
        <v>0</v>
      </c>
      <c r="G474" s="469">
        <f t="shared" si="216"/>
        <v>0</v>
      </c>
      <c r="H474" s="469">
        <f t="shared" si="216"/>
        <v>0</v>
      </c>
      <c r="I474" s="469">
        <f t="shared" si="216"/>
        <v>0</v>
      </c>
      <c r="J474" s="469">
        <f t="shared" si="216"/>
        <v>0</v>
      </c>
      <c r="K474" s="469">
        <f t="shared" si="216"/>
        <v>0</v>
      </c>
      <c r="N474" s="207"/>
      <c r="O474" s="207"/>
      <c r="P474" s="208"/>
      <c r="Q474" s="208"/>
      <c r="R474" s="208"/>
      <c r="S474" s="208"/>
      <c r="T474" s="208"/>
      <c r="U474" s="208"/>
      <c r="V474" s="208"/>
      <c r="W474" s="208"/>
      <c r="X474" s="208"/>
      <c r="Y474" s="208"/>
      <c r="Z474" s="208"/>
      <c r="AA474" s="208"/>
      <c r="AB474" s="208"/>
      <c r="AC474" s="208"/>
      <c r="AD474" s="208"/>
      <c r="AE474" s="208"/>
      <c r="AF474" s="208"/>
      <c r="AG474" s="208"/>
      <c r="AH474" s="208"/>
      <c r="AI474" s="208"/>
      <c r="AJ474" s="208"/>
      <c r="AK474" s="208"/>
      <c r="AL474" s="208"/>
      <c r="AM474" s="208"/>
      <c r="AN474" s="208"/>
      <c r="AO474" s="208"/>
      <c r="AP474" s="189"/>
    </row>
    <row r="475" spans="1:42" hidden="1" x14ac:dyDescent="0.3">
      <c r="N475" s="207"/>
      <c r="O475" s="207"/>
      <c r="P475" s="208"/>
      <c r="Q475" s="208"/>
      <c r="R475" s="208"/>
      <c r="S475" s="208"/>
      <c r="T475" s="208"/>
      <c r="U475" s="208"/>
      <c r="V475" s="208"/>
      <c r="W475" s="208"/>
      <c r="X475" s="208"/>
      <c r="Y475" s="208"/>
      <c r="Z475" s="208"/>
      <c r="AA475" s="208"/>
      <c r="AB475" s="208"/>
      <c r="AC475" s="208"/>
      <c r="AD475" s="208"/>
      <c r="AE475" s="208"/>
      <c r="AF475" s="208"/>
      <c r="AG475" s="208"/>
      <c r="AH475" s="208"/>
      <c r="AI475" s="208"/>
      <c r="AJ475" s="208"/>
      <c r="AK475" s="208"/>
      <c r="AL475" s="208"/>
      <c r="AM475" s="208"/>
      <c r="AN475" s="208"/>
      <c r="AO475" s="208"/>
      <c r="AP475" s="189"/>
    </row>
    <row r="476" spans="1:42" ht="18" hidden="1" x14ac:dyDescent="0.35">
      <c r="A476" s="590" t="s">
        <v>608</v>
      </c>
      <c r="B476" s="590"/>
      <c r="C476" s="590"/>
      <c r="D476" s="590"/>
      <c r="E476" s="590"/>
      <c r="F476" s="590"/>
      <c r="G476" s="590"/>
      <c r="H476" s="590"/>
      <c r="I476" s="590"/>
      <c r="J476" s="591"/>
      <c r="K476" s="591"/>
      <c r="L476" s="329"/>
    </row>
    <row r="477" spans="1:42" ht="18" hidden="1" customHeight="1" x14ac:dyDescent="0.3">
      <c r="A477" s="594" t="s">
        <v>928</v>
      </c>
      <c r="B477" s="660" t="s">
        <v>24</v>
      </c>
      <c r="C477" s="661"/>
      <c r="D477" s="583" t="s">
        <v>23</v>
      </c>
      <c r="E477" s="584"/>
      <c r="F477" s="584"/>
      <c r="G477" s="584"/>
      <c r="H477" s="584"/>
      <c r="I477" s="584"/>
      <c r="J477" s="584"/>
      <c r="K477" s="584"/>
      <c r="L477" s="585"/>
      <c r="M477" s="314"/>
      <c r="X477" s="842" t="s">
        <v>26</v>
      </c>
    </row>
    <row r="478" spans="1:42" ht="18" hidden="1" customHeight="1" x14ac:dyDescent="0.3">
      <c r="A478" s="595"/>
      <c r="B478" s="136"/>
      <c r="C478" s="136"/>
      <c r="D478" s="468" t="s">
        <v>904</v>
      </c>
      <c r="E478" s="38" t="s">
        <v>12</v>
      </c>
      <c r="F478" s="38" t="s">
        <v>11</v>
      </c>
      <c r="G478" s="38" t="s">
        <v>10</v>
      </c>
      <c r="H478" s="38" t="s">
        <v>17</v>
      </c>
      <c r="I478" s="38" t="s">
        <v>16</v>
      </c>
      <c r="J478" s="38" t="s">
        <v>15</v>
      </c>
      <c r="K478" s="38" t="s">
        <v>14</v>
      </c>
      <c r="L478" s="38" t="s">
        <v>13</v>
      </c>
      <c r="M478" s="315"/>
      <c r="N478" s="307" t="s">
        <v>12</v>
      </c>
      <c r="O478" s="38" t="s">
        <v>11</v>
      </c>
      <c r="P478" s="38" t="s">
        <v>10</v>
      </c>
      <c r="Q478" s="38" t="s">
        <v>17</v>
      </c>
      <c r="R478" s="38" t="s">
        <v>16</v>
      </c>
      <c r="S478" s="38" t="s">
        <v>15</v>
      </c>
      <c r="T478" s="38" t="s">
        <v>14</v>
      </c>
      <c r="U478" s="38" t="s">
        <v>13</v>
      </c>
      <c r="V478" s="396" t="s">
        <v>840</v>
      </c>
      <c r="W478" s="842" t="s">
        <v>25</v>
      </c>
      <c r="X478" s="843"/>
      <c r="Z478" s="38" t="s">
        <v>427</v>
      </c>
      <c r="AA478" s="38" t="s">
        <v>428</v>
      </c>
    </row>
    <row r="479" spans="1:42" hidden="1" x14ac:dyDescent="0.3">
      <c r="A479" s="595"/>
      <c r="B479" s="38" t="s">
        <v>18</v>
      </c>
      <c r="C479" s="38" t="s">
        <v>19</v>
      </c>
      <c r="D479" s="38" t="s">
        <v>950</v>
      </c>
      <c r="E479" s="38" t="s">
        <v>20</v>
      </c>
      <c r="F479" s="38" t="s">
        <v>20</v>
      </c>
      <c r="G479" s="38" t="s">
        <v>20</v>
      </c>
      <c r="H479" s="38" t="s">
        <v>20</v>
      </c>
      <c r="I479" s="38" t="s">
        <v>20</v>
      </c>
      <c r="J479" s="38" t="s">
        <v>20</v>
      </c>
      <c r="K479" s="38" t="s">
        <v>20</v>
      </c>
      <c r="L479" s="38" t="s">
        <v>20</v>
      </c>
      <c r="M479" s="315"/>
      <c r="N479" s="307" t="s">
        <v>905</v>
      </c>
      <c r="O479" s="38" t="s">
        <v>905</v>
      </c>
      <c r="P479" s="38" t="s">
        <v>905</v>
      </c>
      <c r="Q479" s="38" t="s">
        <v>905</v>
      </c>
      <c r="R479" s="38" t="s">
        <v>905</v>
      </c>
      <c r="S479" s="38" t="s">
        <v>905</v>
      </c>
      <c r="T479" s="38" t="s">
        <v>905</v>
      </c>
      <c r="U479" s="38" t="s">
        <v>905</v>
      </c>
      <c r="V479" s="396"/>
      <c r="W479" s="844"/>
      <c r="X479" s="844"/>
      <c r="Z479" s="38" t="s">
        <v>20</v>
      </c>
      <c r="AA479" s="38" t="s">
        <v>905</v>
      </c>
    </row>
    <row r="480" spans="1:42" ht="18" hidden="1" x14ac:dyDescent="0.3">
      <c r="A480" s="102" t="s">
        <v>950</v>
      </c>
      <c r="B480" s="102" t="s">
        <v>883</v>
      </c>
      <c r="C480" s="102" t="s">
        <v>883</v>
      </c>
      <c r="D480" s="102" t="s">
        <v>637</v>
      </c>
      <c r="E480" s="102" t="s">
        <v>21</v>
      </c>
      <c r="F480" s="102" t="s">
        <v>21</v>
      </c>
      <c r="G480" s="102" t="s">
        <v>21</v>
      </c>
      <c r="H480" s="102" t="s">
        <v>21</v>
      </c>
      <c r="I480" s="102" t="s">
        <v>21</v>
      </c>
      <c r="J480" s="102" t="s">
        <v>21</v>
      </c>
      <c r="K480" s="102" t="s">
        <v>21</v>
      </c>
      <c r="L480" s="102" t="s">
        <v>21</v>
      </c>
      <c r="M480" s="316"/>
      <c r="N480" s="308" t="s">
        <v>27</v>
      </c>
      <c r="O480" s="102" t="s">
        <v>27</v>
      </c>
      <c r="P480" s="102" t="s">
        <v>27</v>
      </c>
      <c r="Q480" s="102" t="s">
        <v>27</v>
      </c>
      <c r="R480" s="102" t="s">
        <v>27</v>
      </c>
      <c r="S480" s="102" t="s">
        <v>27</v>
      </c>
      <c r="T480" s="102" t="s">
        <v>27</v>
      </c>
      <c r="U480" s="102" t="s">
        <v>27</v>
      </c>
      <c r="V480" s="396"/>
      <c r="W480" s="98" t="s">
        <v>907</v>
      </c>
      <c r="X480" s="98" t="s">
        <v>22</v>
      </c>
      <c r="Z480" s="102" t="s">
        <v>21</v>
      </c>
      <c r="AA480" s="102" t="s">
        <v>27</v>
      </c>
    </row>
    <row r="481" spans="1:27" hidden="1" x14ac:dyDescent="0.3">
      <c r="A481" s="98">
        <v>1</v>
      </c>
      <c r="B481" s="42"/>
      <c r="C481" s="42"/>
      <c r="D481" s="40"/>
      <c r="E481" s="104"/>
      <c r="F481" s="104"/>
      <c r="G481" s="104"/>
      <c r="H481" s="104"/>
      <c r="I481" s="104"/>
      <c r="J481" s="104"/>
      <c r="K481" s="104"/>
      <c r="L481" s="104"/>
      <c r="M481" s="317"/>
      <c r="N481" s="309">
        <f t="shared" ref="N481:N515" si="217">$B481*$C481*E481</f>
        <v>0</v>
      </c>
      <c r="O481" s="98">
        <f t="shared" ref="O481:O515" si="218">$B481*$C481*F481</f>
        <v>0</v>
      </c>
      <c r="P481" s="98">
        <f t="shared" ref="P481:P515" si="219">$B481*$C481*G481</f>
        <v>0</v>
      </c>
      <c r="Q481" s="98">
        <f t="shared" ref="Q481:Q515" si="220">$B481*$C481*H481</f>
        <v>0</v>
      </c>
      <c r="R481" s="98">
        <f t="shared" ref="R481:R515" si="221">$B481*$C481*I481</f>
        <v>0</v>
      </c>
      <c r="S481" s="98">
        <f t="shared" ref="S481:S515" si="222">$B481*$C481*J481</f>
        <v>0</v>
      </c>
      <c r="T481" s="98">
        <f t="shared" ref="T481:T515" si="223">$B481*$C481*K481</f>
        <v>0</v>
      </c>
      <c r="U481" s="98">
        <f t="shared" ref="U481:U515" si="224">$B481*$C481*L481</f>
        <v>0</v>
      </c>
      <c r="V481" s="396">
        <f>D481*W481</f>
        <v>0</v>
      </c>
      <c r="W481" s="98">
        <f>SUM(N481:U481)</f>
        <v>0</v>
      </c>
      <c r="X481" s="98">
        <f t="shared" ref="X481:X515" si="225">(B481+C481)*2*SUM(E481:L481)</f>
        <v>0</v>
      </c>
      <c r="Z481" s="104"/>
      <c r="AA481" s="98">
        <f t="shared" ref="AA481:AA515" si="226">$B481*$C481*Z481</f>
        <v>0</v>
      </c>
    </row>
    <row r="482" spans="1:27" hidden="1" x14ac:dyDescent="0.3">
      <c r="A482" s="98">
        <v>2</v>
      </c>
      <c r="B482" s="42"/>
      <c r="C482" s="42"/>
      <c r="D482" s="40"/>
      <c r="E482" s="104"/>
      <c r="F482" s="104"/>
      <c r="G482" s="104"/>
      <c r="H482" s="104"/>
      <c r="I482" s="104"/>
      <c r="J482" s="104"/>
      <c r="K482" s="104"/>
      <c r="L482" s="104"/>
      <c r="M482" s="317"/>
      <c r="N482" s="309">
        <f t="shared" si="217"/>
        <v>0</v>
      </c>
      <c r="O482" s="98">
        <f t="shared" si="218"/>
        <v>0</v>
      </c>
      <c r="P482" s="98">
        <f t="shared" si="219"/>
        <v>0</v>
      </c>
      <c r="Q482" s="98">
        <f t="shared" si="220"/>
        <v>0</v>
      </c>
      <c r="R482" s="98">
        <f t="shared" si="221"/>
        <v>0</v>
      </c>
      <c r="S482" s="98">
        <f t="shared" si="222"/>
        <v>0</v>
      </c>
      <c r="T482" s="98">
        <f t="shared" si="223"/>
        <v>0</v>
      </c>
      <c r="U482" s="98">
        <f t="shared" si="224"/>
        <v>0</v>
      </c>
      <c r="V482" s="396">
        <f t="shared" ref="V482:V515" si="227">D482*W482</f>
        <v>0</v>
      </c>
      <c r="W482" s="98">
        <f t="shared" ref="W482:W515" si="228">SUM(N482:U482)</f>
        <v>0</v>
      </c>
      <c r="X482" s="98">
        <f t="shared" si="225"/>
        <v>0</v>
      </c>
      <c r="Z482" s="104"/>
      <c r="AA482" s="98">
        <f t="shared" si="226"/>
        <v>0</v>
      </c>
    </row>
    <row r="483" spans="1:27" hidden="1" x14ac:dyDescent="0.3">
      <c r="A483" s="98">
        <v>3</v>
      </c>
      <c r="B483" s="42"/>
      <c r="C483" s="42"/>
      <c r="D483" s="40"/>
      <c r="E483" s="104"/>
      <c r="F483" s="104"/>
      <c r="G483" s="104"/>
      <c r="H483" s="104"/>
      <c r="I483" s="104"/>
      <c r="J483" s="104"/>
      <c r="K483" s="104"/>
      <c r="L483" s="104"/>
      <c r="M483" s="317"/>
      <c r="N483" s="309">
        <f t="shared" si="217"/>
        <v>0</v>
      </c>
      <c r="O483" s="98">
        <f t="shared" si="218"/>
        <v>0</v>
      </c>
      <c r="P483" s="98">
        <f t="shared" si="219"/>
        <v>0</v>
      </c>
      <c r="Q483" s="98">
        <f t="shared" si="220"/>
        <v>0</v>
      </c>
      <c r="R483" s="98">
        <f t="shared" si="221"/>
        <v>0</v>
      </c>
      <c r="S483" s="98">
        <f t="shared" si="222"/>
        <v>0</v>
      </c>
      <c r="T483" s="98">
        <f t="shared" si="223"/>
        <v>0</v>
      </c>
      <c r="U483" s="98">
        <f t="shared" si="224"/>
        <v>0</v>
      </c>
      <c r="V483" s="396">
        <f t="shared" si="227"/>
        <v>0</v>
      </c>
      <c r="W483" s="98">
        <f t="shared" si="228"/>
        <v>0</v>
      </c>
      <c r="X483" s="98">
        <f t="shared" si="225"/>
        <v>0</v>
      </c>
      <c r="Z483" s="104"/>
      <c r="AA483" s="98">
        <f t="shared" si="226"/>
        <v>0</v>
      </c>
    </row>
    <row r="484" spans="1:27" hidden="1" x14ac:dyDescent="0.3">
      <c r="A484" s="98">
        <v>4</v>
      </c>
      <c r="B484" s="42"/>
      <c r="C484" s="42"/>
      <c r="D484" s="40"/>
      <c r="E484" s="104"/>
      <c r="F484" s="104"/>
      <c r="G484" s="104"/>
      <c r="H484" s="104"/>
      <c r="I484" s="104"/>
      <c r="J484" s="104"/>
      <c r="K484" s="104"/>
      <c r="L484" s="104"/>
      <c r="M484" s="317"/>
      <c r="N484" s="309">
        <f t="shared" si="217"/>
        <v>0</v>
      </c>
      <c r="O484" s="98">
        <f t="shared" si="218"/>
        <v>0</v>
      </c>
      <c r="P484" s="98">
        <f t="shared" si="219"/>
        <v>0</v>
      </c>
      <c r="Q484" s="98">
        <f t="shared" si="220"/>
        <v>0</v>
      </c>
      <c r="R484" s="98">
        <f t="shared" si="221"/>
        <v>0</v>
      </c>
      <c r="S484" s="98">
        <f t="shared" si="222"/>
        <v>0</v>
      </c>
      <c r="T484" s="98">
        <f t="shared" si="223"/>
        <v>0</v>
      </c>
      <c r="U484" s="98">
        <f t="shared" si="224"/>
        <v>0</v>
      </c>
      <c r="V484" s="396">
        <f t="shared" si="227"/>
        <v>0</v>
      </c>
      <c r="W484" s="98">
        <f t="shared" si="228"/>
        <v>0</v>
      </c>
      <c r="X484" s="98">
        <f t="shared" si="225"/>
        <v>0</v>
      </c>
      <c r="Z484" s="104"/>
      <c r="AA484" s="98">
        <f t="shared" si="226"/>
        <v>0</v>
      </c>
    </row>
    <row r="485" spans="1:27" hidden="1" x14ac:dyDescent="0.3">
      <c r="A485" s="98">
        <v>5</v>
      </c>
      <c r="B485" s="42"/>
      <c r="C485" s="42"/>
      <c r="D485" s="40"/>
      <c r="E485" s="104"/>
      <c r="F485" s="104"/>
      <c r="G485" s="104"/>
      <c r="H485" s="104"/>
      <c r="I485" s="104"/>
      <c r="J485" s="104"/>
      <c r="K485" s="104"/>
      <c r="L485" s="104"/>
      <c r="M485" s="317"/>
      <c r="N485" s="309">
        <f t="shared" si="217"/>
        <v>0</v>
      </c>
      <c r="O485" s="98">
        <f t="shared" si="218"/>
        <v>0</v>
      </c>
      <c r="P485" s="98">
        <f t="shared" si="219"/>
        <v>0</v>
      </c>
      <c r="Q485" s="98">
        <f t="shared" si="220"/>
        <v>0</v>
      </c>
      <c r="R485" s="98">
        <f t="shared" si="221"/>
        <v>0</v>
      </c>
      <c r="S485" s="98">
        <f t="shared" si="222"/>
        <v>0</v>
      </c>
      <c r="T485" s="98">
        <f t="shared" si="223"/>
        <v>0</v>
      </c>
      <c r="U485" s="98">
        <f t="shared" si="224"/>
        <v>0</v>
      </c>
      <c r="V485" s="396">
        <f t="shared" si="227"/>
        <v>0</v>
      </c>
      <c r="W485" s="98">
        <f t="shared" si="228"/>
        <v>0</v>
      </c>
      <c r="X485" s="98">
        <f t="shared" si="225"/>
        <v>0</v>
      </c>
      <c r="Z485" s="104"/>
      <c r="AA485" s="98">
        <f t="shared" si="226"/>
        <v>0</v>
      </c>
    </row>
    <row r="486" spans="1:27" hidden="1" x14ac:dyDescent="0.3">
      <c r="A486" s="98">
        <v>6</v>
      </c>
      <c r="B486" s="42"/>
      <c r="C486" s="42"/>
      <c r="D486" s="40"/>
      <c r="E486" s="104"/>
      <c r="F486" s="104"/>
      <c r="G486" s="104"/>
      <c r="H486" s="104"/>
      <c r="I486" s="104"/>
      <c r="J486" s="104"/>
      <c r="K486" s="104"/>
      <c r="L486" s="104"/>
      <c r="M486" s="317"/>
      <c r="N486" s="309">
        <f t="shared" si="217"/>
        <v>0</v>
      </c>
      <c r="O486" s="98">
        <f t="shared" si="218"/>
        <v>0</v>
      </c>
      <c r="P486" s="98">
        <f t="shared" si="219"/>
        <v>0</v>
      </c>
      <c r="Q486" s="98">
        <f t="shared" si="220"/>
        <v>0</v>
      </c>
      <c r="R486" s="98">
        <f t="shared" si="221"/>
        <v>0</v>
      </c>
      <c r="S486" s="98">
        <f t="shared" si="222"/>
        <v>0</v>
      </c>
      <c r="T486" s="98">
        <f t="shared" si="223"/>
        <v>0</v>
      </c>
      <c r="U486" s="98">
        <f t="shared" si="224"/>
        <v>0</v>
      </c>
      <c r="V486" s="396">
        <f t="shared" si="227"/>
        <v>0</v>
      </c>
      <c r="W486" s="98">
        <f t="shared" si="228"/>
        <v>0</v>
      </c>
      <c r="X486" s="98">
        <f t="shared" si="225"/>
        <v>0</v>
      </c>
      <c r="Z486" s="104"/>
      <c r="AA486" s="98">
        <f t="shared" si="226"/>
        <v>0</v>
      </c>
    </row>
    <row r="487" spans="1:27" hidden="1" x14ac:dyDescent="0.3">
      <c r="A487" s="98">
        <v>7</v>
      </c>
      <c r="B487" s="42"/>
      <c r="C487" s="42"/>
      <c r="D487" s="40"/>
      <c r="E487" s="104"/>
      <c r="F487" s="104"/>
      <c r="G487" s="104"/>
      <c r="H487" s="104"/>
      <c r="I487" s="104"/>
      <c r="J487" s="104"/>
      <c r="K487" s="104"/>
      <c r="L487" s="104"/>
      <c r="M487" s="317"/>
      <c r="N487" s="309">
        <f t="shared" si="217"/>
        <v>0</v>
      </c>
      <c r="O487" s="98">
        <f t="shared" si="218"/>
        <v>0</v>
      </c>
      <c r="P487" s="98">
        <f t="shared" si="219"/>
        <v>0</v>
      </c>
      <c r="Q487" s="98">
        <f t="shared" si="220"/>
        <v>0</v>
      </c>
      <c r="R487" s="98">
        <f t="shared" si="221"/>
        <v>0</v>
      </c>
      <c r="S487" s="98">
        <f t="shared" si="222"/>
        <v>0</v>
      </c>
      <c r="T487" s="98">
        <f t="shared" si="223"/>
        <v>0</v>
      </c>
      <c r="U487" s="98">
        <f t="shared" si="224"/>
        <v>0</v>
      </c>
      <c r="V487" s="396">
        <f t="shared" si="227"/>
        <v>0</v>
      </c>
      <c r="W487" s="98">
        <f t="shared" si="228"/>
        <v>0</v>
      </c>
      <c r="X487" s="98">
        <f t="shared" si="225"/>
        <v>0</v>
      </c>
      <c r="Z487" s="104"/>
      <c r="AA487" s="98">
        <f t="shared" si="226"/>
        <v>0</v>
      </c>
    </row>
    <row r="488" spans="1:27" hidden="1" x14ac:dyDescent="0.3">
      <c r="A488" s="98">
        <v>8</v>
      </c>
      <c r="B488" s="42"/>
      <c r="C488" s="42"/>
      <c r="D488" s="40"/>
      <c r="E488" s="104"/>
      <c r="F488" s="104"/>
      <c r="G488" s="104"/>
      <c r="H488" s="104"/>
      <c r="I488" s="104"/>
      <c r="J488" s="104"/>
      <c r="K488" s="104"/>
      <c r="L488" s="104"/>
      <c r="M488" s="317"/>
      <c r="N488" s="309">
        <f t="shared" si="217"/>
        <v>0</v>
      </c>
      <c r="O488" s="98">
        <f t="shared" si="218"/>
        <v>0</v>
      </c>
      <c r="P488" s="98">
        <f t="shared" si="219"/>
        <v>0</v>
      </c>
      <c r="Q488" s="98">
        <f t="shared" si="220"/>
        <v>0</v>
      </c>
      <c r="R488" s="98">
        <f t="shared" si="221"/>
        <v>0</v>
      </c>
      <c r="S488" s="98">
        <f t="shared" si="222"/>
        <v>0</v>
      </c>
      <c r="T488" s="98">
        <f t="shared" si="223"/>
        <v>0</v>
      </c>
      <c r="U488" s="98">
        <f t="shared" si="224"/>
        <v>0</v>
      </c>
      <c r="V488" s="396">
        <f t="shared" si="227"/>
        <v>0</v>
      </c>
      <c r="W488" s="98">
        <f t="shared" si="228"/>
        <v>0</v>
      </c>
      <c r="X488" s="98">
        <f t="shared" si="225"/>
        <v>0</v>
      </c>
      <c r="Z488" s="104"/>
      <c r="AA488" s="98">
        <f t="shared" si="226"/>
        <v>0</v>
      </c>
    </row>
    <row r="489" spans="1:27" hidden="1" x14ac:dyDescent="0.3">
      <c r="A489" s="98">
        <v>9</v>
      </c>
      <c r="B489" s="42"/>
      <c r="C489" s="42"/>
      <c r="D489" s="40"/>
      <c r="E489" s="104"/>
      <c r="F489" s="104"/>
      <c r="G489" s="104"/>
      <c r="H489" s="104"/>
      <c r="I489" s="104"/>
      <c r="J489" s="104"/>
      <c r="K489" s="104"/>
      <c r="L489" s="104"/>
      <c r="M489" s="317"/>
      <c r="N489" s="309">
        <f t="shared" si="217"/>
        <v>0</v>
      </c>
      <c r="O489" s="98">
        <f t="shared" si="218"/>
        <v>0</v>
      </c>
      <c r="P489" s="98">
        <f t="shared" si="219"/>
        <v>0</v>
      </c>
      <c r="Q489" s="98">
        <f t="shared" si="220"/>
        <v>0</v>
      </c>
      <c r="R489" s="98">
        <f t="shared" si="221"/>
        <v>0</v>
      </c>
      <c r="S489" s="98">
        <f t="shared" si="222"/>
        <v>0</v>
      </c>
      <c r="T489" s="98">
        <f t="shared" si="223"/>
        <v>0</v>
      </c>
      <c r="U489" s="98">
        <f t="shared" si="224"/>
        <v>0</v>
      </c>
      <c r="V489" s="396">
        <f t="shared" si="227"/>
        <v>0</v>
      </c>
      <c r="W489" s="98">
        <f t="shared" si="228"/>
        <v>0</v>
      </c>
      <c r="X489" s="98">
        <f t="shared" si="225"/>
        <v>0</v>
      </c>
      <c r="Z489" s="104"/>
      <c r="AA489" s="98">
        <f t="shared" si="226"/>
        <v>0</v>
      </c>
    </row>
    <row r="490" spans="1:27" hidden="1" x14ac:dyDescent="0.3">
      <c r="A490" s="98">
        <v>10</v>
      </c>
      <c r="B490" s="42"/>
      <c r="C490" s="42"/>
      <c r="D490" s="40"/>
      <c r="E490" s="104"/>
      <c r="F490" s="104"/>
      <c r="G490" s="104"/>
      <c r="H490" s="104"/>
      <c r="I490" s="104"/>
      <c r="J490" s="104"/>
      <c r="K490" s="104"/>
      <c r="L490" s="104"/>
      <c r="M490" s="317"/>
      <c r="N490" s="309">
        <f t="shared" si="217"/>
        <v>0</v>
      </c>
      <c r="O490" s="98">
        <f t="shared" si="218"/>
        <v>0</v>
      </c>
      <c r="P490" s="98">
        <f t="shared" si="219"/>
        <v>0</v>
      </c>
      <c r="Q490" s="98">
        <f t="shared" si="220"/>
        <v>0</v>
      </c>
      <c r="R490" s="98">
        <f t="shared" si="221"/>
        <v>0</v>
      </c>
      <c r="S490" s="98">
        <f t="shared" si="222"/>
        <v>0</v>
      </c>
      <c r="T490" s="98">
        <f t="shared" si="223"/>
        <v>0</v>
      </c>
      <c r="U490" s="98">
        <f t="shared" si="224"/>
        <v>0</v>
      </c>
      <c r="V490" s="396">
        <f t="shared" si="227"/>
        <v>0</v>
      </c>
      <c r="W490" s="98">
        <f t="shared" si="228"/>
        <v>0</v>
      </c>
      <c r="X490" s="98">
        <f t="shared" si="225"/>
        <v>0</v>
      </c>
      <c r="Z490" s="104"/>
      <c r="AA490" s="98">
        <f t="shared" si="226"/>
        <v>0</v>
      </c>
    </row>
    <row r="491" spans="1:27" hidden="1" x14ac:dyDescent="0.3">
      <c r="A491" s="98">
        <v>11</v>
      </c>
      <c r="B491" s="42"/>
      <c r="C491" s="42"/>
      <c r="D491" s="40"/>
      <c r="E491" s="104"/>
      <c r="F491" s="104"/>
      <c r="G491" s="104"/>
      <c r="H491" s="104"/>
      <c r="I491" s="104"/>
      <c r="J491" s="104"/>
      <c r="K491" s="104"/>
      <c r="L491" s="104"/>
      <c r="M491" s="317"/>
      <c r="N491" s="309">
        <f t="shared" si="217"/>
        <v>0</v>
      </c>
      <c r="O491" s="98">
        <f t="shared" si="218"/>
        <v>0</v>
      </c>
      <c r="P491" s="98">
        <f t="shared" si="219"/>
        <v>0</v>
      </c>
      <c r="Q491" s="98">
        <f t="shared" si="220"/>
        <v>0</v>
      </c>
      <c r="R491" s="98">
        <f t="shared" si="221"/>
        <v>0</v>
      </c>
      <c r="S491" s="98">
        <f t="shared" si="222"/>
        <v>0</v>
      </c>
      <c r="T491" s="98">
        <f t="shared" si="223"/>
        <v>0</v>
      </c>
      <c r="U491" s="98">
        <f t="shared" si="224"/>
        <v>0</v>
      </c>
      <c r="V491" s="396">
        <f t="shared" si="227"/>
        <v>0</v>
      </c>
      <c r="W491" s="98">
        <f t="shared" si="228"/>
        <v>0</v>
      </c>
      <c r="X491" s="98">
        <f t="shared" si="225"/>
        <v>0</v>
      </c>
      <c r="Z491" s="104"/>
      <c r="AA491" s="98">
        <f t="shared" si="226"/>
        <v>0</v>
      </c>
    </row>
    <row r="492" spans="1:27" hidden="1" x14ac:dyDescent="0.3">
      <c r="A492" s="98">
        <v>12</v>
      </c>
      <c r="B492" s="42"/>
      <c r="C492" s="42"/>
      <c r="D492" s="40"/>
      <c r="E492" s="104"/>
      <c r="F492" s="104"/>
      <c r="G492" s="104"/>
      <c r="H492" s="104"/>
      <c r="I492" s="104"/>
      <c r="J492" s="104"/>
      <c r="K492" s="104"/>
      <c r="L492" s="104"/>
      <c r="M492" s="317"/>
      <c r="N492" s="309">
        <f t="shared" si="217"/>
        <v>0</v>
      </c>
      <c r="O492" s="98">
        <f t="shared" si="218"/>
        <v>0</v>
      </c>
      <c r="P492" s="98">
        <f t="shared" si="219"/>
        <v>0</v>
      </c>
      <c r="Q492" s="98">
        <f t="shared" si="220"/>
        <v>0</v>
      </c>
      <c r="R492" s="98">
        <f t="shared" si="221"/>
        <v>0</v>
      </c>
      <c r="S492" s="98">
        <f t="shared" si="222"/>
        <v>0</v>
      </c>
      <c r="T492" s="98">
        <f t="shared" si="223"/>
        <v>0</v>
      </c>
      <c r="U492" s="98">
        <f t="shared" si="224"/>
        <v>0</v>
      </c>
      <c r="V492" s="396">
        <f t="shared" si="227"/>
        <v>0</v>
      </c>
      <c r="W492" s="98">
        <f t="shared" si="228"/>
        <v>0</v>
      </c>
      <c r="X492" s="98">
        <f t="shared" si="225"/>
        <v>0</v>
      </c>
      <c r="Z492" s="104"/>
      <c r="AA492" s="98">
        <f t="shared" si="226"/>
        <v>0</v>
      </c>
    </row>
    <row r="493" spans="1:27" hidden="1" x14ac:dyDescent="0.3">
      <c r="A493" s="98">
        <v>13</v>
      </c>
      <c r="B493" s="42"/>
      <c r="C493" s="42"/>
      <c r="D493" s="40"/>
      <c r="E493" s="104"/>
      <c r="F493" s="104"/>
      <c r="G493" s="104"/>
      <c r="H493" s="104"/>
      <c r="I493" s="104"/>
      <c r="J493" s="104"/>
      <c r="K493" s="104"/>
      <c r="L493" s="104"/>
      <c r="M493" s="317"/>
      <c r="N493" s="309">
        <f t="shared" si="217"/>
        <v>0</v>
      </c>
      <c r="O493" s="98">
        <f t="shared" si="218"/>
        <v>0</v>
      </c>
      <c r="P493" s="98">
        <f t="shared" si="219"/>
        <v>0</v>
      </c>
      <c r="Q493" s="98">
        <f t="shared" si="220"/>
        <v>0</v>
      </c>
      <c r="R493" s="98">
        <f t="shared" si="221"/>
        <v>0</v>
      </c>
      <c r="S493" s="98">
        <f t="shared" si="222"/>
        <v>0</v>
      </c>
      <c r="T493" s="98">
        <f t="shared" si="223"/>
        <v>0</v>
      </c>
      <c r="U493" s="98">
        <f t="shared" si="224"/>
        <v>0</v>
      </c>
      <c r="V493" s="396">
        <f t="shared" si="227"/>
        <v>0</v>
      </c>
      <c r="W493" s="98">
        <f t="shared" si="228"/>
        <v>0</v>
      </c>
      <c r="X493" s="98">
        <f t="shared" si="225"/>
        <v>0</v>
      </c>
      <c r="Z493" s="104"/>
      <c r="AA493" s="98">
        <f t="shared" si="226"/>
        <v>0</v>
      </c>
    </row>
    <row r="494" spans="1:27" hidden="1" x14ac:dyDescent="0.3">
      <c r="A494" s="98">
        <v>14</v>
      </c>
      <c r="B494" s="42"/>
      <c r="C494" s="42"/>
      <c r="D494" s="40"/>
      <c r="E494" s="104"/>
      <c r="F494" s="104"/>
      <c r="G494" s="104"/>
      <c r="H494" s="104"/>
      <c r="I494" s="104"/>
      <c r="J494" s="104"/>
      <c r="K494" s="104"/>
      <c r="L494" s="104"/>
      <c r="M494" s="317"/>
      <c r="N494" s="309">
        <f t="shared" si="217"/>
        <v>0</v>
      </c>
      <c r="O494" s="98">
        <f t="shared" si="218"/>
        <v>0</v>
      </c>
      <c r="P494" s="98">
        <f t="shared" si="219"/>
        <v>0</v>
      </c>
      <c r="Q494" s="98">
        <f t="shared" si="220"/>
        <v>0</v>
      </c>
      <c r="R494" s="98">
        <f t="shared" si="221"/>
        <v>0</v>
      </c>
      <c r="S494" s="98">
        <f t="shared" si="222"/>
        <v>0</v>
      </c>
      <c r="T494" s="98">
        <f t="shared" si="223"/>
        <v>0</v>
      </c>
      <c r="U494" s="98">
        <f t="shared" si="224"/>
        <v>0</v>
      </c>
      <c r="V494" s="396">
        <f t="shared" si="227"/>
        <v>0</v>
      </c>
      <c r="W494" s="98">
        <f t="shared" si="228"/>
        <v>0</v>
      </c>
      <c r="X494" s="98">
        <f t="shared" si="225"/>
        <v>0</v>
      </c>
      <c r="Z494" s="104"/>
      <c r="AA494" s="98">
        <f t="shared" si="226"/>
        <v>0</v>
      </c>
    </row>
    <row r="495" spans="1:27" hidden="1" x14ac:dyDescent="0.3">
      <c r="A495" s="98">
        <v>15</v>
      </c>
      <c r="B495" s="42"/>
      <c r="C495" s="42"/>
      <c r="D495" s="40"/>
      <c r="E495" s="104"/>
      <c r="F495" s="104"/>
      <c r="G495" s="104"/>
      <c r="H495" s="104"/>
      <c r="I495" s="104"/>
      <c r="J495" s="104"/>
      <c r="K495" s="104"/>
      <c r="L495" s="104"/>
      <c r="M495" s="317"/>
      <c r="N495" s="309">
        <f t="shared" si="217"/>
        <v>0</v>
      </c>
      <c r="O495" s="98">
        <f t="shared" si="218"/>
        <v>0</v>
      </c>
      <c r="P495" s="98">
        <f t="shared" si="219"/>
        <v>0</v>
      </c>
      <c r="Q495" s="98">
        <f t="shared" si="220"/>
        <v>0</v>
      </c>
      <c r="R495" s="98">
        <f t="shared" si="221"/>
        <v>0</v>
      </c>
      <c r="S495" s="98">
        <f t="shared" si="222"/>
        <v>0</v>
      </c>
      <c r="T495" s="98">
        <f t="shared" si="223"/>
        <v>0</v>
      </c>
      <c r="U495" s="98">
        <f t="shared" si="224"/>
        <v>0</v>
      </c>
      <c r="V495" s="396">
        <f t="shared" si="227"/>
        <v>0</v>
      </c>
      <c r="W495" s="98">
        <f t="shared" si="228"/>
        <v>0</v>
      </c>
      <c r="X495" s="98">
        <f t="shared" si="225"/>
        <v>0</v>
      </c>
      <c r="Z495" s="104"/>
      <c r="AA495" s="98">
        <f t="shared" si="226"/>
        <v>0</v>
      </c>
    </row>
    <row r="496" spans="1:27" hidden="1" x14ac:dyDescent="0.3">
      <c r="A496" s="98">
        <v>16</v>
      </c>
      <c r="B496" s="42"/>
      <c r="C496" s="42"/>
      <c r="D496" s="40"/>
      <c r="E496" s="104"/>
      <c r="F496" s="104"/>
      <c r="G496" s="104"/>
      <c r="H496" s="104"/>
      <c r="I496" s="104"/>
      <c r="J496" s="104"/>
      <c r="K496" s="104"/>
      <c r="L496" s="104"/>
      <c r="M496" s="317"/>
      <c r="N496" s="309">
        <f t="shared" si="217"/>
        <v>0</v>
      </c>
      <c r="O496" s="98">
        <f t="shared" si="218"/>
        <v>0</v>
      </c>
      <c r="P496" s="98">
        <f t="shared" si="219"/>
        <v>0</v>
      </c>
      <c r="Q496" s="98">
        <f t="shared" si="220"/>
        <v>0</v>
      </c>
      <c r="R496" s="98">
        <f t="shared" si="221"/>
        <v>0</v>
      </c>
      <c r="S496" s="98">
        <f t="shared" si="222"/>
        <v>0</v>
      </c>
      <c r="T496" s="98">
        <f t="shared" si="223"/>
        <v>0</v>
      </c>
      <c r="U496" s="98">
        <f t="shared" si="224"/>
        <v>0</v>
      </c>
      <c r="V496" s="396">
        <f t="shared" si="227"/>
        <v>0</v>
      </c>
      <c r="W496" s="98">
        <f t="shared" si="228"/>
        <v>0</v>
      </c>
      <c r="X496" s="98">
        <f t="shared" si="225"/>
        <v>0</v>
      </c>
      <c r="Z496" s="104"/>
      <c r="AA496" s="98">
        <f t="shared" si="226"/>
        <v>0</v>
      </c>
    </row>
    <row r="497" spans="1:27" hidden="1" x14ac:dyDescent="0.3">
      <c r="A497" s="98">
        <v>17</v>
      </c>
      <c r="B497" s="42"/>
      <c r="C497" s="42"/>
      <c r="D497" s="40"/>
      <c r="E497" s="104"/>
      <c r="F497" s="104"/>
      <c r="G497" s="104"/>
      <c r="H497" s="104"/>
      <c r="I497" s="104"/>
      <c r="J497" s="104"/>
      <c r="K497" s="104"/>
      <c r="L497" s="104"/>
      <c r="M497" s="317"/>
      <c r="N497" s="309">
        <f t="shared" si="217"/>
        <v>0</v>
      </c>
      <c r="O497" s="98">
        <f t="shared" si="218"/>
        <v>0</v>
      </c>
      <c r="P497" s="98">
        <f t="shared" si="219"/>
        <v>0</v>
      </c>
      <c r="Q497" s="98">
        <f t="shared" si="220"/>
        <v>0</v>
      </c>
      <c r="R497" s="98">
        <f t="shared" si="221"/>
        <v>0</v>
      </c>
      <c r="S497" s="98">
        <f t="shared" si="222"/>
        <v>0</v>
      </c>
      <c r="T497" s="98">
        <f t="shared" si="223"/>
        <v>0</v>
      </c>
      <c r="U497" s="98">
        <f t="shared" si="224"/>
        <v>0</v>
      </c>
      <c r="V497" s="396">
        <f t="shared" si="227"/>
        <v>0</v>
      </c>
      <c r="W497" s="98">
        <f t="shared" si="228"/>
        <v>0</v>
      </c>
      <c r="X497" s="98">
        <f t="shared" si="225"/>
        <v>0</v>
      </c>
      <c r="Z497" s="104"/>
      <c r="AA497" s="98">
        <f t="shared" si="226"/>
        <v>0</v>
      </c>
    </row>
    <row r="498" spans="1:27" hidden="1" x14ac:dyDescent="0.3">
      <c r="A498" s="98">
        <v>18</v>
      </c>
      <c r="B498" s="42"/>
      <c r="C498" s="42"/>
      <c r="D498" s="40"/>
      <c r="E498" s="104"/>
      <c r="F498" s="104"/>
      <c r="G498" s="104"/>
      <c r="H498" s="104"/>
      <c r="I498" s="104"/>
      <c r="J498" s="104"/>
      <c r="K498" s="104"/>
      <c r="L498" s="104"/>
      <c r="M498" s="317"/>
      <c r="N498" s="309">
        <f t="shared" si="217"/>
        <v>0</v>
      </c>
      <c r="O498" s="98">
        <f t="shared" si="218"/>
        <v>0</v>
      </c>
      <c r="P498" s="98">
        <f t="shared" si="219"/>
        <v>0</v>
      </c>
      <c r="Q498" s="98">
        <f t="shared" si="220"/>
        <v>0</v>
      </c>
      <c r="R498" s="98">
        <f t="shared" si="221"/>
        <v>0</v>
      </c>
      <c r="S498" s="98">
        <f t="shared" si="222"/>
        <v>0</v>
      </c>
      <c r="T498" s="98">
        <f t="shared" si="223"/>
        <v>0</v>
      </c>
      <c r="U498" s="98">
        <f t="shared" si="224"/>
        <v>0</v>
      </c>
      <c r="V498" s="396">
        <f t="shared" si="227"/>
        <v>0</v>
      </c>
      <c r="W498" s="98">
        <f t="shared" si="228"/>
        <v>0</v>
      </c>
      <c r="X498" s="98">
        <f t="shared" si="225"/>
        <v>0</v>
      </c>
      <c r="Z498" s="104"/>
      <c r="AA498" s="98">
        <f t="shared" si="226"/>
        <v>0</v>
      </c>
    </row>
    <row r="499" spans="1:27" hidden="1" x14ac:dyDescent="0.3">
      <c r="A499" s="98">
        <v>19</v>
      </c>
      <c r="B499" s="42"/>
      <c r="C499" s="42"/>
      <c r="D499" s="40"/>
      <c r="E499" s="104"/>
      <c r="F499" s="104"/>
      <c r="G499" s="104"/>
      <c r="H499" s="104"/>
      <c r="I499" s="104"/>
      <c r="J499" s="104"/>
      <c r="K499" s="104"/>
      <c r="L499" s="104"/>
      <c r="M499" s="317"/>
      <c r="N499" s="309">
        <f t="shared" si="217"/>
        <v>0</v>
      </c>
      <c r="O499" s="98">
        <f t="shared" si="218"/>
        <v>0</v>
      </c>
      <c r="P499" s="98">
        <f t="shared" si="219"/>
        <v>0</v>
      </c>
      <c r="Q499" s="98">
        <f t="shared" si="220"/>
        <v>0</v>
      </c>
      <c r="R499" s="98">
        <f t="shared" si="221"/>
        <v>0</v>
      </c>
      <c r="S499" s="98">
        <f t="shared" si="222"/>
        <v>0</v>
      </c>
      <c r="T499" s="98">
        <f t="shared" si="223"/>
        <v>0</v>
      </c>
      <c r="U499" s="98">
        <f t="shared" si="224"/>
        <v>0</v>
      </c>
      <c r="V499" s="396">
        <f t="shared" si="227"/>
        <v>0</v>
      </c>
      <c r="W499" s="98">
        <f t="shared" si="228"/>
        <v>0</v>
      </c>
      <c r="X499" s="98">
        <f t="shared" si="225"/>
        <v>0</v>
      </c>
      <c r="Z499" s="104"/>
      <c r="AA499" s="98">
        <f t="shared" si="226"/>
        <v>0</v>
      </c>
    </row>
    <row r="500" spans="1:27" hidden="1" x14ac:dyDescent="0.3">
      <c r="A500" s="98">
        <v>20</v>
      </c>
      <c r="B500" s="42"/>
      <c r="C500" s="42"/>
      <c r="D500" s="40"/>
      <c r="E500" s="104"/>
      <c r="F500" s="104"/>
      <c r="G500" s="104"/>
      <c r="H500" s="104"/>
      <c r="I500" s="104"/>
      <c r="J500" s="104"/>
      <c r="K500" s="104"/>
      <c r="L500" s="104"/>
      <c r="M500" s="317"/>
      <c r="N500" s="309">
        <f t="shared" si="217"/>
        <v>0</v>
      </c>
      <c r="O500" s="98">
        <f t="shared" si="218"/>
        <v>0</v>
      </c>
      <c r="P500" s="98">
        <f t="shared" si="219"/>
        <v>0</v>
      </c>
      <c r="Q500" s="98">
        <f t="shared" si="220"/>
        <v>0</v>
      </c>
      <c r="R500" s="98">
        <f t="shared" si="221"/>
        <v>0</v>
      </c>
      <c r="S500" s="98">
        <f t="shared" si="222"/>
        <v>0</v>
      </c>
      <c r="T500" s="98">
        <f t="shared" si="223"/>
        <v>0</v>
      </c>
      <c r="U500" s="98">
        <f t="shared" si="224"/>
        <v>0</v>
      </c>
      <c r="V500" s="396">
        <f t="shared" si="227"/>
        <v>0</v>
      </c>
      <c r="W500" s="98">
        <f t="shared" si="228"/>
        <v>0</v>
      </c>
      <c r="X500" s="98">
        <f t="shared" si="225"/>
        <v>0</v>
      </c>
      <c r="Z500" s="104"/>
      <c r="AA500" s="98">
        <f t="shared" si="226"/>
        <v>0</v>
      </c>
    </row>
    <row r="501" spans="1:27" hidden="1" x14ac:dyDescent="0.3">
      <c r="A501" s="98">
        <v>21</v>
      </c>
      <c r="B501" s="42"/>
      <c r="C501" s="42"/>
      <c r="D501" s="40"/>
      <c r="E501" s="104"/>
      <c r="F501" s="104"/>
      <c r="G501" s="104"/>
      <c r="H501" s="104"/>
      <c r="I501" s="104"/>
      <c r="J501" s="104"/>
      <c r="K501" s="104"/>
      <c r="L501" s="104"/>
      <c r="M501" s="317"/>
      <c r="N501" s="309">
        <f t="shared" si="217"/>
        <v>0</v>
      </c>
      <c r="O501" s="98">
        <f t="shared" si="218"/>
        <v>0</v>
      </c>
      <c r="P501" s="98">
        <f t="shared" si="219"/>
        <v>0</v>
      </c>
      <c r="Q501" s="98">
        <f t="shared" si="220"/>
        <v>0</v>
      </c>
      <c r="R501" s="98">
        <f t="shared" si="221"/>
        <v>0</v>
      </c>
      <c r="S501" s="98">
        <f t="shared" si="222"/>
        <v>0</v>
      </c>
      <c r="T501" s="98">
        <f t="shared" si="223"/>
        <v>0</v>
      </c>
      <c r="U501" s="98">
        <f t="shared" si="224"/>
        <v>0</v>
      </c>
      <c r="V501" s="396">
        <f t="shared" si="227"/>
        <v>0</v>
      </c>
      <c r="W501" s="98">
        <f t="shared" si="228"/>
        <v>0</v>
      </c>
      <c r="X501" s="98">
        <f t="shared" si="225"/>
        <v>0</v>
      </c>
      <c r="Z501" s="104"/>
      <c r="AA501" s="98">
        <f t="shared" si="226"/>
        <v>0</v>
      </c>
    </row>
    <row r="502" spans="1:27" hidden="1" x14ac:dyDescent="0.3">
      <c r="A502" s="98">
        <v>22</v>
      </c>
      <c r="B502" s="42"/>
      <c r="C502" s="42"/>
      <c r="D502" s="40"/>
      <c r="E502" s="104"/>
      <c r="F502" s="104"/>
      <c r="G502" s="104"/>
      <c r="H502" s="104"/>
      <c r="I502" s="104"/>
      <c r="J502" s="104"/>
      <c r="K502" s="104"/>
      <c r="L502" s="104"/>
      <c r="M502" s="317"/>
      <c r="N502" s="309">
        <f t="shared" si="217"/>
        <v>0</v>
      </c>
      <c r="O502" s="98">
        <f t="shared" si="218"/>
        <v>0</v>
      </c>
      <c r="P502" s="98">
        <f t="shared" si="219"/>
        <v>0</v>
      </c>
      <c r="Q502" s="98">
        <f t="shared" si="220"/>
        <v>0</v>
      </c>
      <c r="R502" s="98">
        <f t="shared" si="221"/>
        <v>0</v>
      </c>
      <c r="S502" s="98">
        <f t="shared" si="222"/>
        <v>0</v>
      </c>
      <c r="T502" s="98">
        <f t="shared" si="223"/>
        <v>0</v>
      </c>
      <c r="U502" s="98">
        <f t="shared" si="224"/>
        <v>0</v>
      </c>
      <c r="V502" s="396">
        <f t="shared" si="227"/>
        <v>0</v>
      </c>
      <c r="W502" s="98">
        <f t="shared" si="228"/>
        <v>0</v>
      </c>
      <c r="X502" s="98">
        <f t="shared" si="225"/>
        <v>0</v>
      </c>
      <c r="Z502" s="104"/>
      <c r="AA502" s="98">
        <f t="shared" si="226"/>
        <v>0</v>
      </c>
    </row>
    <row r="503" spans="1:27" hidden="1" x14ac:dyDescent="0.3">
      <c r="A503" s="98">
        <v>23</v>
      </c>
      <c r="B503" s="42"/>
      <c r="C503" s="42"/>
      <c r="D503" s="40"/>
      <c r="E503" s="104"/>
      <c r="F503" s="104"/>
      <c r="G503" s="104"/>
      <c r="H503" s="104"/>
      <c r="I503" s="104"/>
      <c r="J503" s="104"/>
      <c r="K503" s="104"/>
      <c r="L503" s="104"/>
      <c r="M503" s="317"/>
      <c r="N503" s="309">
        <f t="shared" si="217"/>
        <v>0</v>
      </c>
      <c r="O503" s="98">
        <f t="shared" si="218"/>
        <v>0</v>
      </c>
      <c r="P503" s="98">
        <f t="shared" si="219"/>
        <v>0</v>
      </c>
      <c r="Q503" s="98">
        <f t="shared" si="220"/>
        <v>0</v>
      </c>
      <c r="R503" s="98">
        <f t="shared" si="221"/>
        <v>0</v>
      </c>
      <c r="S503" s="98">
        <f t="shared" si="222"/>
        <v>0</v>
      </c>
      <c r="T503" s="98">
        <f t="shared" si="223"/>
        <v>0</v>
      </c>
      <c r="U503" s="98">
        <f t="shared" si="224"/>
        <v>0</v>
      </c>
      <c r="V503" s="396">
        <f t="shared" si="227"/>
        <v>0</v>
      </c>
      <c r="W503" s="98">
        <f t="shared" si="228"/>
        <v>0</v>
      </c>
      <c r="X503" s="98">
        <f t="shared" si="225"/>
        <v>0</v>
      </c>
      <c r="Z503" s="104"/>
      <c r="AA503" s="98">
        <f t="shared" si="226"/>
        <v>0</v>
      </c>
    </row>
    <row r="504" spans="1:27" hidden="1" x14ac:dyDescent="0.3">
      <c r="A504" s="98">
        <v>24</v>
      </c>
      <c r="B504" s="42"/>
      <c r="C504" s="42"/>
      <c r="D504" s="40"/>
      <c r="E504" s="104"/>
      <c r="F504" s="104"/>
      <c r="G504" s="104"/>
      <c r="H504" s="104"/>
      <c r="I504" s="104"/>
      <c r="J504" s="104"/>
      <c r="K504" s="104"/>
      <c r="L504" s="104"/>
      <c r="M504" s="317"/>
      <c r="N504" s="309">
        <f t="shared" si="217"/>
        <v>0</v>
      </c>
      <c r="O504" s="98">
        <f t="shared" si="218"/>
        <v>0</v>
      </c>
      <c r="P504" s="98">
        <f t="shared" si="219"/>
        <v>0</v>
      </c>
      <c r="Q504" s="98">
        <f t="shared" si="220"/>
        <v>0</v>
      </c>
      <c r="R504" s="98">
        <f t="shared" si="221"/>
        <v>0</v>
      </c>
      <c r="S504" s="98">
        <f t="shared" si="222"/>
        <v>0</v>
      </c>
      <c r="T504" s="98">
        <f t="shared" si="223"/>
        <v>0</v>
      </c>
      <c r="U504" s="98">
        <f t="shared" si="224"/>
        <v>0</v>
      </c>
      <c r="V504" s="396">
        <f t="shared" si="227"/>
        <v>0</v>
      </c>
      <c r="W504" s="98">
        <f t="shared" si="228"/>
        <v>0</v>
      </c>
      <c r="X504" s="98">
        <f t="shared" si="225"/>
        <v>0</v>
      </c>
      <c r="Z504" s="104"/>
      <c r="AA504" s="98">
        <f t="shared" si="226"/>
        <v>0</v>
      </c>
    </row>
    <row r="505" spans="1:27" hidden="1" x14ac:dyDescent="0.3">
      <c r="A505" s="98">
        <v>25</v>
      </c>
      <c r="B505" s="42"/>
      <c r="C505" s="42"/>
      <c r="D505" s="40"/>
      <c r="E505" s="104"/>
      <c r="F505" s="104"/>
      <c r="G505" s="104"/>
      <c r="H505" s="104"/>
      <c r="I505" s="104"/>
      <c r="J505" s="104"/>
      <c r="K505" s="104"/>
      <c r="L505" s="104"/>
      <c r="M505" s="317"/>
      <c r="N505" s="309">
        <f t="shared" si="217"/>
        <v>0</v>
      </c>
      <c r="O505" s="98">
        <f t="shared" si="218"/>
        <v>0</v>
      </c>
      <c r="P505" s="98">
        <f t="shared" si="219"/>
        <v>0</v>
      </c>
      <c r="Q505" s="98">
        <f t="shared" si="220"/>
        <v>0</v>
      </c>
      <c r="R505" s="98">
        <f t="shared" si="221"/>
        <v>0</v>
      </c>
      <c r="S505" s="98">
        <f t="shared" si="222"/>
        <v>0</v>
      </c>
      <c r="T505" s="98">
        <f t="shared" si="223"/>
        <v>0</v>
      </c>
      <c r="U505" s="98">
        <f t="shared" si="224"/>
        <v>0</v>
      </c>
      <c r="V505" s="396">
        <f t="shared" si="227"/>
        <v>0</v>
      </c>
      <c r="W505" s="98">
        <f t="shared" si="228"/>
        <v>0</v>
      </c>
      <c r="X505" s="98">
        <f t="shared" si="225"/>
        <v>0</v>
      </c>
      <c r="Z505" s="104"/>
      <c r="AA505" s="98">
        <f t="shared" si="226"/>
        <v>0</v>
      </c>
    </row>
    <row r="506" spans="1:27" hidden="1" x14ac:dyDescent="0.3">
      <c r="A506" s="98">
        <v>26</v>
      </c>
      <c r="B506" s="42"/>
      <c r="C506" s="42"/>
      <c r="D506" s="40"/>
      <c r="E506" s="104"/>
      <c r="F506" s="104"/>
      <c r="G506" s="104"/>
      <c r="H506" s="104"/>
      <c r="I506" s="104"/>
      <c r="J506" s="104"/>
      <c r="K506" s="104"/>
      <c r="L506" s="104"/>
      <c r="M506" s="317"/>
      <c r="N506" s="309">
        <f t="shared" si="217"/>
        <v>0</v>
      </c>
      <c r="O506" s="98">
        <f t="shared" si="218"/>
        <v>0</v>
      </c>
      <c r="P506" s="98">
        <f t="shared" si="219"/>
        <v>0</v>
      </c>
      <c r="Q506" s="98">
        <f t="shared" si="220"/>
        <v>0</v>
      </c>
      <c r="R506" s="98">
        <f t="shared" si="221"/>
        <v>0</v>
      </c>
      <c r="S506" s="98">
        <f t="shared" si="222"/>
        <v>0</v>
      </c>
      <c r="T506" s="98">
        <f t="shared" si="223"/>
        <v>0</v>
      </c>
      <c r="U506" s="98">
        <f t="shared" si="224"/>
        <v>0</v>
      </c>
      <c r="V506" s="396">
        <f t="shared" si="227"/>
        <v>0</v>
      </c>
      <c r="W506" s="98">
        <f t="shared" si="228"/>
        <v>0</v>
      </c>
      <c r="X506" s="98">
        <f t="shared" si="225"/>
        <v>0</v>
      </c>
      <c r="Z506" s="104"/>
      <c r="AA506" s="98">
        <f t="shared" si="226"/>
        <v>0</v>
      </c>
    </row>
    <row r="507" spans="1:27" hidden="1" x14ac:dyDescent="0.3">
      <c r="A507" s="98">
        <v>27</v>
      </c>
      <c r="B507" s="42"/>
      <c r="C507" s="42"/>
      <c r="D507" s="40"/>
      <c r="E507" s="104"/>
      <c r="F507" s="104"/>
      <c r="G507" s="104"/>
      <c r="H507" s="104"/>
      <c r="I507" s="104"/>
      <c r="J507" s="104"/>
      <c r="K507" s="104"/>
      <c r="L507" s="104"/>
      <c r="M507" s="317"/>
      <c r="N507" s="309">
        <f t="shared" si="217"/>
        <v>0</v>
      </c>
      <c r="O507" s="98">
        <f t="shared" si="218"/>
        <v>0</v>
      </c>
      <c r="P507" s="98">
        <f t="shared" si="219"/>
        <v>0</v>
      </c>
      <c r="Q507" s="98">
        <f t="shared" si="220"/>
        <v>0</v>
      </c>
      <c r="R507" s="98">
        <f t="shared" si="221"/>
        <v>0</v>
      </c>
      <c r="S507" s="98">
        <f t="shared" si="222"/>
        <v>0</v>
      </c>
      <c r="T507" s="98">
        <f t="shared" si="223"/>
        <v>0</v>
      </c>
      <c r="U507" s="98">
        <f t="shared" si="224"/>
        <v>0</v>
      </c>
      <c r="V507" s="396">
        <f t="shared" si="227"/>
        <v>0</v>
      </c>
      <c r="W507" s="98">
        <f t="shared" si="228"/>
        <v>0</v>
      </c>
      <c r="X507" s="98">
        <f t="shared" si="225"/>
        <v>0</v>
      </c>
      <c r="Z507" s="104"/>
      <c r="AA507" s="98">
        <f t="shared" si="226"/>
        <v>0</v>
      </c>
    </row>
    <row r="508" spans="1:27" hidden="1" x14ac:dyDescent="0.3">
      <c r="A508" s="98">
        <v>28</v>
      </c>
      <c r="B508" s="42"/>
      <c r="C508" s="42"/>
      <c r="D508" s="40"/>
      <c r="E508" s="104"/>
      <c r="F508" s="104"/>
      <c r="G508" s="104"/>
      <c r="H508" s="104"/>
      <c r="I508" s="104"/>
      <c r="J508" s="104"/>
      <c r="K508" s="104"/>
      <c r="L508" s="104"/>
      <c r="M508" s="317"/>
      <c r="N508" s="309">
        <f t="shared" si="217"/>
        <v>0</v>
      </c>
      <c r="O508" s="98">
        <f t="shared" si="218"/>
        <v>0</v>
      </c>
      <c r="P508" s="98">
        <f t="shared" si="219"/>
        <v>0</v>
      </c>
      <c r="Q508" s="98">
        <f t="shared" si="220"/>
        <v>0</v>
      </c>
      <c r="R508" s="98">
        <f t="shared" si="221"/>
        <v>0</v>
      </c>
      <c r="S508" s="98">
        <f t="shared" si="222"/>
        <v>0</v>
      </c>
      <c r="T508" s="98">
        <f t="shared" si="223"/>
        <v>0</v>
      </c>
      <c r="U508" s="98">
        <f t="shared" si="224"/>
        <v>0</v>
      </c>
      <c r="V508" s="396">
        <f t="shared" si="227"/>
        <v>0</v>
      </c>
      <c r="W508" s="98">
        <f t="shared" si="228"/>
        <v>0</v>
      </c>
      <c r="X508" s="98">
        <f t="shared" si="225"/>
        <v>0</v>
      </c>
      <c r="Z508" s="104"/>
      <c r="AA508" s="98">
        <f t="shared" si="226"/>
        <v>0</v>
      </c>
    </row>
    <row r="509" spans="1:27" hidden="1" x14ac:dyDescent="0.3">
      <c r="A509" s="98">
        <v>29</v>
      </c>
      <c r="B509" s="42"/>
      <c r="C509" s="42"/>
      <c r="D509" s="40"/>
      <c r="E509" s="104"/>
      <c r="F509" s="104"/>
      <c r="G509" s="104"/>
      <c r="H509" s="104"/>
      <c r="I509" s="104"/>
      <c r="J509" s="104"/>
      <c r="K509" s="104"/>
      <c r="L509" s="104"/>
      <c r="M509" s="317"/>
      <c r="N509" s="309">
        <f t="shared" si="217"/>
        <v>0</v>
      </c>
      <c r="O509" s="98">
        <f t="shared" si="218"/>
        <v>0</v>
      </c>
      <c r="P509" s="98">
        <f t="shared" si="219"/>
        <v>0</v>
      </c>
      <c r="Q509" s="98">
        <f t="shared" si="220"/>
        <v>0</v>
      </c>
      <c r="R509" s="98">
        <f t="shared" si="221"/>
        <v>0</v>
      </c>
      <c r="S509" s="98">
        <f t="shared" si="222"/>
        <v>0</v>
      </c>
      <c r="T509" s="98">
        <f t="shared" si="223"/>
        <v>0</v>
      </c>
      <c r="U509" s="98">
        <f t="shared" si="224"/>
        <v>0</v>
      </c>
      <c r="V509" s="396">
        <f t="shared" si="227"/>
        <v>0</v>
      </c>
      <c r="W509" s="98">
        <f t="shared" si="228"/>
        <v>0</v>
      </c>
      <c r="X509" s="98">
        <f t="shared" si="225"/>
        <v>0</v>
      </c>
      <c r="Z509" s="104"/>
      <c r="AA509" s="98">
        <f t="shared" si="226"/>
        <v>0</v>
      </c>
    </row>
    <row r="510" spans="1:27" hidden="1" x14ac:dyDescent="0.3">
      <c r="A510" s="98">
        <v>30</v>
      </c>
      <c r="B510" s="42"/>
      <c r="C510" s="42"/>
      <c r="D510" s="40"/>
      <c r="E510" s="104"/>
      <c r="F510" s="104"/>
      <c r="G510" s="104"/>
      <c r="H510" s="104"/>
      <c r="I510" s="104"/>
      <c r="J510" s="104"/>
      <c r="K510" s="104"/>
      <c r="L510" s="104"/>
      <c r="M510" s="317"/>
      <c r="N510" s="309">
        <f t="shared" si="217"/>
        <v>0</v>
      </c>
      <c r="O510" s="98">
        <f t="shared" si="218"/>
        <v>0</v>
      </c>
      <c r="P510" s="98">
        <f t="shared" si="219"/>
        <v>0</v>
      </c>
      <c r="Q510" s="98">
        <f t="shared" si="220"/>
        <v>0</v>
      </c>
      <c r="R510" s="98">
        <f t="shared" si="221"/>
        <v>0</v>
      </c>
      <c r="S510" s="98">
        <f t="shared" si="222"/>
        <v>0</v>
      </c>
      <c r="T510" s="98">
        <f t="shared" si="223"/>
        <v>0</v>
      </c>
      <c r="U510" s="98">
        <f t="shared" si="224"/>
        <v>0</v>
      </c>
      <c r="V510" s="396">
        <f t="shared" si="227"/>
        <v>0</v>
      </c>
      <c r="W510" s="98">
        <f t="shared" si="228"/>
        <v>0</v>
      </c>
      <c r="X510" s="98">
        <f t="shared" si="225"/>
        <v>0</v>
      </c>
      <c r="Z510" s="104"/>
      <c r="AA510" s="98">
        <f t="shared" si="226"/>
        <v>0</v>
      </c>
    </row>
    <row r="511" spans="1:27" hidden="1" x14ac:dyDescent="0.3">
      <c r="A511" s="98">
        <v>31</v>
      </c>
      <c r="B511" s="42"/>
      <c r="C511" s="42"/>
      <c r="D511" s="40"/>
      <c r="E511" s="104"/>
      <c r="F511" s="104"/>
      <c r="G511" s="104"/>
      <c r="H511" s="104"/>
      <c r="I511" s="104"/>
      <c r="J511" s="104"/>
      <c r="K511" s="104"/>
      <c r="L511" s="104"/>
      <c r="M511" s="317"/>
      <c r="N511" s="309">
        <f t="shared" si="217"/>
        <v>0</v>
      </c>
      <c r="O511" s="98">
        <f t="shared" si="218"/>
        <v>0</v>
      </c>
      <c r="P511" s="98">
        <f t="shared" si="219"/>
        <v>0</v>
      </c>
      <c r="Q511" s="98">
        <f t="shared" si="220"/>
        <v>0</v>
      </c>
      <c r="R511" s="98">
        <f t="shared" si="221"/>
        <v>0</v>
      </c>
      <c r="S511" s="98">
        <f t="shared" si="222"/>
        <v>0</v>
      </c>
      <c r="T511" s="98">
        <f t="shared" si="223"/>
        <v>0</v>
      </c>
      <c r="U511" s="98">
        <f t="shared" si="224"/>
        <v>0</v>
      </c>
      <c r="V511" s="396">
        <f t="shared" si="227"/>
        <v>0</v>
      </c>
      <c r="W511" s="98">
        <f t="shared" si="228"/>
        <v>0</v>
      </c>
      <c r="X511" s="98">
        <f t="shared" si="225"/>
        <v>0</v>
      </c>
      <c r="Z511" s="104"/>
      <c r="AA511" s="98">
        <f t="shared" si="226"/>
        <v>0</v>
      </c>
    </row>
    <row r="512" spans="1:27" hidden="1" x14ac:dyDescent="0.3">
      <c r="A512" s="98">
        <v>32</v>
      </c>
      <c r="B512" s="42"/>
      <c r="C512" s="42"/>
      <c r="D512" s="40"/>
      <c r="E512" s="104"/>
      <c r="F512" s="104"/>
      <c r="G512" s="104"/>
      <c r="H512" s="104"/>
      <c r="I512" s="104"/>
      <c r="J512" s="104"/>
      <c r="K512" s="104"/>
      <c r="L512" s="104"/>
      <c r="M512" s="317"/>
      <c r="N512" s="309">
        <f t="shared" si="217"/>
        <v>0</v>
      </c>
      <c r="O512" s="98">
        <f t="shared" si="218"/>
        <v>0</v>
      </c>
      <c r="P512" s="98">
        <f t="shared" si="219"/>
        <v>0</v>
      </c>
      <c r="Q512" s="98">
        <f t="shared" si="220"/>
        <v>0</v>
      </c>
      <c r="R512" s="98">
        <f t="shared" si="221"/>
        <v>0</v>
      </c>
      <c r="S512" s="98">
        <f t="shared" si="222"/>
        <v>0</v>
      </c>
      <c r="T512" s="98">
        <f t="shared" si="223"/>
        <v>0</v>
      </c>
      <c r="U512" s="98">
        <f t="shared" si="224"/>
        <v>0</v>
      </c>
      <c r="V512" s="396">
        <f t="shared" si="227"/>
        <v>0</v>
      </c>
      <c r="W512" s="98">
        <f t="shared" si="228"/>
        <v>0</v>
      </c>
      <c r="X512" s="98">
        <f t="shared" si="225"/>
        <v>0</v>
      </c>
      <c r="Z512" s="104"/>
      <c r="AA512" s="98">
        <f t="shared" si="226"/>
        <v>0</v>
      </c>
    </row>
    <row r="513" spans="1:42" hidden="1" x14ac:dyDescent="0.3">
      <c r="A513" s="98">
        <v>33</v>
      </c>
      <c r="B513" s="42"/>
      <c r="C513" s="42"/>
      <c r="D513" s="40"/>
      <c r="E513" s="104"/>
      <c r="F513" s="104"/>
      <c r="G513" s="104"/>
      <c r="H513" s="104"/>
      <c r="I513" s="104"/>
      <c r="J513" s="104"/>
      <c r="K513" s="104"/>
      <c r="L513" s="104"/>
      <c r="M513" s="317"/>
      <c r="N513" s="309">
        <f t="shared" si="217"/>
        <v>0</v>
      </c>
      <c r="O513" s="98">
        <f t="shared" si="218"/>
        <v>0</v>
      </c>
      <c r="P513" s="98">
        <f t="shared" si="219"/>
        <v>0</v>
      </c>
      <c r="Q513" s="98">
        <f t="shared" si="220"/>
        <v>0</v>
      </c>
      <c r="R513" s="98">
        <f t="shared" si="221"/>
        <v>0</v>
      </c>
      <c r="S513" s="98">
        <f t="shared" si="222"/>
        <v>0</v>
      </c>
      <c r="T513" s="98">
        <f t="shared" si="223"/>
        <v>0</v>
      </c>
      <c r="U513" s="98">
        <f t="shared" si="224"/>
        <v>0</v>
      </c>
      <c r="V513" s="396">
        <f t="shared" si="227"/>
        <v>0</v>
      </c>
      <c r="W513" s="98">
        <f t="shared" si="228"/>
        <v>0</v>
      </c>
      <c r="X513" s="98">
        <f t="shared" si="225"/>
        <v>0</v>
      </c>
      <c r="Z513" s="104"/>
      <c r="AA513" s="98">
        <f t="shared" si="226"/>
        <v>0</v>
      </c>
    </row>
    <row r="514" spans="1:42" hidden="1" x14ac:dyDescent="0.3">
      <c r="A514" s="98">
        <v>34</v>
      </c>
      <c r="B514" s="42"/>
      <c r="C514" s="42"/>
      <c r="D514" s="40"/>
      <c r="E514" s="104"/>
      <c r="F514" s="104"/>
      <c r="G514" s="104"/>
      <c r="H514" s="104"/>
      <c r="I514" s="104"/>
      <c r="J514" s="104"/>
      <c r="K514" s="104"/>
      <c r="L514" s="104"/>
      <c r="M514" s="317"/>
      <c r="N514" s="309">
        <f t="shared" si="217"/>
        <v>0</v>
      </c>
      <c r="O514" s="98">
        <f t="shared" si="218"/>
        <v>0</v>
      </c>
      <c r="P514" s="98">
        <f t="shared" si="219"/>
        <v>0</v>
      </c>
      <c r="Q514" s="98">
        <f t="shared" si="220"/>
        <v>0</v>
      </c>
      <c r="R514" s="98">
        <f t="shared" si="221"/>
        <v>0</v>
      </c>
      <c r="S514" s="98">
        <f t="shared" si="222"/>
        <v>0</v>
      </c>
      <c r="T514" s="98">
        <f t="shared" si="223"/>
        <v>0</v>
      </c>
      <c r="U514" s="98">
        <f t="shared" si="224"/>
        <v>0</v>
      </c>
      <c r="V514" s="396">
        <f t="shared" si="227"/>
        <v>0</v>
      </c>
      <c r="W514" s="98">
        <f t="shared" si="228"/>
        <v>0</v>
      </c>
      <c r="X514" s="98">
        <f t="shared" si="225"/>
        <v>0</v>
      </c>
      <c r="Z514" s="104"/>
      <c r="AA514" s="98">
        <f t="shared" si="226"/>
        <v>0</v>
      </c>
    </row>
    <row r="515" spans="1:42" hidden="1" x14ac:dyDescent="0.3">
      <c r="A515" s="98">
        <v>35</v>
      </c>
      <c r="B515" s="42"/>
      <c r="C515" s="42"/>
      <c r="D515" s="40"/>
      <c r="E515" s="104"/>
      <c r="F515" s="104"/>
      <c r="G515" s="104"/>
      <c r="H515" s="104"/>
      <c r="I515" s="104"/>
      <c r="J515" s="104"/>
      <c r="K515" s="104"/>
      <c r="L515" s="104"/>
      <c r="M515" s="317"/>
      <c r="N515" s="309">
        <f t="shared" si="217"/>
        <v>0</v>
      </c>
      <c r="O515" s="98">
        <f t="shared" si="218"/>
        <v>0</v>
      </c>
      <c r="P515" s="98">
        <f t="shared" si="219"/>
        <v>0</v>
      </c>
      <c r="Q515" s="98">
        <f t="shared" si="220"/>
        <v>0</v>
      </c>
      <c r="R515" s="98">
        <f t="shared" si="221"/>
        <v>0</v>
      </c>
      <c r="S515" s="98">
        <f t="shared" si="222"/>
        <v>0</v>
      </c>
      <c r="T515" s="98">
        <f t="shared" si="223"/>
        <v>0</v>
      </c>
      <c r="U515" s="98">
        <f t="shared" si="224"/>
        <v>0</v>
      </c>
      <c r="V515" s="396">
        <f t="shared" si="227"/>
        <v>0</v>
      </c>
      <c r="W515" s="98">
        <f t="shared" si="228"/>
        <v>0</v>
      </c>
      <c r="X515" s="98">
        <f t="shared" si="225"/>
        <v>0</v>
      </c>
      <c r="Z515" s="104"/>
      <c r="AA515" s="98">
        <f t="shared" si="226"/>
        <v>0</v>
      </c>
    </row>
    <row r="516" spans="1:42" hidden="1" x14ac:dyDescent="0.3">
      <c r="A516" s="578" t="s">
        <v>678</v>
      </c>
      <c r="B516" s="579"/>
      <c r="C516" s="579"/>
      <c r="D516" s="580"/>
      <c r="E516" s="303">
        <f t="shared" ref="E516:L516" si="229">SUM(N481:N515)</f>
        <v>0</v>
      </c>
      <c r="F516" s="303">
        <f t="shared" si="229"/>
        <v>0</v>
      </c>
      <c r="G516" s="303">
        <f t="shared" si="229"/>
        <v>0</v>
      </c>
      <c r="H516" s="303">
        <f t="shared" si="229"/>
        <v>0</v>
      </c>
      <c r="I516" s="303">
        <f t="shared" si="229"/>
        <v>0</v>
      </c>
      <c r="J516" s="303">
        <f t="shared" si="229"/>
        <v>0</v>
      </c>
      <c r="K516" s="303">
        <f t="shared" si="229"/>
        <v>0</v>
      </c>
      <c r="L516" s="303">
        <f t="shared" si="229"/>
        <v>0</v>
      </c>
      <c r="M516" s="305"/>
      <c r="V516" s="72"/>
      <c r="X516" s="1" t="b">
        <f>AND(X481:X515)</f>
        <v>0</v>
      </c>
      <c r="Z516" s="303">
        <f>SUM(AA481:AA515)</f>
        <v>0</v>
      </c>
    </row>
    <row r="517" spans="1:42" hidden="1" x14ac:dyDescent="0.3">
      <c r="A517" s="99"/>
      <c r="B517" s="99"/>
      <c r="C517" s="99"/>
      <c r="D517" s="99"/>
      <c r="E517" s="99"/>
      <c r="F517" s="99"/>
      <c r="G517" s="99"/>
      <c r="H517" s="99"/>
      <c r="I517" s="99"/>
      <c r="J517" s="100"/>
      <c r="K517" s="100"/>
      <c r="L517" s="101"/>
      <c r="M517" s="101"/>
    </row>
    <row r="518" spans="1:42" ht="18" hidden="1" x14ac:dyDescent="0.35">
      <c r="A518" s="590" t="s">
        <v>841</v>
      </c>
      <c r="B518" s="590"/>
      <c r="C518" s="590"/>
      <c r="D518" s="590"/>
      <c r="E518" s="590"/>
      <c r="F518" s="590"/>
      <c r="G518" s="590"/>
      <c r="H518" s="590"/>
      <c r="I518" s="590"/>
      <c r="J518" s="591"/>
      <c r="K518" s="591"/>
      <c r="L518" s="591"/>
      <c r="V518" s="208"/>
      <c r="W518" s="208"/>
      <c r="X518" s="208"/>
      <c r="Y518" s="208"/>
      <c r="Z518" s="208"/>
      <c r="AA518" s="208"/>
      <c r="AB518" s="208"/>
      <c r="AC518" s="208"/>
      <c r="AD518" s="208"/>
      <c r="AE518" s="208"/>
      <c r="AF518" s="208"/>
      <c r="AG518" s="208"/>
      <c r="AH518" s="208"/>
      <c r="AI518" s="208"/>
      <c r="AJ518" s="208"/>
      <c r="AK518" s="208"/>
      <c r="AL518" s="208"/>
      <c r="AM518" s="208"/>
      <c r="AN518" s="208"/>
      <c r="AO518" s="208"/>
      <c r="AP518" s="189"/>
    </row>
    <row r="519" spans="1:42" ht="18" hidden="1" x14ac:dyDescent="0.35">
      <c r="A519" s="581"/>
      <c r="B519" s="582"/>
      <c r="C519" s="569" t="s">
        <v>882</v>
      </c>
      <c r="D519" s="592" t="s">
        <v>166</v>
      </c>
      <c r="E519" s="593"/>
      <c r="F519" s="593"/>
      <c r="G519" s="593"/>
      <c r="H519" s="593"/>
      <c r="I519" s="593"/>
      <c r="J519" s="593"/>
      <c r="K519" s="593"/>
      <c r="L519" s="588" t="s">
        <v>400</v>
      </c>
      <c r="M519" s="311"/>
      <c r="V519" s="208"/>
      <c r="W519" s="208"/>
      <c r="X519" s="208"/>
      <c r="Y519" s="208"/>
      <c r="Z519" s="208"/>
      <c r="AA519" s="208"/>
      <c r="AB519" s="208"/>
      <c r="AC519" s="208"/>
      <c r="AD519" s="208"/>
      <c r="AE519" s="208"/>
      <c r="AF519" s="208"/>
      <c r="AG519" s="208"/>
      <c r="AH519" s="208"/>
      <c r="AI519" s="208"/>
      <c r="AJ519" s="208"/>
      <c r="AK519" s="208"/>
      <c r="AL519" s="208"/>
      <c r="AM519" s="208"/>
      <c r="AN519" s="208"/>
      <c r="AO519" s="208"/>
      <c r="AP519" s="189"/>
    </row>
    <row r="520" spans="1:42" hidden="1" x14ac:dyDescent="0.3">
      <c r="A520" s="760"/>
      <c r="B520" s="761"/>
      <c r="C520" s="596"/>
      <c r="D520" s="13" t="s">
        <v>12</v>
      </c>
      <c r="E520" s="13" t="s">
        <v>11</v>
      </c>
      <c r="F520" s="13" t="s">
        <v>10</v>
      </c>
      <c r="G520" s="13" t="s">
        <v>17</v>
      </c>
      <c r="H520" s="13" t="s">
        <v>16</v>
      </c>
      <c r="I520" s="13" t="s">
        <v>15</v>
      </c>
      <c r="J520" s="13" t="s">
        <v>14</v>
      </c>
      <c r="K520" s="13" t="s">
        <v>13</v>
      </c>
      <c r="L520" s="575"/>
      <c r="M520" s="312"/>
      <c r="N520" s="306" t="s">
        <v>12</v>
      </c>
      <c r="O520" s="13" t="s">
        <v>11</v>
      </c>
      <c r="P520" s="13" t="s">
        <v>10</v>
      </c>
      <c r="Q520" s="13" t="s">
        <v>17</v>
      </c>
      <c r="R520" s="13" t="s">
        <v>16</v>
      </c>
      <c r="S520" s="13" t="s">
        <v>15</v>
      </c>
      <c r="T520" s="13" t="s">
        <v>14</v>
      </c>
      <c r="U520" s="13" t="s">
        <v>13</v>
      </c>
      <c r="V520" s="208"/>
      <c r="W520" s="208"/>
      <c r="X520" s="208"/>
      <c r="Y520" s="208"/>
      <c r="Z520" s="208"/>
      <c r="AA520" s="208"/>
      <c r="AB520" s="208"/>
      <c r="AC520" s="208"/>
      <c r="AD520" s="208"/>
      <c r="AE520" s="208"/>
      <c r="AF520" s="208"/>
      <c r="AG520" s="208"/>
      <c r="AH520" s="208"/>
      <c r="AI520" s="208"/>
      <c r="AJ520" s="208"/>
      <c r="AK520" s="208"/>
      <c r="AL520" s="208"/>
      <c r="AM520" s="208"/>
      <c r="AN520" s="208"/>
      <c r="AO520" s="208"/>
      <c r="AP520" s="189"/>
    </row>
    <row r="521" spans="1:42" ht="18" hidden="1" x14ac:dyDescent="0.3">
      <c r="A521" s="698"/>
      <c r="B521" s="614"/>
      <c r="C521" s="13" t="s">
        <v>883</v>
      </c>
      <c r="D521" s="13" t="s">
        <v>883</v>
      </c>
      <c r="E521" s="13" t="s">
        <v>883</v>
      </c>
      <c r="F521" s="13" t="s">
        <v>883</v>
      </c>
      <c r="G521" s="13" t="s">
        <v>883</v>
      </c>
      <c r="H521" s="13" t="s">
        <v>883</v>
      </c>
      <c r="I521" s="13" t="s">
        <v>883</v>
      </c>
      <c r="J521" s="13" t="s">
        <v>883</v>
      </c>
      <c r="K521" s="13" t="s">
        <v>883</v>
      </c>
      <c r="L521" s="13" t="s">
        <v>883</v>
      </c>
      <c r="M521" s="313"/>
      <c r="N521" s="306" t="s">
        <v>907</v>
      </c>
      <c r="O521" s="13" t="s">
        <v>907</v>
      </c>
      <c r="P521" s="13" t="s">
        <v>821</v>
      </c>
      <c r="Q521" s="13" t="s">
        <v>821</v>
      </c>
      <c r="R521" s="13" t="s">
        <v>821</v>
      </c>
      <c r="S521" s="13" t="s">
        <v>821</v>
      </c>
      <c r="T521" s="13" t="s">
        <v>821</v>
      </c>
      <c r="U521" s="13" t="s">
        <v>821</v>
      </c>
      <c r="V521" s="208"/>
      <c r="W521" s="208"/>
      <c r="X521" s="208"/>
      <c r="Y521" s="208"/>
      <c r="Z521" s="208"/>
      <c r="AA521" s="208"/>
      <c r="AB521" s="208"/>
      <c r="AC521" s="208"/>
      <c r="AD521" s="208"/>
      <c r="AE521" s="208"/>
      <c r="AF521" s="208"/>
      <c r="AG521" s="208"/>
      <c r="AH521" s="208"/>
      <c r="AI521" s="208"/>
      <c r="AJ521" s="208"/>
      <c r="AK521" s="208"/>
      <c r="AL521" s="208"/>
      <c r="AM521" s="208"/>
      <c r="AN521" s="208"/>
      <c r="AO521" s="208"/>
      <c r="AP521" s="189"/>
    </row>
    <row r="522" spans="1:42" hidden="1" x14ac:dyDescent="0.3">
      <c r="A522" s="565" t="str">
        <f t="shared" ref="A522:A532" si="230">IF(A7="","",A7)</f>
        <v>I етаж</v>
      </c>
      <c r="B522" s="566"/>
      <c r="C522" s="110">
        <f t="shared" ref="C522:C532" si="231">E7</f>
        <v>0</v>
      </c>
      <c r="D522" s="41"/>
      <c r="E522" s="41"/>
      <c r="F522" s="41"/>
      <c r="G522" s="41"/>
      <c r="H522" s="41"/>
      <c r="I522" s="41"/>
      <c r="J522" s="41"/>
      <c r="K522" s="41"/>
      <c r="L522" s="13">
        <f t="shared" ref="L522:L527" si="232">SUM(D522:K522)</f>
        <v>0</v>
      </c>
      <c r="M522" s="161"/>
      <c r="N522" s="74">
        <f t="shared" ref="N522:N533" si="233">D522*$C522</f>
        <v>0</v>
      </c>
      <c r="O522" s="74">
        <f t="shared" ref="O522:O533" si="234">E522*$C522</f>
        <v>0</v>
      </c>
      <c r="P522" s="74">
        <f t="shared" ref="P522:P533" si="235">F522*$C522</f>
        <v>0</v>
      </c>
      <c r="Q522" s="74">
        <f t="shared" ref="Q522:Q533" si="236">G522*$C522</f>
        <v>0</v>
      </c>
      <c r="R522" s="74">
        <f t="shared" ref="R522:R533" si="237">H522*$C522</f>
        <v>0</v>
      </c>
      <c r="S522" s="74">
        <f t="shared" ref="S522:S533" si="238">I522*$C522</f>
        <v>0</v>
      </c>
      <c r="T522" s="74">
        <f t="shared" ref="T522:T533" si="239">J522*$C522</f>
        <v>0</v>
      </c>
      <c r="U522" s="74">
        <f t="shared" ref="U522:U533" si="240">K522*$C522</f>
        <v>0</v>
      </c>
      <c r="V522" s="208"/>
      <c r="W522" s="208"/>
      <c r="X522" s="208"/>
      <c r="Y522" s="208"/>
      <c r="Z522" s="208"/>
      <c r="AA522" s="208"/>
      <c r="AB522" s="208"/>
      <c r="AC522" s="208"/>
      <c r="AD522" s="208"/>
      <c r="AE522" s="208"/>
      <c r="AF522" s="208"/>
      <c r="AG522" s="208"/>
      <c r="AH522" s="208"/>
      <c r="AI522" s="208"/>
      <c r="AJ522" s="208"/>
      <c r="AK522" s="208"/>
      <c r="AL522" s="208"/>
      <c r="AM522" s="208"/>
      <c r="AN522" s="208"/>
      <c r="AO522" s="208"/>
      <c r="AP522" s="189"/>
    </row>
    <row r="523" spans="1:42" hidden="1" x14ac:dyDescent="0.3">
      <c r="A523" s="565" t="str">
        <f t="shared" si="230"/>
        <v>ІІ етаж</v>
      </c>
      <c r="B523" s="566"/>
      <c r="C523" s="110">
        <f t="shared" si="231"/>
        <v>0</v>
      </c>
      <c r="D523" s="41"/>
      <c r="E523" s="41"/>
      <c r="F523" s="41"/>
      <c r="G523" s="41"/>
      <c r="H523" s="41"/>
      <c r="I523" s="41"/>
      <c r="J523" s="41"/>
      <c r="K523" s="41"/>
      <c r="L523" s="13">
        <f t="shared" si="232"/>
        <v>0</v>
      </c>
      <c r="M523" s="161"/>
      <c r="N523" s="74">
        <f t="shared" si="233"/>
        <v>0</v>
      </c>
      <c r="O523" s="74">
        <f t="shared" si="234"/>
        <v>0</v>
      </c>
      <c r="P523" s="74">
        <f t="shared" si="235"/>
        <v>0</v>
      </c>
      <c r="Q523" s="74">
        <f t="shared" si="236"/>
        <v>0</v>
      </c>
      <c r="R523" s="74">
        <f t="shared" si="237"/>
        <v>0</v>
      </c>
      <c r="S523" s="74">
        <f t="shared" si="238"/>
        <v>0</v>
      </c>
      <c r="T523" s="74">
        <f t="shared" si="239"/>
        <v>0</v>
      </c>
      <c r="U523" s="74">
        <f t="shared" si="240"/>
        <v>0</v>
      </c>
      <c r="V523" s="208"/>
      <c r="W523" s="208"/>
      <c r="X523" s="208"/>
      <c r="Y523" s="208"/>
      <c r="Z523" s="208"/>
      <c r="AA523" s="208"/>
      <c r="AB523" s="208"/>
      <c r="AC523" s="208"/>
      <c r="AD523" s="208"/>
      <c r="AE523" s="208"/>
      <c r="AF523" s="208"/>
      <c r="AG523" s="208"/>
      <c r="AH523" s="208"/>
      <c r="AI523" s="208"/>
      <c r="AJ523" s="208"/>
      <c r="AK523" s="208"/>
      <c r="AL523" s="208"/>
      <c r="AM523" s="208"/>
      <c r="AN523" s="208"/>
      <c r="AO523" s="208"/>
      <c r="AP523" s="189"/>
    </row>
    <row r="524" spans="1:42" hidden="1" x14ac:dyDescent="0.3">
      <c r="A524" s="565" t="str">
        <f t="shared" si="230"/>
        <v>ІІІ етаж</v>
      </c>
      <c r="B524" s="566"/>
      <c r="C524" s="110">
        <f t="shared" si="231"/>
        <v>0</v>
      </c>
      <c r="D524" s="41"/>
      <c r="E524" s="41"/>
      <c r="F524" s="41"/>
      <c r="G524" s="41"/>
      <c r="H524" s="41"/>
      <c r="I524" s="41"/>
      <c r="J524" s="41"/>
      <c r="K524" s="41"/>
      <c r="L524" s="13">
        <f t="shared" si="232"/>
        <v>0</v>
      </c>
      <c r="M524" s="161"/>
      <c r="N524" s="74">
        <f t="shared" si="233"/>
        <v>0</v>
      </c>
      <c r="O524" s="74">
        <f t="shared" si="234"/>
        <v>0</v>
      </c>
      <c r="P524" s="74">
        <f t="shared" si="235"/>
        <v>0</v>
      </c>
      <c r="Q524" s="74">
        <f t="shared" si="236"/>
        <v>0</v>
      </c>
      <c r="R524" s="74">
        <f t="shared" si="237"/>
        <v>0</v>
      </c>
      <c r="S524" s="74">
        <f t="shared" si="238"/>
        <v>0</v>
      </c>
      <c r="T524" s="74">
        <f t="shared" si="239"/>
        <v>0</v>
      </c>
      <c r="U524" s="74">
        <f t="shared" si="240"/>
        <v>0</v>
      </c>
      <c r="V524" s="208"/>
      <c r="W524" s="208"/>
      <c r="X524" s="208"/>
      <c r="Y524" s="208"/>
      <c r="Z524" s="208"/>
      <c r="AA524" s="208"/>
      <c r="AB524" s="208"/>
      <c r="AC524" s="208"/>
      <c r="AD524" s="208"/>
      <c r="AE524" s="208"/>
      <c r="AF524" s="208"/>
      <c r="AG524" s="208"/>
      <c r="AH524" s="208"/>
      <c r="AI524" s="208"/>
      <c r="AJ524" s="208"/>
      <c r="AK524" s="208"/>
      <c r="AL524" s="208"/>
      <c r="AM524" s="208"/>
      <c r="AN524" s="208"/>
      <c r="AO524" s="208"/>
      <c r="AP524" s="189"/>
    </row>
    <row r="525" spans="1:42" hidden="1" x14ac:dyDescent="0.3">
      <c r="A525" s="565" t="str">
        <f t="shared" si="230"/>
        <v>ІV етаж</v>
      </c>
      <c r="B525" s="566"/>
      <c r="C525" s="110">
        <f t="shared" si="231"/>
        <v>0</v>
      </c>
      <c r="D525" s="41"/>
      <c r="E525" s="41"/>
      <c r="F525" s="41"/>
      <c r="G525" s="41"/>
      <c r="H525" s="41"/>
      <c r="I525" s="41"/>
      <c r="J525" s="41"/>
      <c r="K525" s="41"/>
      <c r="L525" s="13">
        <f t="shared" si="232"/>
        <v>0</v>
      </c>
      <c r="M525" s="161"/>
      <c r="N525" s="74">
        <f t="shared" si="233"/>
        <v>0</v>
      </c>
      <c r="O525" s="74">
        <f t="shared" si="234"/>
        <v>0</v>
      </c>
      <c r="P525" s="74">
        <f t="shared" si="235"/>
        <v>0</v>
      </c>
      <c r="Q525" s="74">
        <f t="shared" si="236"/>
        <v>0</v>
      </c>
      <c r="R525" s="74">
        <f t="shared" si="237"/>
        <v>0</v>
      </c>
      <c r="S525" s="74">
        <f t="shared" si="238"/>
        <v>0</v>
      </c>
      <c r="T525" s="74">
        <f t="shared" si="239"/>
        <v>0</v>
      </c>
      <c r="U525" s="74">
        <f t="shared" si="240"/>
        <v>0</v>
      </c>
      <c r="V525" s="208"/>
      <c r="W525" s="208"/>
      <c r="X525" s="208"/>
      <c r="Y525" s="208"/>
      <c r="Z525" s="208"/>
      <c r="AA525" s="208"/>
      <c r="AB525" s="208"/>
      <c r="AC525" s="208"/>
      <c r="AD525" s="208"/>
      <c r="AE525" s="208"/>
      <c r="AF525" s="208"/>
      <c r="AG525" s="208"/>
      <c r="AH525" s="208"/>
      <c r="AI525" s="208"/>
      <c r="AJ525" s="208"/>
      <c r="AK525" s="208"/>
      <c r="AL525" s="208"/>
      <c r="AM525" s="208"/>
      <c r="AN525" s="208"/>
      <c r="AO525" s="208"/>
      <c r="AP525" s="189"/>
    </row>
    <row r="526" spans="1:42" hidden="1" x14ac:dyDescent="0.3">
      <c r="A526" s="565" t="str">
        <f t="shared" si="230"/>
        <v>V етаж</v>
      </c>
      <c r="B526" s="566"/>
      <c r="C526" s="110">
        <f t="shared" si="231"/>
        <v>0</v>
      </c>
      <c r="D526" s="41"/>
      <c r="E526" s="41"/>
      <c r="F526" s="41"/>
      <c r="G526" s="41"/>
      <c r="H526" s="41"/>
      <c r="I526" s="41"/>
      <c r="J526" s="41"/>
      <c r="K526" s="41"/>
      <c r="L526" s="13">
        <f t="shared" si="232"/>
        <v>0</v>
      </c>
      <c r="M526" s="161"/>
      <c r="N526" s="74">
        <f t="shared" si="233"/>
        <v>0</v>
      </c>
      <c r="O526" s="74">
        <f t="shared" si="234"/>
        <v>0</v>
      </c>
      <c r="P526" s="74">
        <f t="shared" si="235"/>
        <v>0</v>
      </c>
      <c r="Q526" s="74">
        <f t="shared" si="236"/>
        <v>0</v>
      </c>
      <c r="R526" s="74">
        <f t="shared" si="237"/>
        <v>0</v>
      </c>
      <c r="S526" s="74">
        <f t="shared" si="238"/>
        <v>0</v>
      </c>
      <c r="T526" s="74">
        <f t="shared" si="239"/>
        <v>0</v>
      </c>
      <c r="U526" s="74">
        <f t="shared" si="240"/>
        <v>0</v>
      </c>
      <c r="V526" s="208"/>
      <c r="W526" s="208"/>
      <c r="X526" s="208"/>
      <c r="Y526" s="208"/>
      <c r="Z526" s="208"/>
      <c r="AA526" s="208"/>
      <c r="AB526" s="208"/>
      <c r="AC526" s="208"/>
      <c r="AD526" s="208"/>
      <c r="AE526" s="208"/>
      <c r="AF526" s="208"/>
      <c r="AG526" s="208"/>
      <c r="AH526" s="208"/>
      <c r="AI526" s="208"/>
      <c r="AJ526" s="208"/>
      <c r="AK526" s="208"/>
      <c r="AL526" s="208"/>
      <c r="AM526" s="208"/>
      <c r="AN526" s="208"/>
      <c r="AO526" s="208"/>
      <c r="AP526" s="189"/>
    </row>
    <row r="527" spans="1:42" hidden="1" x14ac:dyDescent="0.3">
      <c r="A527" s="565" t="str">
        <f t="shared" si="230"/>
        <v>VІ етаж</v>
      </c>
      <c r="B527" s="566"/>
      <c r="C527" s="110">
        <f t="shared" si="231"/>
        <v>0</v>
      </c>
      <c r="D527" s="41"/>
      <c r="E527" s="41"/>
      <c r="F527" s="41"/>
      <c r="G527" s="41"/>
      <c r="H527" s="41"/>
      <c r="I527" s="41"/>
      <c r="J527" s="41"/>
      <c r="K527" s="41"/>
      <c r="L527" s="13">
        <f t="shared" si="232"/>
        <v>0</v>
      </c>
      <c r="M527" s="161"/>
      <c r="N527" s="74">
        <f t="shared" si="233"/>
        <v>0</v>
      </c>
      <c r="O527" s="74">
        <f t="shared" si="234"/>
        <v>0</v>
      </c>
      <c r="P527" s="74">
        <f t="shared" si="235"/>
        <v>0</v>
      </c>
      <c r="Q527" s="74">
        <f t="shared" si="236"/>
        <v>0</v>
      </c>
      <c r="R527" s="74">
        <f t="shared" si="237"/>
        <v>0</v>
      </c>
      <c r="S527" s="74">
        <f t="shared" si="238"/>
        <v>0</v>
      </c>
      <c r="T527" s="74">
        <f t="shared" si="239"/>
        <v>0</v>
      </c>
      <c r="U527" s="74">
        <f t="shared" si="240"/>
        <v>0</v>
      </c>
      <c r="V527" s="208"/>
      <c r="W527" s="208"/>
      <c r="X527" s="208"/>
      <c r="Y527" s="208"/>
      <c r="Z527" s="208"/>
      <c r="AA527" s="208"/>
      <c r="AB527" s="208"/>
      <c r="AC527" s="208"/>
      <c r="AD527" s="208"/>
      <c r="AE527" s="208"/>
      <c r="AF527" s="208"/>
      <c r="AG527" s="208"/>
      <c r="AH527" s="208"/>
      <c r="AI527" s="208"/>
      <c r="AJ527" s="208"/>
      <c r="AK527" s="208"/>
      <c r="AL527" s="208"/>
      <c r="AM527" s="208"/>
      <c r="AN527" s="208"/>
      <c r="AO527" s="208"/>
      <c r="AP527" s="189"/>
    </row>
    <row r="528" spans="1:42" hidden="1" x14ac:dyDescent="0.3">
      <c r="A528" s="565" t="str">
        <f t="shared" si="230"/>
        <v>VІІ етаж</v>
      </c>
      <c r="B528" s="566"/>
      <c r="C528" s="110">
        <f t="shared" si="231"/>
        <v>0</v>
      </c>
      <c r="D528" s="41"/>
      <c r="E528" s="41"/>
      <c r="F528" s="41"/>
      <c r="G528" s="41"/>
      <c r="H528" s="41"/>
      <c r="I528" s="41"/>
      <c r="J528" s="41"/>
      <c r="K528" s="41"/>
      <c r="L528" s="13">
        <f t="shared" ref="L528:L533" si="241">SUM(D528:K528)</f>
        <v>0</v>
      </c>
      <c r="M528" s="161"/>
      <c r="N528" s="74">
        <f t="shared" si="233"/>
        <v>0</v>
      </c>
      <c r="O528" s="74">
        <f t="shared" si="234"/>
        <v>0</v>
      </c>
      <c r="P528" s="74">
        <f t="shared" si="235"/>
        <v>0</v>
      </c>
      <c r="Q528" s="74">
        <f t="shared" si="236"/>
        <v>0</v>
      </c>
      <c r="R528" s="74">
        <f t="shared" si="237"/>
        <v>0</v>
      </c>
      <c r="S528" s="74">
        <f t="shared" si="238"/>
        <v>0</v>
      </c>
      <c r="T528" s="74">
        <f t="shared" si="239"/>
        <v>0</v>
      </c>
      <c r="U528" s="74">
        <f t="shared" si="240"/>
        <v>0</v>
      </c>
      <c r="V528" s="208"/>
      <c r="W528" s="208"/>
      <c r="X528" s="208"/>
      <c r="Y528" s="208"/>
      <c r="Z528" s="208"/>
      <c r="AA528" s="208"/>
      <c r="AB528" s="208"/>
      <c r="AC528" s="208"/>
      <c r="AD528" s="208"/>
      <c r="AE528" s="208"/>
      <c r="AF528" s="208"/>
      <c r="AG528" s="208"/>
      <c r="AH528" s="208"/>
      <c r="AI528" s="208"/>
      <c r="AJ528" s="208"/>
      <c r="AK528" s="208"/>
      <c r="AL528" s="208"/>
      <c r="AM528" s="208"/>
      <c r="AN528" s="208"/>
      <c r="AO528" s="208"/>
      <c r="AP528" s="189"/>
    </row>
    <row r="529" spans="1:42" hidden="1" x14ac:dyDescent="0.3">
      <c r="A529" s="565" t="str">
        <f t="shared" si="230"/>
        <v>VІІІ етаж</v>
      </c>
      <c r="B529" s="566"/>
      <c r="C529" s="110">
        <f t="shared" si="231"/>
        <v>0</v>
      </c>
      <c r="D529" s="41"/>
      <c r="E529" s="41"/>
      <c r="F529" s="41"/>
      <c r="G529" s="41"/>
      <c r="H529" s="41"/>
      <c r="I529" s="41"/>
      <c r="J529" s="41"/>
      <c r="K529" s="41"/>
      <c r="L529" s="13">
        <f t="shared" si="241"/>
        <v>0</v>
      </c>
      <c r="M529" s="161"/>
      <c r="N529" s="74">
        <f t="shared" si="233"/>
        <v>0</v>
      </c>
      <c r="O529" s="74">
        <f t="shared" si="234"/>
        <v>0</v>
      </c>
      <c r="P529" s="74">
        <f t="shared" si="235"/>
        <v>0</v>
      </c>
      <c r="Q529" s="74">
        <f t="shared" si="236"/>
        <v>0</v>
      </c>
      <c r="R529" s="74">
        <f t="shared" si="237"/>
        <v>0</v>
      </c>
      <c r="S529" s="74">
        <f t="shared" si="238"/>
        <v>0</v>
      </c>
      <c r="T529" s="74">
        <f t="shared" si="239"/>
        <v>0</v>
      </c>
      <c r="U529" s="74">
        <f t="shared" si="240"/>
        <v>0</v>
      </c>
      <c r="V529" s="208"/>
      <c r="W529" s="208"/>
      <c r="X529" s="208"/>
      <c r="Y529" s="208"/>
      <c r="Z529" s="208"/>
      <c r="AA529" s="208"/>
      <c r="AB529" s="208"/>
      <c r="AC529" s="208"/>
      <c r="AD529" s="208"/>
      <c r="AE529" s="208"/>
      <c r="AF529" s="208"/>
      <c r="AG529" s="208"/>
      <c r="AH529" s="208"/>
      <c r="AI529" s="208"/>
      <c r="AJ529" s="208"/>
      <c r="AK529" s="208"/>
      <c r="AL529" s="208"/>
      <c r="AM529" s="208"/>
      <c r="AN529" s="208"/>
      <c r="AO529" s="208"/>
      <c r="AP529" s="189"/>
    </row>
    <row r="530" spans="1:42" hidden="1" x14ac:dyDescent="0.3">
      <c r="A530" s="565" t="str">
        <f t="shared" si="230"/>
        <v/>
      </c>
      <c r="B530" s="566"/>
      <c r="C530" s="110">
        <f t="shared" si="231"/>
        <v>0</v>
      </c>
      <c r="D530" s="41"/>
      <c r="E530" s="41"/>
      <c r="F530" s="41"/>
      <c r="G530" s="41"/>
      <c r="H530" s="41"/>
      <c r="I530" s="41"/>
      <c r="J530" s="41"/>
      <c r="K530" s="41"/>
      <c r="L530" s="13">
        <f t="shared" si="241"/>
        <v>0</v>
      </c>
      <c r="M530" s="161"/>
      <c r="N530" s="74">
        <f t="shared" si="233"/>
        <v>0</v>
      </c>
      <c r="O530" s="74">
        <f t="shared" si="234"/>
        <v>0</v>
      </c>
      <c r="P530" s="74">
        <f t="shared" si="235"/>
        <v>0</v>
      </c>
      <c r="Q530" s="74">
        <f t="shared" si="236"/>
        <v>0</v>
      </c>
      <c r="R530" s="74">
        <f t="shared" si="237"/>
        <v>0</v>
      </c>
      <c r="S530" s="74">
        <f t="shared" si="238"/>
        <v>0</v>
      </c>
      <c r="T530" s="74">
        <f t="shared" si="239"/>
        <v>0</v>
      </c>
      <c r="U530" s="74">
        <f t="shared" si="240"/>
        <v>0</v>
      </c>
      <c r="V530" s="208"/>
      <c r="W530" s="208"/>
      <c r="X530" s="208"/>
      <c r="Y530" s="208"/>
      <c r="Z530" s="208"/>
      <c r="AA530" s="208"/>
      <c r="AB530" s="208"/>
      <c r="AC530" s="208"/>
      <c r="AD530" s="208"/>
      <c r="AE530" s="208"/>
      <c r="AF530" s="208"/>
      <c r="AG530" s="208"/>
      <c r="AH530" s="208"/>
      <c r="AI530" s="208"/>
      <c r="AJ530" s="208"/>
      <c r="AK530" s="208"/>
      <c r="AL530" s="208"/>
      <c r="AM530" s="208"/>
      <c r="AN530" s="208"/>
      <c r="AO530" s="208"/>
      <c r="AP530" s="189"/>
    </row>
    <row r="531" spans="1:42" hidden="1" x14ac:dyDescent="0.3">
      <c r="A531" s="565" t="str">
        <f t="shared" si="230"/>
        <v/>
      </c>
      <c r="B531" s="566"/>
      <c r="C531" s="110">
        <f t="shared" si="231"/>
        <v>0</v>
      </c>
      <c r="D531" s="41"/>
      <c r="E531" s="41"/>
      <c r="F531" s="41"/>
      <c r="G531" s="41"/>
      <c r="H531" s="41"/>
      <c r="I531" s="41"/>
      <c r="J531" s="41"/>
      <c r="K531" s="41"/>
      <c r="L531" s="13">
        <f t="shared" si="241"/>
        <v>0</v>
      </c>
      <c r="M531" s="161"/>
      <c r="N531" s="74">
        <f t="shared" si="233"/>
        <v>0</v>
      </c>
      <c r="O531" s="74">
        <f t="shared" si="234"/>
        <v>0</v>
      </c>
      <c r="P531" s="74">
        <f t="shared" si="235"/>
        <v>0</v>
      </c>
      <c r="Q531" s="74">
        <f t="shared" si="236"/>
        <v>0</v>
      </c>
      <c r="R531" s="74">
        <f t="shared" si="237"/>
        <v>0</v>
      </c>
      <c r="S531" s="74">
        <f t="shared" si="238"/>
        <v>0</v>
      </c>
      <c r="T531" s="74">
        <f t="shared" si="239"/>
        <v>0</v>
      </c>
      <c r="U531" s="74">
        <f t="shared" si="240"/>
        <v>0</v>
      </c>
      <c r="V531" s="208"/>
      <c r="W531" s="208"/>
      <c r="X531" s="208"/>
      <c r="Y531" s="208"/>
      <c r="Z531" s="208"/>
      <c r="AA531" s="208"/>
      <c r="AB531" s="208"/>
      <c r="AC531" s="208"/>
      <c r="AD531" s="208"/>
      <c r="AE531" s="208"/>
      <c r="AF531" s="208"/>
      <c r="AG531" s="208"/>
      <c r="AH531" s="208"/>
      <c r="AI531" s="208"/>
      <c r="AJ531" s="208"/>
      <c r="AK531" s="208"/>
      <c r="AL531" s="208"/>
      <c r="AM531" s="208"/>
      <c r="AN531" s="208"/>
      <c r="AO531" s="208"/>
      <c r="AP531" s="189"/>
    </row>
    <row r="532" spans="1:42" hidden="1" x14ac:dyDescent="0.3">
      <c r="A532" s="565" t="str">
        <f t="shared" si="230"/>
        <v/>
      </c>
      <c r="B532" s="566"/>
      <c r="C532" s="110">
        <f t="shared" si="231"/>
        <v>0</v>
      </c>
      <c r="D532" s="41"/>
      <c r="E532" s="41"/>
      <c r="F532" s="41"/>
      <c r="G532" s="41"/>
      <c r="H532" s="41"/>
      <c r="I532" s="41"/>
      <c r="J532" s="41"/>
      <c r="K532" s="41"/>
      <c r="L532" s="13">
        <f t="shared" si="241"/>
        <v>0</v>
      </c>
      <c r="M532" s="161"/>
      <c r="N532" s="74">
        <f t="shared" si="233"/>
        <v>0</v>
      </c>
      <c r="O532" s="74">
        <f t="shared" si="234"/>
        <v>0</v>
      </c>
      <c r="P532" s="74">
        <f t="shared" si="235"/>
        <v>0</v>
      </c>
      <c r="Q532" s="74">
        <f t="shared" si="236"/>
        <v>0</v>
      </c>
      <c r="R532" s="74">
        <f t="shared" si="237"/>
        <v>0</v>
      </c>
      <c r="S532" s="74">
        <f t="shared" si="238"/>
        <v>0</v>
      </c>
      <c r="T532" s="74">
        <f t="shared" si="239"/>
        <v>0</v>
      </c>
      <c r="U532" s="74">
        <f t="shared" si="240"/>
        <v>0</v>
      </c>
      <c r="V532" s="208"/>
      <c r="W532" s="208"/>
      <c r="X532" s="208"/>
      <c r="Y532" s="208"/>
      <c r="Z532" s="208"/>
      <c r="AA532" s="208"/>
      <c r="AB532" s="208"/>
      <c r="AC532" s="208"/>
      <c r="AD532" s="208"/>
      <c r="AE532" s="208"/>
      <c r="AF532" s="208"/>
      <c r="AG532" s="208"/>
      <c r="AH532" s="208"/>
      <c r="AI532" s="208"/>
      <c r="AJ532" s="208"/>
      <c r="AK532" s="208"/>
      <c r="AL532" s="208"/>
      <c r="AM532" s="208"/>
      <c r="AN532" s="208"/>
      <c r="AO532" s="208"/>
      <c r="AP532" s="189"/>
    </row>
    <row r="533" spans="1:42" hidden="1" x14ac:dyDescent="0.3">
      <c r="A533" s="565" t="str">
        <f>IF(A24="","",A24)</f>
        <v/>
      </c>
      <c r="B533" s="566"/>
      <c r="C533" s="110">
        <f>E24</f>
        <v>0</v>
      </c>
      <c r="D533" s="41"/>
      <c r="E533" s="41"/>
      <c r="F533" s="41"/>
      <c r="G533" s="41"/>
      <c r="H533" s="41"/>
      <c r="I533" s="41"/>
      <c r="J533" s="41"/>
      <c r="K533" s="41"/>
      <c r="L533" s="13">
        <f t="shared" si="241"/>
        <v>0</v>
      </c>
      <c r="M533" s="161"/>
      <c r="N533" s="74">
        <f t="shared" si="233"/>
        <v>0</v>
      </c>
      <c r="O533" s="74">
        <f t="shared" si="234"/>
        <v>0</v>
      </c>
      <c r="P533" s="74">
        <f t="shared" si="235"/>
        <v>0</v>
      </c>
      <c r="Q533" s="74">
        <f t="shared" si="236"/>
        <v>0</v>
      </c>
      <c r="R533" s="74">
        <f t="shared" si="237"/>
        <v>0</v>
      </c>
      <c r="S533" s="74">
        <f t="shared" si="238"/>
        <v>0</v>
      </c>
      <c r="T533" s="74">
        <f t="shared" si="239"/>
        <v>0</v>
      </c>
      <c r="U533" s="74">
        <f t="shared" si="240"/>
        <v>0</v>
      </c>
      <c r="V533" s="208"/>
      <c r="W533" s="208"/>
      <c r="X533" s="208"/>
      <c r="Y533" s="208"/>
      <c r="Z533" s="208"/>
      <c r="AA533" s="208"/>
      <c r="AB533" s="208"/>
      <c r="AC533" s="208"/>
      <c r="AD533" s="208"/>
      <c r="AE533" s="208"/>
      <c r="AF533" s="208"/>
      <c r="AG533" s="208"/>
      <c r="AH533" s="208"/>
      <c r="AI533" s="208"/>
      <c r="AJ533" s="208"/>
      <c r="AK533" s="208"/>
      <c r="AL533" s="208"/>
      <c r="AM533" s="208"/>
      <c r="AN533" s="208"/>
      <c r="AO533" s="208"/>
      <c r="AP533" s="189"/>
    </row>
    <row r="534" spans="1:42" ht="18" hidden="1" x14ac:dyDescent="0.3">
      <c r="A534" s="777" t="s">
        <v>679</v>
      </c>
      <c r="B534" s="777"/>
      <c r="C534" s="777"/>
      <c r="D534" s="211">
        <f t="shared" ref="D534:K534" si="242">N534</f>
        <v>0</v>
      </c>
      <c r="E534" s="211">
        <f t="shared" si="242"/>
        <v>0</v>
      </c>
      <c r="F534" s="211">
        <f t="shared" si="242"/>
        <v>0</v>
      </c>
      <c r="G534" s="211">
        <f t="shared" si="242"/>
        <v>0</v>
      </c>
      <c r="H534" s="211">
        <f t="shared" si="242"/>
        <v>0</v>
      </c>
      <c r="I534" s="211">
        <f t="shared" si="242"/>
        <v>0</v>
      </c>
      <c r="J534" s="211">
        <f t="shared" si="242"/>
        <v>0</v>
      </c>
      <c r="K534" s="211">
        <f t="shared" si="242"/>
        <v>0</v>
      </c>
      <c r="L534" s="13">
        <f>SUM(L522:L533)</f>
        <v>0</v>
      </c>
      <c r="M534" s="161"/>
      <c r="N534" s="74">
        <f t="shared" ref="N534:U534" si="243">SUM(N522:N533)</f>
        <v>0</v>
      </c>
      <c r="O534" s="74">
        <f t="shared" si="243"/>
        <v>0</v>
      </c>
      <c r="P534" s="74">
        <f t="shared" si="243"/>
        <v>0</v>
      </c>
      <c r="Q534" s="74">
        <f t="shared" si="243"/>
        <v>0</v>
      </c>
      <c r="R534" s="74">
        <f t="shared" si="243"/>
        <v>0</v>
      </c>
      <c r="S534" s="74">
        <f t="shared" si="243"/>
        <v>0</v>
      </c>
      <c r="T534" s="74">
        <f t="shared" si="243"/>
        <v>0</v>
      </c>
      <c r="U534" s="74">
        <f t="shared" si="243"/>
        <v>0</v>
      </c>
      <c r="V534" s="208"/>
      <c r="W534" s="208"/>
      <c r="X534" s="208"/>
      <c r="Y534" s="208"/>
      <c r="Z534" s="208"/>
      <c r="AA534" s="208"/>
      <c r="AB534" s="208"/>
      <c r="AC534" s="208"/>
      <c r="AD534" s="208"/>
      <c r="AE534" s="208"/>
      <c r="AF534" s="208"/>
      <c r="AG534" s="208"/>
      <c r="AH534" s="208"/>
      <c r="AI534" s="208"/>
      <c r="AJ534" s="208"/>
      <c r="AK534" s="208"/>
      <c r="AL534" s="208"/>
      <c r="AM534" s="208"/>
      <c r="AN534" s="208"/>
      <c r="AO534" s="208"/>
      <c r="AP534" s="189"/>
    </row>
    <row r="535" spans="1:42" ht="18" hidden="1" x14ac:dyDescent="0.3">
      <c r="A535" s="777" t="s">
        <v>611</v>
      </c>
      <c r="B535" s="777"/>
      <c r="C535" s="777"/>
      <c r="D535" s="469">
        <f t="shared" ref="D535:K535" si="244">D534-E577</f>
        <v>0</v>
      </c>
      <c r="E535" s="469">
        <f t="shared" si="244"/>
        <v>0</v>
      </c>
      <c r="F535" s="469">
        <f t="shared" si="244"/>
        <v>0</v>
      </c>
      <c r="G535" s="469">
        <f t="shared" si="244"/>
        <v>0</v>
      </c>
      <c r="H535" s="469">
        <f t="shared" si="244"/>
        <v>0</v>
      </c>
      <c r="I535" s="469">
        <f t="shared" si="244"/>
        <v>0</v>
      </c>
      <c r="J535" s="469">
        <f t="shared" si="244"/>
        <v>0</v>
      </c>
      <c r="K535" s="469">
        <f t="shared" si="244"/>
        <v>0</v>
      </c>
      <c r="L535" s="26"/>
      <c r="M535" s="161"/>
      <c r="N535" s="74"/>
      <c r="O535" s="74"/>
      <c r="P535" s="74"/>
      <c r="Q535" s="74"/>
      <c r="R535" s="74"/>
      <c r="S535" s="74"/>
      <c r="T535" s="74"/>
      <c r="U535" s="74"/>
      <c r="V535" s="208"/>
      <c r="W535" s="208"/>
      <c r="X535" s="208"/>
      <c r="Y535" s="208"/>
      <c r="Z535" s="208"/>
      <c r="AA535" s="208"/>
      <c r="AB535" s="208"/>
      <c r="AC535" s="208"/>
      <c r="AD535" s="208"/>
      <c r="AE535" s="208"/>
      <c r="AF535" s="208"/>
      <c r="AG535" s="208"/>
      <c r="AH535" s="208"/>
      <c r="AI535" s="208"/>
      <c r="AJ535" s="208"/>
      <c r="AK535" s="208"/>
      <c r="AL535" s="208"/>
      <c r="AM535" s="208"/>
      <c r="AN535" s="208"/>
      <c r="AO535" s="208"/>
      <c r="AP535" s="189"/>
    </row>
    <row r="536" spans="1:42" hidden="1" x14ac:dyDescent="0.3">
      <c r="N536" s="207"/>
      <c r="O536" s="207"/>
      <c r="P536" s="208"/>
      <c r="Q536" s="208"/>
      <c r="R536" s="208"/>
      <c r="S536" s="208"/>
      <c r="T536" s="208"/>
      <c r="U536" s="208"/>
      <c r="V536" s="208"/>
      <c r="W536" s="208"/>
      <c r="X536" s="208"/>
      <c r="Y536" s="208"/>
      <c r="Z536" s="208"/>
      <c r="AA536" s="208"/>
      <c r="AB536" s="208"/>
      <c r="AC536" s="208"/>
      <c r="AD536" s="208"/>
      <c r="AE536" s="208"/>
      <c r="AF536" s="208"/>
      <c r="AG536" s="208"/>
      <c r="AH536" s="208"/>
      <c r="AI536" s="208"/>
      <c r="AJ536" s="208"/>
      <c r="AK536" s="208"/>
      <c r="AL536" s="208"/>
      <c r="AM536" s="208"/>
      <c r="AN536" s="208"/>
      <c r="AO536" s="208"/>
      <c r="AP536" s="189"/>
    </row>
    <row r="537" spans="1:42" ht="18" hidden="1" x14ac:dyDescent="0.35">
      <c r="A537" s="590" t="s">
        <v>842</v>
      </c>
      <c r="B537" s="590"/>
      <c r="C537" s="590"/>
      <c r="D537" s="590"/>
      <c r="E537" s="590"/>
      <c r="F537" s="590"/>
      <c r="G537" s="590"/>
      <c r="H537" s="590"/>
      <c r="I537" s="590"/>
      <c r="J537" s="591"/>
      <c r="K537" s="591"/>
      <c r="L537" s="329"/>
    </row>
    <row r="538" spans="1:42" ht="18" hidden="1" customHeight="1" x14ac:dyDescent="0.3">
      <c r="A538" s="594" t="s">
        <v>928</v>
      </c>
      <c r="B538" s="660" t="s">
        <v>24</v>
      </c>
      <c r="C538" s="661"/>
      <c r="D538" s="583" t="s">
        <v>23</v>
      </c>
      <c r="E538" s="584"/>
      <c r="F538" s="584"/>
      <c r="G538" s="584"/>
      <c r="H538" s="584"/>
      <c r="I538" s="584"/>
      <c r="J538" s="584"/>
      <c r="K538" s="584"/>
      <c r="L538" s="585"/>
      <c r="M538" s="314"/>
      <c r="X538" s="842" t="s">
        <v>26</v>
      </c>
    </row>
    <row r="539" spans="1:42" ht="18" hidden="1" customHeight="1" x14ac:dyDescent="0.3">
      <c r="A539" s="595"/>
      <c r="B539" s="136"/>
      <c r="C539" s="136"/>
      <c r="D539" s="468" t="s">
        <v>904</v>
      </c>
      <c r="E539" s="38" t="s">
        <v>12</v>
      </c>
      <c r="F539" s="38" t="s">
        <v>11</v>
      </c>
      <c r="G539" s="38" t="s">
        <v>10</v>
      </c>
      <c r="H539" s="38" t="s">
        <v>17</v>
      </c>
      <c r="I539" s="38" t="s">
        <v>16</v>
      </c>
      <c r="J539" s="38" t="s">
        <v>15</v>
      </c>
      <c r="K539" s="38" t="s">
        <v>14</v>
      </c>
      <c r="L539" s="38" t="s">
        <v>13</v>
      </c>
      <c r="M539" s="315"/>
      <c r="N539" s="307" t="s">
        <v>12</v>
      </c>
      <c r="O539" s="38" t="s">
        <v>11</v>
      </c>
      <c r="P539" s="38" t="s">
        <v>10</v>
      </c>
      <c r="Q539" s="38" t="s">
        <v>17</v>
      </c>
      <c r="R539" s="38" t="s">
        <v>16</v>
      </c>
      <c r="S539" s="38" t="s">
        <v>15</v>
      </c>
      <c r="T539" s="38" t="s">
        <v>14</v>
      </c>
      <c r="U539" s="38" t="s">
        <v>13</v>
      </c>
      <c r="V539" s="396" t="s">
        <v>840</v>
      </c>
      <c r="W539" s="842" t="s">
        <v>25</v>
      </c>
      <c r="X539" s="843"/>
      <c r="Z539" s="38" t="s">
        <v>427</v>
      </c>
      <c r="AA539" s="38" t="s">
        <v>428</v>
      </c>
    </row>
    <row r="540" spans="1:42" hidden="1" x14ac:dyDescent="0.3">
      <c r="A540" s="595"/>
      <c r="B540" s="38" t="s">
        <v>18</v>
      </c>
      <c r="C540" s="38" t="s">
        <v>19</v>
      </c>
      <c r="D540" s="38" t="s">
        <v>950</v>
      </c>
      <c r="E540" s="38" t="s">
        <v>20</v>
      </c>
      <c r="F540" s="38" t="s">
        <v>20</v>
      </c>
      <c r="G540" s="38" t="s">
        <v>20</v>
      </c>
      <c r="H540" s="38" t="s">
        <v>20</v>
      </c>
      <c r="I540" s="38" t="s">
        <v>20</v>
      </c>
      <c r="J540" s="38" t="s">
        <v>20</v>
      </c>
      <c r="K540" s="38" t="s">
        <v>20</v>
      </c>
      <c r="L540" s="38" t="s">
        <v>20</v>
      </c>
      <c r="M540" s="315"/>
      <c r="N540" s="307" t="s">
        <v>905</v>
      </c>
      <c r="O540" s="38" t="s">
        <v>905</v>
      </c>
      <c r="P540" s="38" t="s">
        <v>905</v>
      </c>
      <c r="Q540" s="38" t="s">
        <v>905</v>
      </c>
      <c r="R540" s="38" t="s">
        <v>905</v>
      </c>
      <c r="S540" s="38" t="s">
        <v>905</v>
      </c>
      <c r="T540" s="38" t="s">
        <v>905</v>
      </c>
      <c r="U540" s="38" t="s">
        <v>905</v>
      </c>
      <c r="V540" s="396"/>
      <c r="W540" s="844"/>
      <c r="X540" s="844"/>
      <c r="Z540" s="38" t="s">
        <v>20</v>
      </c>
      <c r="AA540" s="38" t="s">
        <v>905</v>
      </c>
    </row>
    <row r="541" spans="1:42" ht="18" hidden="1" x14ac:dyDescent="0.3">
      <c r="A541" s="102" t="s">
        <v>950</v>
      </c>
      <c r="B541" s="102" t="s">
        <v>883</v>
      </c>
      <c r="C541" s="102" t="s">
        <v>883</v>
      </c>
      <c r="D541" s="102" t="s">
        <v>637</v>
      </c>
      <c r="E541" s="102" t="s">
        <v>21</v>
      </c>
      <c r="F541" s="102" t="s">
        <v>21</v>
      </c>
      <c r="G541" s="102" t="s">
        <v>21</v>
      </c>
      <c r="H541" s="102" t="s">
        <v>21</v>
      </c>
      <c r="I541" s="102" t="s">
        <v>21</v>
      </c>
      <c r="J541" s="102" t="s">
        <v>21</v>
      </c>
      <c r="K541" s="102" t="s">
        <v>21</v>
      </c>
      <c r="L541" s="102" t="s">
        <v>21</v>
      </c>
      <c r="M541" s="316"/>
      <c r="N541" s="308" t="s">
        <v>27</v>
      </c>
      <c r="O541" s="102" t="s">
        <v>27</v>
      </c>
      <c r="P541" s="102" t="s">
        <v>27</v>
      </c>
      <c r="Q541" s="102" t="s">
        <v>27</v>
      </c>
      <c r="R541" s="102" t="s">
        <v>27</v>
      </c>
      <c r="S541" s="102" t="s">
        <v>27</v>
      </c>
      <c r="T541" s="102" t="s">
        <v>27</v>
      </c>
      <c r="U541" s="102" t="s">
        <v>27</v>
      </c>
      <c r="V541" s="396"/>
      <c r="W541" s="98" t="s">
        <v>907</v>
      </c>
      <c r="X541" s="98" t="s">
        <v>22</v>
      </c>
      <c r="Z541" s="102" t="s">
        <v>21</v>
      </c>
      <c r="AA541" s="102" t="s">
        <v>27</v>
      </c>
    </row>
    <row r="542" spans="1:42" hidden="1" x14ac:dyDescent="0.3">
      <c r="A542" s="98">
        <v>1</v>
      </c>
      <c r="B542" s="42"/>
      <c r="C542" s="42"/>
      <c r="D542" s="41"/>
      <c r="E542" s="104"/>
      <c r="F542" s="104"/>
      <c r="G542" s="104"/>
      <c r="H542" s="104"/>
      <c r="I542" s="104"/>
      <c r="J542" s="104"/>
      <c r="K542" s="104"/>
      <c r="L542" s="104"/>
      <c r="M542" s="317"/>
      <c r="N542" s="309">
        <f t="shared" ref="N542:N576" si="245">$B542*$C542*E542</f>
        <v>0</v>
      </c>
      <c r="O542" s="98">
        <f t="shared" ref="O542:O576" si="246">$B542*$C542*F542</f>
        <v>0</v>
      </c>
      <c r="P542" s="98">
        <f t="shared" ref="P542:P576" si="247">$B542*$C542*G542</f>
        <v>0</v>
      </c>
      <c r="Q542" s="98">
        <f t="shared" ref="Q542:Q576" si="248">$B542*$C542*H542</f>
        <v>0</v>
      </c>
      <c r="R542" s="98">
        <f t="shared" ref="R542:R576" si="249">$B542*$C542*I542</f>
        <v>0</v>
      </c>
      <c r="S542" s="98">
        <f t="shared" ref="S542:S576" si="250">$B542*$C542*J542</f>
        <v>0</v>
      </c>
      <c r="T542" s="98">
        <f t="shared" ref="T542:T576" si="251">$B542*$C542*K542</f>
        <v>0</v>
      </c>
      <c r="U542" s="98">
        <f t="shared" ref="U542:U576" si="252">$B542*$C542*L542</f>
        <v>0</v>
      </c>
      <c r="V542" s="396">
        <f>D542*W542</f>
        <v>0</v>
      </c>
      <c r="W542" s="98">
        <f>SUM(N542:U542)</f>
        <v>0</v>
      </c>
      <c r="X542" s="98">
        <f t="shared" ref="X542:X576" si="253">(B542+C542)*2*SUM(E542:L542)</f>
        <v>0</v>
      </c>
      <c r="Z542" s="104"/>
      <c r="AA542" s="98">
        <f t="shared" ref="AA542:AA576" si="254">$B542*$C542*Z542</f>
        <v>0</v>
      </c>
    </row>
    <row r="543" spans="1:42" hidden="1" x14ac:dyDescent="0.3">
      <c r="A543" s="98">
        <v>2</v>
      </c>
      <c r="B543" s="42"/>
      <c r="C543" s="42"/>
      <c r="D543" s="41"/>
      <c r="E543" s="104"/>
      <c r="F543" s="104"/>
      <c r="G543" s="104"/>
      <c r="H543" s="104"/>
      <c r="I543" s="104"/>
      <c r="J543" s="104"/>
      <c r="K543" s="104"/>
      <c r="L543" s="104"/>
      <c r="M543" s="317"/>
      <c r="N543" s="309">
        <f t="shared" si="245"/>
        <v>0</v>
      </c>
      <c r="O543" s="98">
        <f t="shared" si="246"/>
        <v>0</v>
      </c>
      <c r="P543" s="98">
        <f t="shared" si="247"/>
        <v>0</v>
      </c>
      <c r="Q543" s="98">
        <f t="shared" si="248"/>
        <v>0</v>
      </c>
      <c r="R543" s="98">
        <f t="shared" si="249"/>
        <v>0</v>
      </c>
      <c r="S543" s="98">
        <f t="shared" si="250"/>
        <v>0</v>
      </c>
      <c r="T543" s="98">
        <f t="shared" si="251"/>
        <v>0</v>
      </c>
      <c r="U543" s="98">
        <f t="shared" si="252"/>
        <v>0</v>
      </c>
      <c r="V543" s="396">
        <f t="shared" ref="V543:V576" si="255">D543*W543</f>
        <v>0</v>
      </c>
      <c r="W543" s="98">
        <f t="shared" ref="W543:W576" si="256">SUM(N543:U543)</f>
        <v>0</v>
      </c>
      <c r="X543" s="98">
        <f t="shared" si="253"/>
        <v>0</v>
      </c>
      <c r="Z543" s="104"/>
      <c r="AA543" s="98">
        <f t="shared" si="254"/>
        <v>0</v>
      </c>
    </row>
    <row r="544" spans="1:42" hidden="1" x14ac:dyDescent="0.3">
      <c r="A544" s="98">
        <v>3</v>
      </c>
      <c r="B544" s="42"/>
      <c r="C544" s="42"/>
      <c r="D544" s="41"/>
      <c r="E544" s="104"/>
      <c r="F544" s="104"/>
      <c r="G544" s="104"/>
      <c r="H544" s="104"/>
      <c r="I544" s="104"/>
      <c r="J544" s="104"/>
      <c r="K544" s="104"/>
      <c r="L544" s="104"/>
      <c r="M544" s="317"/>
      <c r="N544" s="309">
        <f t="shared" si="245"/>
        <v>0</v>
      </c>
      <c r="O544" s="98">
        <f t="shared" si="246"/>
        <v>0</v>
      </c>
      <c r="P544" s="98">
        <f t="shared" si="247"/>
        <v>0</v>
      </c>
      <c r="Q544" s="98">
        <f t="shared" si="248"/>
        <v>0</v>
      </c>
      <c r="R544" s="98">
        <f t="shared" si="249"/>
        <v>0</v>
      </c>
      <c r="S544" s="98">
        <f t="shared" si="250"/>
        <v>0</v>
      </c>
      <c r="T544" s="98">
        <f t="shared" si="251"/>
        <v>0</v>
      </c>
      <c r="U544" s="98">
        <f t="shared" si="252"/>
        <v>0</v>
      </c>
      <c r="V544" s="396">
        <f t="shared" si="255"/>
        <v>0</v>
      </c>
      <c r="W544" s="98">
        <f t="shared" si="256"/>
        <v>0</v>
      </c>
      <c r="X544" s="98">
        <f t="shared" si="253"/>
        <v>0</v>
      </c>
      <c r="Z544" s="104"/>
      <c r="AA544" s="98">
        <f t="shared" si="254"/>
        <v>0</v>
      </c>
    </row>
    <row r="545" spans="1:27" hidden="1" x14ac:dyDescent="0.3">
      <c r="A545" s="98">
        <v>4</v>
      </c>
      <c r="B545" s="42"/>
      <c r="C545" s="42"/>
      <c r="D545" s="41"/>
      <c r="E545" s="104"/>
      <c r="F545" s="104"/>
      <c r="G545" s="104"/>
      <c r="H545" s="104"/>
      <c r="I545" s="104"/>
      <c r="J545" s="104"/>
      <c r="K545" s="104"/>
      <c r="L545" s="104"/>
      <c r="M545" s="317"/>
      <c r="N545" s="309">
        <f t="shared" si="245"/>
        <v>0</v>
      </c>
      <c r="O545" s="98">
        <f t="shared" si="246"/>
        <v>0</v>
      </c>
      <c r="P545" s="98">
        <f t="shared" si="247"/>
        <v>0</v>
      </c>
      <c r="Q545" s="98">
        <f t="shared" si="248"/>
        <v>0</v>
      </c>
      <c r="R545" s="98">
        <f t="shared" si="249"/>
        <v>0</v>
      </c>
      <c r="S545" s="98">
        <f t="shared" si="250"/>
        <v>0</v>
      </c>
      <c r="T545" s="98">
        <f t="shared" si="251"/>
        <v>0</v>
      </c>
      <c r="U545" s="98">
        <f t="shared" si="252"/>
        <v>0</v>
      </c>
      <c r="V545" s="396">
        <f t="shared" si="255"/>
        <v>0</v>
      </c>
      <c r="W545" s="98">
        <f t="shared" si="256"/>
        <v>0</v>
      </c>
      <c r="X545" s="98">
        <f t="shared" si="253"/>
        <v>0</v>
      </c>
      <c r="Z545" s="104"/>
      <c r="AA545" s="98">
        <f t="shared" si="254"/>
        <v>0</v>
      </c>
    </row>
    <row r="546" spans="1:27" hidden="1" x14ac:dyDescent="0.3">
      <c r="A546" s="98">
        <v>5</v>
      </c>
      <c r="B546" s="42"/>
      <c r="C546" s="42"/>
      <c r="D546" s="41"/>
      <c r="E546" s="104"/>
      <c r="F546" s="104"/>
      <c r="G546" s="104"/>
      <c r="H546" s="104"/>
      <c r="I546" s="104"/>
      <c r="J546" s="104"/>
      <c r="K546" s="104"/>
      <c r="L546" s="104"/>
      <c r="M546" s="317"/>
      <c r="N546" s="309">
        <f t="shared" si="245"/>
        <v>0</v>
      </c>
      <c r="O546" s="98">
        <f t="shared" si="246"/>
        <v>0</v>
      </c>
      <c r="P546" s="98">
        <f t="shared" si="247"/>
        <v>0</v>
      </c>
      <c r="Q546" s="98">
        <f t="shared" si="248"/>
        <v>0</v>
      </c>
      <c r="R546" s="98">
        <f t="shared" si="249"/>
        <v>0</v>
      </c>
      <c r="S546" s="98">
        <f t="shared" si="250"/>
        <v>0</v>
      </c>
      <c r="T546" s="98">
        <f t="shared" si="251"/>
        <v>0</v>
      </c>
      <c r="U546" s="98">
        <f t="shared" si="252"/>
        <v>0</v>
      </c>
      <c r="V546" s="396">
        <f t="shared" si="255"/>
        <v>0</v>
      </c>
      <c r="W546" s="98">
        <f t="shared" si="256"/>
        <v>0</v>
      </c>
      <c r="X546" s="98">
        <f t="shared" si="253"/>
        <v>0</v>
      </c>
      <c r="Z546" s="104"/>
      <c r="AA546" s="98">
        <f t="shared" si="254"/>
        <v>0</v>
      </c>
    </row>
    <row r="547" spans="1:27" hidden="1" x14ac:dyDescent="0.3">
      <c r="A547" s="98">
        <v>6</v>
      </c>
      <c r="B547" s="42"/>
      <c r="C547" s="42"/>
      <c r="D547" s="41"/>
      <c r="E547" s="104"/>
      <c r="F547" s="104"/>
      <c r="G547" s="104"/>
      <c r="H547" s="104"/>
      <c r="I547" s="104"/>
      <c r="J547" s="104"/>
      <c r="K547" s="104"/>
      <c r="L547" s="104"/>
      <c r="M547" s="317"/>
      <c r="N547" s="309">
        <f t="shared" si="245"/>
        <v>0</v>
      </c>
      <c r="O547" s="98">
        <f t="shared" si="246"/>
        <v>0</v>
      </c>
      <c r="P547" s="98">
        <f t="shared" si="247"/>
        <v>0</v>
      </c>
      <c r="Q547" s="98">
        <f t="shared" si="248"/>
        <v>0</v>
      </c>
      <c r="R547" s="98">
        <f t="shared" si="249"/>
        <v>0</v>
      </c>
      <c r="S547" s="98">
        <f t="shared" si="250"/>
        <v>0</v>
      </c>
      <c r="T547" s="98">
        <f t="shared" si="251"/>
        <v>0</v>
      </c>
      <c r="U547" s="98">
        <f t="shared" si="252"/>
        <v>0</v>
      </c>
      <c r="V547" s="396">
        <f t="shared" si="255"/>
        <v>0</v>
      </c>
      <c r="W547" s="98">
        <f t="shared" si="256"/>
        <v>0</v>
      </c>
      <c r="X547" s="98">
        <f t="shared" si="253"/>
        <v>0</v>
      </c>
      <c r="Z547" s="104"/>
      <c r="AA547" s="98">
        <f t="shared" si="254"/>
        <v>0</v>
      </c>
    </row>
    <row r="548" spans="1:27" hidden="1" x14ac:dyDescent="0.3">
      <c r="A548" s="98">
        <v>7</v>
      </c>
      <c r="B548" s="42"/>
      <c r="C548" s="42"/>
      <c r="D548" s="41"/>
      <c r="E548" s="104"/>
      <c r="F548" s="104"/>
      <c r="G548" s="104"/>
      <c r="H548" s="104"/>
      <c r="I548" s="104"/>
      <c r="J548" s="104"/>
      <c r="K548" s="104"/>
      <c r="L548" s="104"/>
      <c r="M548" s="317"/>
      <c r="N548" s="309">
        <f t="shared" si="245"/>
        <v>0</v>
      </c>
      <c r="O548" s="98">
        <f t="shared" si="246"/>
        <v>0</v>
      </c>
      <c r="P548" s="98">
        <f t="shared" si="247"/>
        <v>0</v>
      </c>
      <c r="Q548" s="98">
        <f t="shared" si="248"/>
        <v>0</v>
      </c>
      <c r="R548" s="98">
        <f t="shared" si="249"/>
        <v>0</v>
      </c>
      <c r="S548" s="98">
        <f t="shared" si="250"/>
        <v>0</v>
      </c>
      <c r="T548" s="98">
        <f t="shared" si="251"/>
        <v>0</v>
      </c>
      <c r="U548" s="98">
        <f t="shared" si="252"/>
        <v>0</v>
      </c>
      <c r="V548" s="396">
        <f t="shared" si="255"/>
        <v>0</v>
      </c>
      <c r="W548" s="98">
        <f t="shared" si="256"/>
        <v>0</v>
      </c>
      <c r="X548" s="98">
        <f t="shared" si="253"/>
        <v>0</v>
      </c>
      <c r="Z548" s="104"/>
      <c r="AA548" s="98">
        <f t="shared" si="254"/>
        <v>0</v>
      </c>
    </row>
    <row r="549" spans="1:27" hidden="1" x14ac:dyDescent="0.3">
      <c r="A549" s="98">
        <v>8</v>
      </c>
      <c r="B549" s="42"/>
      <c r="C549" s="42"/>
      <c r="D549" s="41"/>
      <c r="E549" s="104"/>
      <c r="F549" s="104"/>
      <c r="G549" s="104"/>
      <c r="H549" s="104"/>
      <c r="I549" s="104"/>
      <c r="J549" s="104"/>
      <c r="K549" s="104"/>
      <c r="L549" s="104"/>
      <c r="M549" s="317"/>
      <c r="N549" s="309">
        <f t="shared" si="245"/>
        <v>0</v>
      </c>
      <c r="O549" s="98">
        <f t="shared" si="246"/>
        <v>0</v>
      </c>
      <c r="P549" s="98">
        <f t="shared" si="247"/>
        <v>0</v>
      </c>
      <c r="Q549" s="98">
        <f t="shared" si="248"/>
        <v>0</v>
      </c>
      <c r="R549" s="98">
        <f t="shared" si="249"/>
        <v>0</v>
      </c>
      <c r="S549" s="98">
        <f t="shared" si="250"/>
        <v>0</v>
      </c>
      <c r="T549" s="98">
        <f t="shared" si="251"/>
        <v>0</v>
      </c>
      <c r="U549" s="98">
        <f t="shared" si="252"/>
        <v>0</v>
      </c>
      <c r="V549" s="396">
        <f t="shared" si="255"/>
        <v>0</v>
      </c>
      <c r="W549" s="98">
        <f t="shared" si="256"/>
        <v>0</v>
      </c>
      <c r="X549" s="98">
        <f t="shared" si="253"/>
        <v>0</v>
      </c>
      <c r="Z549" s="104"/>
      <c r="AA549" s="98">
        <f t="shared" si="254"/>
        <v>0</v>
      </c>
    </row>
    <row r="550" spans="1:27" hidden="1" x14ac:dyDescent="0.3">
      <c r="A550" s="98">
        <v>9</v>
      </c>
      <c r="B550" s="42"/>
      <c r="C550" s="42"/>
      <c r="D550" s="41"/>
      <c r="E550" s="104"/>
      <c r="F550" s="104"/>
      <c r="G550" s="104"/>
      <c r="H550" s="104"/>
      <c r="I550" s="104"/>
      <c r="J550" s="104"/>
      <c r="K550" s="104"/>
      <c r="L550" s="104"/>
      <c r="M550" s="317"/>
      <c r="N550" s="309">
        <f t="shared" si="245"/>
        <v>0</v>
      </c>
      <c r="O550" s="98">
        <f t="shared" si="246"/>
        <v>0</v>
      </c>
      <c r="P550" s="98">
        <f t="shared" si="247"/>
        <v>0</v>
      </c>
      <c r="Q550" s="98">
        <f t="shared" si="248"/>
        <v>0</v>
      </c>
      <c r="R550" s="98">
        <f t="shared" si="249"/>
        <v>0</v>
      </c>
      <c r="S550" s="98">
        <f t="shared" si="250"/>
        <v>0</v>
      </c>
      <c r="T550" s="98">
        <f t="shared" si="251"/>
        <v>0</v>
      </c>
      <c r="U550" s="98">
        <f t="shared" si="252"/>
        <v>0</v>
      </c>
      <c r="V550" s="396">
        <f t="shared" si="255"/>
        <v>0</v>
      </c>
      <c r="W550" s="98">
        <f t="shared" si="256"/>
        <v>0</v>
      </c>
      <c r="X550" s="98">
        <f t="shared" si="253"/>
        <v>0</v>
      </c>
      <c r="Z550" s="104"/>
      <c r="AA550" s="98">
        <f t="shared" si="254"/>
        <v>0</v>
      </c>
    </row>
    <row r="551" spans="1:27" hidden="1" x14ac:dyDescent="0.3">
      <c r="A551" s="98">
        <v>10</v>
      </c>
      <c r="B551" s="42"/>
      <c r="C551" s="42"/>
      <c r="D551" s="41"/>
      <c r="E551" s="104"/>
      <c r="F551" s="104"/>
      <c r="G551" s="104"/>
      <c r="H551" s="104"/>
      <c r="I551" s="104"/>
      <c r="J551" s="104"/>
      <c r="K551" s="104"/>
      <c r="L551" s="104"/>
      <c r="M551" s="317"/>
      <c r="N551" s="309">
        <f t="shared" si="245"/>
        <v>0</v>
      </c>
      <c r="O551" s="98">
        <f t="shared" si="246"/>
        <v>0</v>
      </c>
      <c r="P551" s="98">
        <f t="shared" si="247"/>
        <v>0</v>
      </c>
      <c r="Q551" s="98">
        <f t="shared" si="248"/>
        <v>0</v>
      </c>
      <c r="R551" s="98">
        <f t="shared" si="249"/>
        <v>0</v>
      </c>
      <c r="S551" s="98">
        <f t="shared" si="250"/>
        <v>0</v>
      </c>
      <c r="T551" s="98">
        <f t="shared" si="251"/>
        <v>0</v>
      </c>
      <c r="U551" s="98">
        <f t="shared" si="252"/>
        <v>0</v>
      </c>
      <c r="V551" s="396">
        <f t="shared" si="255"/>
        <v>0</v>
      </c>
      <c r="W551" s="98">
        <f t="shared" si="256"/>
        <v>0</v>
      </c>
      <c r="X551" s="98">
        <f t="shared" si="253"/>
        <v>0</v>
      </c>
      <c r="Z551" s="104"/>
      <c r="AA551" s="98">
        <f t="shared" si="254"/>
        <v>0</v>
      </c>
    </row>
    <row r="552" spans="1:27" hidden="1" x14ac:dyDescent="0.3">
      <c r="A552" s="98">
        <v>11</v>
      </c>
      <c r="B552" s="42"/>
      <c r="C552" s="42"/>
      <c r="D552" s="41"/>
      <c r="E552" s="104"/>
      <c r="F552" s="104"/>
      <c r="G552" s="104"/>
      <c r="H552" s="104"/>
      <c r="I552" s="104"/>
      <c r="J552" s="104"/>
      <c r="K552" s="104"/>
      <c r="L552" s="104"/>
      <c r="M552" s="317"/>
      <c r="N552" s="309">
        <f t="shared" si="245"/>
        <v>0</v>
      </c>
      <c r="O552" s="98">
        <f t="shared" si="246"/>
        <v>0</v>
      </c>
      <c r="P552" s="98">
        <f t="shared" si="247"/>
        <v>0</v>
      </c>
      <c r="Q552" s="98">
        <f t="shared" si="248"/>
        <v>0</v>
      </c>
      <c r="R552" s="98">
        <f t="shared" si="249"/>
        <v>0</v>
      </c>
      <c r="S552" s="98">
        <f t="shared" si="250"/>
        <v>0</v>
      </c>
      <c r="T552" s="98">
        <f t="shared" si="251"/>
        <v>0</v>
      </c>
      <c r="U552" s="98">
        <f t="shared" si="252"/>
        <v>0</v>
      </c>
      <c r="V552" s="396">
        <f t="shared" si="255"/>
        <v>0</v>
      </c>
      <c r="W552" s="98">
        <f t="shared" si="256"/>
        <v>0</v>
      </c>
      <c r="X552" s="98">
        <f t="shared" si="253"/>
        <v>0</v>
      </c>
      <c r="Z552" s="104"/>
      <c r="AA552" s="98">
        <f t="shared" si="254"/>
        <v>0</v>
      </c>
    </row>
    <row r="553" spans="1:27" hidden="1" x14ac:dyDescent="0.3">
      <c r="A553" s="98">
        <v>12</v>
      </c>
      <c r="B553" s="42"/>
      <c r="C553" s="42"/>
      <c r="D553" s="41"/>
      <c r="E553" s="104"/>
      <c r="F553" s="104"/>
      <c r="G553" s="104"/>
      <c r="H553" s="104"/>
      <c r="I553" s="104"/>
      <c r="J553" s="104"/>
      <c r="K553" s="104"/>
      <c r="L553" s="104"/>
      <c r="M553" s="317"/>
      <c r="N553" s="309">
        <f t="shared" si="245"/>
        <v>0</v>
      </c>
      <c r="O553" s="98">
        <f t="shared" si="246"/>
        <v>0</v>
      </c>
      <c r="P553" s="98">
        <f t="shared" si="247"/>
        <v>0</v>
      </c>
      <c r="Q553" s="98">
        <f t="shared" si="248"/>
        <v>0</v>
      </c>
      <c r="R553" s="98">
        <f t="shared" si="249"/>
        <v>0</v>
      </c>
      <c r="S553" s="98">
        <f t="shared" si="250"/>
        <v>0</v>
      </c>
      <c r="T553" s="98">
        <f t="shared" si="251"/>
        <v>0</v>
      </c>
      <c r="U553" s="98">
        <f t="shared" si="252"/>
        <v>0</v>
      </c>
      <c r="V553" s="396">
        <f t="shared" si="255"/>
        <v>0</v>
      </c>
      <c r="W553" s="98">
        <f t="shared" si="256"/>
        <v>0</v>
      </c>
      <c r="X553" s="98">
        <f t="shared" si="253"/>
        <v>0</v>
      </c>
      <c r="Z553" s="104"/>
      <c r="AA553" s="98">
        <f t="shared" si="254"/>
        <v>0</v>
      </c>
    </row>
    <row r="554" spans="1:27" hidden="1" x14ac:dyDescent="0.3">
      <c r="A554" s="98">
        <v>13</v>
      </c>
      <c r="B554" s="42"/>
      <c r="C554" s="42"/>
      <c r="D554" s="41"/>
      <c r="E554" s="104"/>
      <c r="F554" s="104"/>
      <c r="G554" s="104"/>
      <c r="H554" s="104"/>
      <c r="I554" s="104"/>
      <c r="J554" s="104"/>
      <c r="K554" s="104"/>
      <c r="L554" s="104"/>
      <c r="M554" s="317"/>
      <c r="N554" s="309">
        <f t="shared" si="245"/>
        <v>0</v>
      </c>
      <c r="O554" s="98">
        <f t="shared" si="246"/>
        <v>0</v>
      </c>
      <c r="P554" s="98">
        <f t="shared" si="247"/>
        <v>0</v>
      </c>
      <c r="Q554" s="98">
        <f t="shared" si="248"/>
        <v>0</v>
      </c>
      <c r="R554" s="98">
        <f t="shared" si="249"/>
        <v>0</v>
      </c>
      <c r="S554" s="98">
        <f t="shared" si="250"/>
        <v>0</v>
      </c>
      <c r="T554" s="98">
        <f t="shared" si="251"/>
        <v>0</v>
      </c>
      <c r="U554" s="98">
        <f t="shared" si="252"/>
        <v>0</v>
      </c>
      <c r="V554" s="396">
        <f t="shared" si="255"/>
        <v>0</v>
      </c>
      <c r="W554" s="98">
        <f t="shared" si="256"/>
        <v>0</v>
      </c>
      <c r="X554" s="98">
        <f t="shared" si="253"/>
        <v>0</v>
      </c>
      <c r="Z554" s="104"/>
      <c r="AA554" s="98">
        <f t="shared" si="254"/>
        <v>0</v>
      </c>
    </row>
    <row r="555" spans="1:27" hidden="1" x14ac:dyDescent="0.3">
      <c r="A555" s="98">
        <v>14</v>
      </c>
      <c r="B555" s="42"/>
      <c r="C555" s="42"/>
      <c r="D555" s="41"/>
      <c r="E555" s="104"/>
      <c r="F555" s="104"/>
      <c r="G555" s="104"/>
      <c r="H555" s="104"/>
      <c r="I555" s="104"/>
      <c r="J555" s="104"/>
      <c r="K555" s="104"/>
      <c r="L555" s="104"/>
      <c r="M555" s="317"/>
      <c r="N555" s="309">
        <f t="shared" si="245"/>
        <v>0</v>
      </c>
      <c r="O555" s="98">
        <f t="shared" si="246"/>
        <v>0</v>
      </c>
      <c r="P555" s="98">
        <f t="shared" si="247"/>
        <v>0</v>
      </c>
      <c r="Q555" s="98">
        <f t="shared" si="248"/>
        <v>0</v>
      </c>
      <c r="R555" s="98">
        <f t="shared" si="249"/>
        <v>0</v>
      </c>
      <c r="S555" s="98">
        <f t="shared" si="250"/>
        <v>0</v>
      </c>
      <c r="T555" s="98">
        <f t="shared" si="251"/>
        <v>0</v>
      </c>
      <c r="U555" s="98">
        <f t="shared" si="252"/>
        <v>0</v>
      </c>
      <c r="V555" s="396">
        <f t="shared" si="255"/>
        <v>0</v>
      </c>
      <c r="W555" s="98">
        <f t="shared" si="256"/>
        <v>0</v>
      </c>
      <c r="X555" s="98">
        <f t="shared" si="253"/>
        <v>0</v>
      </c>
      <c r="Z555" s="104"/>
      <c r="AA555" s="98">
        <f t="shared" si="254"/>
        <v>0</v>
      </c>
    </row>
    <row r="556" spans="1:27" hidden="1" x14ac:dyDescent="0.3">
      <c r="A556" s="98">
        <v>15</v>
      </c>
      <c r="B556" s="42"/>
      <c r="C556" s="42"/>
      <c r="D556" s="41"/>
      <c r="E556" s="104"/>
      <c r="F556" s="104"/>
      <c r="G556" s="104"/>
      <c r="H556" s="104"/>
      <c r="I556" s="104"/>
      <c r="J556" s="104"/>
      <c r="K556" s="104"/>
      <c r="L556" s="104"/>
      <c r="M556" s="317"/>
      <c r="N556" s="309">
        <f t="shared" si="245"/>
        <v>0</v>
      </c>
      <c r="O556" s="98">
        <f t="shared" si="246"/>
        <v>0</v>
      </c>
      <c r="P556" s="98">
        <f t="shared" si="247"/>
        <v>0</v>
      </c>
      <c r="Q556" s="98">
        <f t="shared" si="248"/>
        <v>0</v>
      </c>
      <c r="R556" s="98">
        <f t="shared" si="249"/>
        <v>0</v>
      </c>
      <c r="S556" s="98">
        <f t="shared" si="250"/>
        <v>0</v>
      </c>
      <c r="T556" s="98">
        <f t="shared" si="251"/>
        <v>0</v>
      </c>
      <c r="U556" s="98">
        <f t="shared" si="252"/>
        <v>0</v>
      </c>
      <c r="V556" s="396">
        <f t="shared" si="255"/>
        <v>0</v>
      </c>
      <c r="W556" s="98">
        <f t="shared" si="256"/>
        <v>0</v>
      </c>
      <c r="X556" s="98">
        <f t="shared" si="253"/>
        <v>0</v>
      </c>
      <c r="Z556" s="104"/>
      <c r="AA556" s="98">
        <f t="shared" si="254"/>
        <v>0</v>
      </c>
    </row>
    <row r="557" spans="1:27" hidden="1" x14ac:dyDescent="0.3">
      <c r="A557" s="98">
        <v>16</v>
      </c>
      <c r="B557" s="42"/>
      <c r="C557" s="42"/>
      <c r="D557" s="41"/>
      <c r="E557" s="104"/>
      <c r="F557" s="104"/>
      <c r="G557" s="104"/>
      <c r="H557" s="104"/>
      <c r="I557" s="104"/>
      <c r="J557" s="104"/>
      <c r="K557" s="104"/>
      <c r="L557" s="104"/>
      <c r="M557" s="317"/>
      <c r="N557" s="309">
        <f t="shared" si="245"/>
        <v>0</v>
      </c>
      <c r="O557" s="98">
        <f t="shared" si="246"/>
        <v>0</v>
      </c>
      <c r="P557" s="98">
        <f t="shared" si="247"/>
        <v>0</v>
      </c>
      <c r="Q557" s="98">
        <f t="shared" si="248"/>
        <v>0</v>
      </c>
      <c r="R557" s="98">
        <f t="shared" si="249"/>
        <v>0</v>
      </c>
      <c r="S557" s="98">
        <f t="shared" si="250"/>
        <v>0</v>
      </c>
      <c r="T557" s="98">
        <f t="shared" si="251"/>
        <v>0</v>
      </c>
      <c r="U557" s="98">
        <f t="shared" si="252"/>
        <v>0</v>
      </c>
      <c r="V557" s="396">
        <f t="shared" si="255"/>
        <v>0</v>
      </c>
      <c r="W557" s="98">
        <f t="shared" si="256"/>
        <v>0</v>
      </c>
      <c r="X557" s="98">
        <f t="shared" si="253"/>
        <v>0</v>
      </c>
      <c r="Z557" s="104"/>
      <c r="AA557" s="98">
        <f t="shared" si="254"/>
        <v>0</v>
      </c>
    </row>
    <row r="558" spans="1:27" hidden="1" x14ac:dyDescent="0.3">
      <c r="A558" s="98">
        <v>17</v>
      </c>
      <c r="B558" s="42"/>
      <c r="C558" s="42"/>
      <c r="D558" s="41"/>
      <c r="E558" s="104"/>
      <c r="F558" s="104"/>
      <c r="G558" s="104"/>
      <c r="H558" s="104"/>
      <c r="I558" s="104"/>
      <c r="J558" s="104"/>
      <c r="K558" s="104"/>
      <c r="L558" s="104"/>
      <c r="M558" s="317"/>
      <c r="N558" s="309">
        <f t="shared" si="245"/>
        <v>0</v>
      </c>
      <c r="O558" s="98">
        <f t="shared" si="246"/>
        <v>0</v>
      </c>
      <c r="P558" s="98">
        <f t="shared" si="247"/>
        <v>0</v>
      </c>
      <c r="Q558" s="98">
        <f t="shared" si="248"/>
        <v>0</v>
      </c>
      <c r="R558" s="98">
        <f t="shared" si="249"/>
        <v>0</v>
      </c>
      <c r="S558" s="98">
        <f t="shared" si="250"/>
        <v>0</v>
      </c>
      <c r="T558" s="98">
        <f t="shared" si="251"/>
        <v>0</v>
      </c>
      <c r="U558" s="98">
        <f t="shared" si="252"/>
        <v>0</v>
      </c>
      <c r="V558" s="396">
        <f t="shared" si="255"/>
        <v>0</v>
      </c>
      <c r="W558" s="98">
        <f t="shared" si="256"/>
        <v>0</v>
      </c>
      <c r="X558" s="98">
        <f t="shared" si="253"/>
        <v>0</v>
      </c>
      <c r="Z558" s="104"/>
      <c r="AA558" s="98">
        <f t="shared" si="254"/>
        <v>0</v>
      </c>
    </row>
    <row r="559" spans="1:27" hidden="1" x14ac:dyDescent="0.3">
      <c r="A559" s="98">
        <v>18</v>
      </c>
      <c r="B559" s="42"/>
      <c r="C559" s="42"/>
      <c r="D559" s="41"/>
      <c r="E559" s="104"/>
      <c r="F559" s="104"/>
      <c r="G559" s="104"/>
      <c r="H559" s="104"/>
      <c r="I559" s="104"/>
      <c r="J559" s="104"/>
      <c r="K559" s="104"/>
      <c r="L559" s="104"/>
      <c r="M559" s="317"/>
      <c r="N559" s="309">
        <f t="shared" si="245"/>
        <v>0</v>
      </c>
      <c r="O559" s="98">
        <f t="shared" si="246"/>
        <v>0</v>
      </c>
      <c r="P559" s="98">
        <f t="shared" si="247"/>
        <v>0</v>
      </c>
      <c r="Q559" s="98">
        <f t="shared" si="248"/>
        <v>0</v>
      </c>
      <c r="R559" s="98">
        <f t="shared" si="249"/>
        <v>0</v>
      </c>
      <c r="S559" s="98">
        <f t="shared" si="250"/>
        <v>0</v>
      </c>
      <c r="T559" s="98">
        <f t="shared" si="251"/>
        <v>0</v>
      </c>
      <c r="U559" s="98">
        <f t="shared" si="252"/>
        <v>0</v>
      </c>
      <c r="V559" s="396">
        <f t="shared" si="255"/>
        <v>0</v>
      </c>
      <c r="W559" s="98">
        <f t="shared" si="256"/>
        <v>0</v>
      </c>
      <c r="X559" s="98">
        <f t="shared" si="253"/>
        <v>0</v>
      </c>
      <c r="Z559" s="104"/>
      <c r="AA559" s="98">
        <f t="shared" si="254"/>
        <v>0</v>
      </c>
    </row>
    <row r="560" spans="1:27" hidden="1" x14ac:dyDescent="0.3">
      <c r="A560" s="98">
        <v>19</v>
      </c>
      <c r="B560" s="42"/>
      <c r="C560" s="42"/>
      <c r="D560" s="41"/>
      <c r="E560" s="104"/>
      <c r="F560" s="104"/>
      <c r="G560" s="104"/>
      <c r="H560" s="104"/>
      <c r="I560" s="104"/>
      <c r="J560" s="104"/>
      <c r="K560" s="104"/>
      <c r="L560" s="104"/>
      <c r="M560" s="317"/>
      <c r="N560" s="309">
        <f t="shared" si="245"/>
        <v>0</v>
      </c>
      <c r="O560" s="98">
        <f t="shared" si="246"/>
        <v>0</v>
      </c>
      <c r="P560" s="98">
        <f t="shared" si="247"/>
        <v>0</v>
      </c>
      <c r="Q560" s="98">
        <f t="shared" si="248"/>
        <v>0</v>
      </c>
      <c r="R560" s="98">
        <f t="shared" si="249"/>
        <v>0</v>
      </c>
      <c r="S560" s="98">
        <f t="shared" si="250"/>
        <v>0</v>
      </c>
      <c r="T560" s="98">
        <f t="shared" si="251"/>
        <v>0</v>
      </c>
      <c r="U560" s="98">
        <f t="shared" si="252"/>
        <v>0</v>
      </c>
      <c r="V560" s="396">
        <f t="shared" si="255"/>
        <v>0</v>
      </c>
      <c r="W560" s="98">
        <f t="shared" si="256"/>
        <v>0</v>
      </c>
      <c r="X560" s="98">
        <f t="shared" si="253"/>
        <v>0</v>
      </c>
      <c r="Z560" s="104"/>
      <c r="AA560" s="98">
        <f t="shared" si="254"/>
        <v>0</v>
      </c>
    </row>
    <row r="561" spans="1:27" hidden="1" x14ac:dyDescent="0.3">
      <c r="A561" s="98">
        <v>20</v>
      </c>
      <c r="B561" s="42"/>
      <c r="C561" s="42"/>
      <c r="D561" s="41"/>
      <c r="E561" s="104"/>
      <c r="F561" s="104"/>
      <c r="G561" s="104"/>
      <c r="H561" s="104"/>
      <c r="I561" s="104"/>
      <c r="J561" s="104"/>
      <c r="K561" s="104"/>
      <c r="L561" s="104"/>
      <c r="M561" s="317"/>
      <c r="N561" s="309">
        <f t="shared" si="245"/>
        <v>0</v>
      </c>
      <c r="O561" s="98">
        <f t="shared" si="246"/>
        <v>0</v>
      </c>
      <c r="P561" s="98">
        <f t="shared" si="247"/>
        <v>0</v>
      </c>
      <c r="Q561" s="98">
        <f t="shared" si="248"/>
        <v>0</v>
      </c>
      <c r="R561" s="98">
        <f t="shared" si="249"/>
        <v>0</v>
      </c>
      <c r="S561" s="98">
        <f t="shared" si="250"/>
        <v>0</v>
      </c>
      <c r="T561" s="98">
        <f t="shared" si="251"/>
        <v>0</v>
      </c>
      <c r="U561" s="98">
        <f t="shared" si="252"/>
        <v>0</v>
      </c>
      <c r="V561" s="396">
        <f t="shared" si="255"/>
        <v>0</v>
      </c>
      <c r="W561" s="98">
        <f t="shared" si="256"/>
        <v>0</v>
      </c>
      <c r="X561" s="98">
        <f t="shared" si="253"/>
        <v>0</v>
      </c>
      <c r="Z561" s="104"/>
      <c r="AA561" s="98">
        <f t="shared" si="254"/>
        <v>0</v>
      </c>
    </row>
    <row r="562" spans="1:27" hidden="1" x14ac:dyDescent="0.3">
      <c r="A562" s="98">
        <v>21</v>
      </c>
      <c r="B562" s="42"/>
      <c r="C562" s="42"/>
      <c r="D562" s="41"/>
      <c r="E562" s="104"/>
      <c r="F562" s="104"/>
      <c r="G562" s="104"/>
      <c r="H562" s="104"/>
      <c r="I562" s="104"/>
      <c r="J562" s="104"/>
      <c r="K562" s="104"/>
      <c r="L562" s="104"/>
      <c r="M562" s="317"/>
      <c r="N562" s="309">
        <f t="shared" si="245"/>
        <v>0</v>
      </c>
      <c r="O562" s="98">
        <f t="shared" si="246"/>
        <v>0</v>
      </c>
      <c r="P562" s="98">
        <f t="shared" si="247"/>
        <v>0</v>
      </c>
      <c r="Q562" s="98">
        <f t="shared" si="248"/>
        <v>0</v>
      </c>
      <c r="R562" s="98">
        <f t="shared" si="249"/>
        <v>0</v>
      </c>
      <c r="S562" s="98">
        <f t="shared" si="250"/>
        <v>0</v>
      </c>
      <c r="T562" s="98">
        <f t="shared" si="251"/>
        <v>0</v>
      </c>
      <c r="U562" s="98">
        <f t="shared" si="252"/>
        <v>0</v>
      </c>
      <c r="V562" s="396">
        <f t="shared" si="255"/>
        <v>0</v>
      </c>
      <c r="W562" s="98">
        <f t="shared" si="256"/>
        <v>0</v>
      </c>
      <c r="X562" s="98">
        <f t="shared" si="253"/>
        <v>0</v>
      </c>
      <c r="Z562" s="104"/>
      <c r="AA562" s="98">
        <f t="shared" si="254"/>
        <v>0</v>
      </c>
    </row>
    <row r="563" spans="1:27" hidden="1" x14ac:dyDescent="0.3">
      <c r="A563" s="98">
        <v>22</v>
      </c>
      <c r="B563" s="42"/>
      <c r="C563" s="42"/>
      <c r="D563" s="41"/>
      <c r="E563" s="104"/>
      <c r="F563" s="104"/>
      <c r="G563" s="104"/>
      <c r="H563" s="104"/>
      <c r="I563" s="104"/>
      <c r="J563" s="104"/>
      <c r="K563" s="104"/>
      <c r="L563" s="104"/>
      <c r="M563" s="317"/>
      <c r="N563" s="309">
        <f t="shared" si="245"/>
        <v>0</v>
      </c>
      <c r="O563" s="98">
        <f t="shared" si="246"/>
        <v>0</v>
      </c>
      <c r="P563" s="98">
        <f t="shared" si="247"/>
        <v>0</v>
      </c>
      <c r="Q563" s="98">
        <f t="shared" si="248"/>
        <v>0</v>
      </c>
      <c r="R563" s="98">
        <f t="shared" si="249"/>
        <v>0</v>
      </c>
      <c r="S563" s="98">
        <f t="shared" si="250"/>
        <v>0</v>
      </c>
      <c r="T563" s="98">
        <f t="shared" si="251"/>
        <v>0</v>
      </c>
      <c r="U563" s="98">
        <f t="shared" si="252"/>
        <v>0</v>
      </c>
      <c r="V563" s="396">
        <f t="shared" si="255"/>
        <v>0</v>
      </c>
      <c r="W563" s="98">
        <f t="shared" si="256"/>
        <v>0</v>
      </c>
      <c r="X563" s="98">
        <f t="shared" si="253"/>
        <v>0</v>
      </c>
      <c r="Z563" s="104"/>
      <c r="AA563" s="98">
        <f t="shared" si="254"/>
        <v>0</v>
      </c>
    </row>
    <row r="564" spans="1:27" hidden="1" x14ac:dyDescent="0.3">
      <c r="A564" s="98">
        <v>23</v>
      </c>
      <c r="B564" s="42"/>
      <c r="C564" s="42"/>
      <c r="D564" s="41"/>
      <c r="E564" s="104"/>
      <c r="F564" s="104"/>
      <c r="G564" s="104"/>
      <c r="H564" s="104"/>
      <c r="I564" s="104"/>
      <c r="J564" s="104"/>
      <c r="K564" s="104"/>
      <c r="L564" s="104"/>
      <c r="M564" s="317"/>
      <c r="N564" s="309">
        <f t="shared" si="245"/>
        <v>0</v>
      </c>
      <c r="O564" s="98">
        <f t="shared" si="246"/>
        <v>0</v>
      </c>
      <c r="P564" s="98">
        <f t="shared" si="247"/>
        <v>0</v>
      </c>
      <c r="Q564" s="98">
        <f t="shared" si="248"/>
        <v>0</v>
      </c>
      <c r="R564" s="98">
        <f t="shared" si="249"/>
        <v>0</v>
      </c>
      <c r="S564" s="98">
        <f t="shared" si="250"/>
        <v>0</v>
      </c>
      <c r="T564" s="98">
        <f t="shared" si="251"/>
        <v>0</v>
      </c>
      <c r="U564" s="98">
        <f t="shared" si="252"/>
        <v>0</v>
      </c>
      <c r="V564" s="396">
        <f t="shared" si="255"/>
        <v>0</v>
      </c>
      <c r="W564" s="98">
        <f t="shared" si="256"/>
        <v>0</v>
      </c>
      <c r="X564" s="98">
        <f t="shared" si="253"/>
        <v>0</v>
      </c>
      <c r="Z564" s="104"/>
      <c r="AA564" s="98">
        <f t="shared" si="254"/>
        <v>0</v>
      </c>
    </row>
    <row r="565" spans="1:27" hidden="1" x14ac:dyDescent="0.3">
      <c r="A565" s="98">
        <v>24</v>
      </c>
      <c r="B565" s="42"/>
      <c r="C565" s="42"/>
      <c r="D565" s="41"/>
      <c r="E565" s="104"/>
      <c r="F565" s="104"/>
      <c r="G565" s="104"/>
      <c r="H565" s="104"/>
      <c r="I565" s="104"/>
      <c r="J565" s="104"/>
      <c r="K565" s="104"/>
      <c r="L565" s="104"/>
      <c r="M565" s="317"/>
      <c r="N565" s="309">
        <f t="shared" si="245"/>
        <v>0</v>
      </c>
      <c r="O565" s="98">
        <f t="shared" si="246"/>
        <v>0</v>
      </c>
      <c r="P565" s="98">
        <f t="shared" si="247"/>
        <v>0</v>
      </c>
      <c r="Q565" s="98">
        <f t="shared" si="248"/>
        <v>0</v>
      </c>
      <c r="R565" s="98">
        <f t="shared" si="249"/>
        <v>0</v>
      </c>
      <c r="S565" s="98">
        <f t="shared" si="250"/>
        <v>0</v>
      </c>
      <c r="T565" s="98">
        <f t="shared" si="251"/>
        <v>0</v>
      </c>
      <c r="U565" s="98">
        <f t="shared" si="252"/>
        <v>0</v>
      </c>
      <c r="V565" s="396">
        <f t="shared" si="255"/>
        <v>0</v>
      </c>
      <c r="W565" s="98">
        <f t="shared" si="256"/>
        <v>0</v>
      </c>
      <c r="X565" s="98">
        <f t="shared" si="253"/>
        <v>0</v>
      </c>
      <c r="Z565" s="104"/>
      <c r="AA565" s="98">
        <f t="shared" si="254"/>
        <v>0</v>
      </c>
    </row>
    <row r="566" spans="1:27" hidden="1" x14ac:dyDescent="0.3">
      <c r="A566" s="98">
        <v>25</v>
      </c>
      <c r="B566" s="42"/>
      <c r="C566" s="42"/>
      <c r="D566" s="41"/>
      <c r="E566" s="104"/>
      <c r="F566" s="104"/>
      <c r="G566" s="104"/>
      <c r="H566" s="104"/>
      <c r="I566" s="104"/>
      <c r="J566" s="104"/>
      <c r="K566" s="104"/>
      <c r="L566" s="104"/>
      <c r="M566" s="317"/>
      <c r="N566" s="309">
        <f t="shared" si="245"/>
        <v>0</v>
      </c>
      <c r="O566" s="98">
        <f t="shared" si="246"/>
        <v>0</v>
      </c>
      <c r="P566" s="98">
        <f t="shared" si="247"/>
        <v>0</v>
      </c>
      <c r="Q566" s="98">
        <f t="shared" si="248"/>
        <v>0</v>
      </c>
      <c r="R566" s="98">
        <f t="shared" si="249"/>
        <v>0</v>
      </c>
      <c r="S566" s="98">
        <f t="shared" si="250"/>
        <v>0</v>
      </c>
      <c r="T566" s="98">
        <f t="shared" si="251"/>
        <v>0</v>
      </c>
      <c r="U566" s="98">
        <f t="shared" si="252"/>
        <v>0</v>
      </c>
      <c r="V566" s="396">
        <f t="shared" si="255"/>
        <v>0</v>
      </c>
      <c r="W566" s="98">
        <f t="shared" si="256"/>
        <v>0</v>
      </c>
      <c r="X566" s="98">
        <f t="shared" si="253"/>
        <v>0</v>
      </c>
      <c r="Z566" s="104"/>
      <c r="AA566" s="98">
        <f t="shared" si="254"/>
        <v>0</v>
      </c>
    </row>
    <row r="567" spans="1:27" hidden="1" x14ac:dyDescent="0.3">
      <c r="A567" s="98">
        <v>26</v>
      </c>
      <c r="B567" s="42"/>
      <c r="C567" s="42"/>
      <c r="D567" s="41"/>
      <c r="E567" s="104"/>
      <c r="F567" s="104"/>
      <c r="G567" s="104"/>
      <c r="H567" s="104"/>
      <c r="I567" s="104"/>
      <c r="J567" s="104"/>
      <c r="K567" s="104"/>
      <c r="L567" s="104"/>
      <c r="M567" s="317"/>
      <c r="N567" s="309">
        <f t="shared" si="245"/>
        <v>0</v>
      </c>
      <c r="O567" s="98">
        <f t="shared" si="246"/>
        <v>0</v>
      </c>
      <c r="P567" s="98">
        <f t="shared" si="247"/>
        <v>0</v>
      </c>
      <c r="Q567" s="98">
        <f t="shared" si="248"/>
        <v>0</v>
      </c>
      <c r="R567" s="98">
        <f t="shared" si="249"/>
        <v>0</v>
      </c>
      <c r="S567" s="98">
        <f t="shared" si="250"/>
        <v>0</v>
      </c>
      <c r="T567" s="98">
        <f t="shared" si="251"/>
        <v>0</v>
      </c>
      <c r="U567" s="98">
        <f t="shared" si="252"/>
        <v>0</v>
      </c>
      <c r="V567" s="396">
        <f t="shared" si="255"/>
        <v>0</v>
      </c>
      <c r="W567" s="98">
        <f t="shared" si="256"/>
        <v>0</v>
      </c>
      <c r="X567" s="98">
        <f t="shared" si="253"/>
        <v>0</v>
      </c>
      <c r="Z567" s="104"/>
      <c r="AA567" s="98">
        <f t="shared" si="254"/>
        <v>0</v>
      </c>
    </row>
    <row r="568" spans="1:27" hidden="1" x14ac:dyDescent="0.3">
      <c r="A568" s="98">
        <v>27</v>
      </c>
      <c r="B568" s="42"/>
      <c r="C568" s="42"/>
      <c r="D568" s="41"/>
      <c r="E568" s="104"/>
      <c r="F568" s="104"/>
      <c r="G568" s="104"/>
      <c r="H568" s="104"/>
      <c r="I568" s="104"/>
      <c r="J568" s="104"/>
      <c r="K568" s="104"/>
      <c r="L568" s="104"/>
      <c r="M568" s="317"/>
      <c r="N568" s="309">
        <f t="shared" si="245"/>
        <v>0</v>
      </c>
      <c r="O568" s="98">
        <f t="shared" si="246"/>
        <v>0</v>
      </c>
      <c r="P568" s="98">
        <f t="shared" si="247"/>
        <v>0</v>
      </c>
      <c r="Q568" s="98">
        <f t="shared" si="248"/>
        <v>0</v>
      </c>
      <c r="R568" s="98">
        <f t="shared" si="249"/>
        <v>0</v>
      </c>
      <c r="S568" s="98">
        <f t="shared" si="250"/>
        <v>0</v>
      </c>
      <c r="T568" s="98">
        <f t="shared" si="251"/>
        <v>0</v>
      </c>
      <c r="U568" s="98">
        <f t="shared" si="252"/>
        <v>0</v>
      </c>
      <c r="V568" s="396">
        <f t="shared" si="255"/>
        <v>0</v>
      </c>
      <c r="W568" s="98">
        <f t="shared" si="256"/>
        <v>0</v>
      </c>
      <c r="X568" s="98">
        <f t="shared" si="253"/>
        <v>0</v>
      </c>
      <c r="Z568" s="104"/>
      <c r="AA568" s="98">
        <f t="shared" si="254"/>
        <v>0</v>
      </c>
    </row>
    <row r="569" spans="1:27" hidden="1" x14ac:dyDescent="0.3">
      <c r="A569" s="98">
        <v>28</v>
      </c>
      <c r="B569" s="42"/>
      <c r="C569" s="42"/>
      <c r="D569" s="41"/>
      <c r="E569" s="104"/>
      <c r="F569" s="104"/>
      <c r="G569" s="104"/>
      <c r="H569" s="104"/>
      <c r="I569" s="104"/>
      <c r="J569" s="104"/>
      <c r="K569" s="104"/>
      <c r="L569" s="104"/>
      <c r="M569" s="317"/>
      <c r="N569" s="309">
        <f t="shared" si="245"/>
        <v>0</v>
      </c>
      <c r="O569" s="98">
        <f t="shared" si="246"/>
        <v>0</v>
      </c>
      <c r="P569" s="98">
        <f t="shared" si="247"/>
        <v>0</v>
      </c>
      <c r="Q569" s="98">
        <f t="shared" si="248"/>
        <v>0</v>
      </c>
      <c r="R569" s="98">
        <f t="shared" si="249"/>
        <v>0</v>
      </c>
      <c r="S569" s="98">
        <f t="shared" si="250"/>
        <v>0</v>
      </c>
      <c r="T569" s="98">
        <f t="shared" si="251"/>
        <v>0</v>
      </c>
      <c r="U569" s="98">
        <f t="shared" si="252"/>
        <v>0</v>
      </c>
      <c r="V569" s="396">
        <f t="shared" si="255"/>
        <v>0</v>
      </c>
      <c r="W569" s="98">
        <f t="shared" si="256"/>
        <v>0</v>
      </c>
      <c r="X569" s="98">
        <f t="shared" si="253"/>
        <v>0</v>
      </c>
      <c r="Z569" s="104"/>
      <c r="AA569" s="98">
        <f t="shared" si="254"/>
        <v>0</v>
      </c>
    </row>
    <row r="570" spans="1:27" hidden="1" x14ac:dyDescent="0.3">
      <c r="A570" s="98">
        <v>29</v>
      </c>
      <c r="B570" s="42"/>
      <c r="C570" s="42"/>
      <c r="D570" s="41"/>
      <c r="E570" s="104"/>
      <c r="F570" s="104"/>
      <c r="G570" s="104"/>
      <c r="H570" s="104"/>
      <c r="I570" s="104"/>
      <c r="J570" s="104"/>
      <c r="K570" s="104"/>
      <c r="L570" s="104"/>
      <c r="M570" s="317"/>
      <c r="N570" s="309">
        <f t="shared" si="245"/>
        <v>0</v>
      </c>
      <c r="O570" s="98">
        <f t="shared" si="246"/>
        <v>0</v>
      </c>
      <c r="P570" s="98">
        <f t="shared" si="247"/>
        <v>0</v>
      </c>
      <c r="Q570" s="98">
        <f t="shared" si="248"/>
        <v>0</v>
      </c>
      <c r="R570" s="98">
        <f t="shared" si="249"/>
        <v>0</v>
      </c>
      <c r="S570" s="98">
        <f t="shared" si="250"/>
        <v>0</v>
      </c>
      <c r="T570" s="98">
        <f t="shared" si="251"/>
        <v>0</v>
      </c>
      <c r="U570" s="98">
        <f t="shared" si="252"/>
        <v>0</v>
      </c>
      <c r="V570" s="396">
        <f t="shared" si="255"/>
        <v>0</v>
      </c>
      <c r="W570" s="98">
        <f t="shared" si="256"/>
        <v>0</v>
      </c>
      <c r="X570" s="98">
        <f t="shared" si="253"/>
        <v>0</v>
      </c>
      <c r="Z570" s="104"/>
      <c r="AA570" s="98">
        <f t="shared" si="254"/>
        <v>0</v>
      </c>
    </row>
    <row r="571" spans="1:27" hidden="1" x14ac:dyDescent="0.3">
      <c r="A571" s="98">
        <v>30</v>
      </c>
      <c r="B571" s="42"/>
      <c r="C571" s="42"/>
      <c r="D571" s="41"/>
      <c r="E571" s="104"/>
      <c r="F571" s="104"/>
      <c r="G571" s="104"/>
      <c r="H571" s="104"/>
      <c r="I571" s="104"/>
      <c r="J571" s="104"/>
      <c r="K571" s="104"/>
      <c r="L571" s="104"/>
      <c r="M571" s="317"/>
      <c r="N571" s="309">
        <f t="shared" si="245"/>
        <v>0</v>
      </c>
      <c r="O571" s="98">
        <f t="shared" si="246"/>
        <v>0</v>
      </c>
      <c r="P571" s="98">
        <f t="shared" si="247"/>
        <v>0</v>
      </c>
      <c r="Q571" s="98">
        <f t="shared" si="248"/>
        <v>0</v>
      </c>
      <c r="R571" s="98">
        <f t="shared" si="249"/>
        <v>0</v>
      </c>
      <c r="S571" s="98">
        <f t="shared" si="250"/>
        <v>0</v>
      </c>
      <c r="T571" s="98">
        <f t="shared" si="251"/>
        <v>0</v>
      </c>
      <c r="U571" s="98">
        <f t="shared" si="252"/>
        <v>0</v>
      </c>
      <c r="V571" s="396">
        <f t="shared" si="255"/>
        <v>0</v>
      </c>
      <c r="W571" s="98">
        <f t="shared" si="256"/>
        <v>0</v>
      </c>
      <c r="X571" s="98">
        <f t="shared" si="253"/>
        <v>0</v>
      </c>
      <c r="Z571" s="104"/>
      <c r="AA571" s="98">
        <f t="shared" si="254"/>
        <v>0</v>
      </c>
    </row>
    <row r="572" spans="1:27" hidden="1" x14ac:dyDescent="0.3">
      <c r="A572" s="98">
        <v>31</v>
      </c>
      <c r="B572" s="42"/>
      <c r="C572" s="42"/>
      <c r="D572" s="41"/>
      <c r="E572" s="104"/>
      <c r="F572" s="104"/>
      <c r="G572" s="104"/>
      <c r="H572" s="104"/>
      <c r="I572" s="104"/>
      <c r="J572" s="104"/>
      <c r="K572" s="104"/>
      <c r="L572" s="104"/>
      <c r="M572" s="317"/>
      <c r="N572" s="309">
        <f t="shared" si="245"/>
        <v>0</v>
      </c>
      <c r="O572" s="98">
        <f t="shared" si="246"/>
        <v>0</v>
      </c>
      <c r="P572" s="98">
        <f t="shared" si="247"/>
        <v>0</v>
      </c>
      <c r="Q572" s="98">
        <f t="shared" si="248"/>
        <v>0</v>
      </c>
      <c r="R572" s="98">
        <f t="shared" si="249"/>
        <v>0</v>
      </c>
      <c r="S572" s="98">
        <f t="shared" si="250"/>
        <v>0</v>
      </c>
      <c r="T572" s="98">
        <f t="shared" si="251"/>
        <v>0</v>
      </c>
      <c r="U572" s="98">
        <f t="shared" si="252"/>
        <v>0</v>
      </c>
      <c r="V572" s="396">
        <f t="shared" si="255"/>
        <v>0</v>
      </c>
      <c r="W572" s="98">
        <f t="shared" si="256"/>
        <v>0</v>
      </c>
      <c r="X572" s="98">
        <f t="shared" si="253"/>
        <v>0</v>
      </c>
      <c r="Z572" s="104"/>
      <c r="AA572" s="98">
        <f t="shared" si="254"/>
        <v>0</v>
      </c>
    </row>
    <row r="573" spans="1:27" hidden="1" x14ac:dyDescent="0.3">
      <c r="A573" s="98">
        <v>32</v>
      </c>
      <c r="B573" s="42"/>
      <c r="C573" s="42"/>
      <c r="D573" s="41"/>
      <c r="E573" s="104"/>
      <c r="F573" s="104"/>
      <c r="G573" s="104"/>
      <c r="H573" s="104"/>
      <c r="I573" s="104"/>
      <c r="J573" s="104"/>
      <c r="K573" s="104"/>
      <c r="L573" s="104"/>
      <c r="M573" s="317"/>
      <c r="N573" s="309">
        <f t="shared" si="245"/>
        <v>0</v>
      </c>
      <c r="O573" s="98">
        <f t="shared" si="246"/>
        <v>0</v>
      </c>
      <c r="P573" s="98">
        <f t="shared" si="247"/>
        <v>0</v>
      </c>
      <c r="Q573" s="98">
        <f t="shared" si="248"/>
        <v>0</v>
      </c>
      <c r="R573" s="98">
        <f t="shared" si="249"/>
        <v>0</v>
      </c>
      <c r="S573" s="98">
        <f t="shared" si="250"/>
        <v>0</v>
      </c>
      <c r="T573" s="98">
        <f t="shared" si="251"/>
        <v>0</v>
      </c>
      <c r="U573" s="98">
        <f t="shared" si="252"/>
        <v>0</v>
      </c>
      <c r="V573" s="396">
        <f t="shared" si="255"/>
        <v>0</v>
      </c>
      <c r="W573" s="98">
        <f t="shared" si="256"/>
        <v>0</v>
      </c>
      <c r="X573" s="98">
        <f t="shared" si="253"/>
        <v>0</v>
      </c>
      <c r="Z573" s="104"/>
      <c r="AA573" s="98">
        <f t="shared" si="254"/>
        <v>0</v>
      </c>
    </row>
    <row r="574" spans="1:27" hidden="1" x14ac:dyDescent="0.3">
      <c r="A574" s="98">
        <v>33</v>
      </c>
      <c r="B574" s="42"/>
      <c r="C574" s="42"/>
      <c r="D574" s="41"/>
      <c r="E574" s="104"/>
      <c r="F574" s="104"/>
      <c r="G574" s="104"/>
      <c r="H574" s="104"/>
      <c r="I574" s="104"/>
      <c r="J574" s="104"/>
      <c r="K574" s="104"/>
      <c r="L574" s="104"/>
      <c r="M574" s="317"/>
      <c r="N574" s="309">
        <f t="shared" si="245"/>
        <v>0</v>
      </c>
      <c r="O574" s="98">
        <f t="shared" si="246"/>
        <v>0</v>
      </c>
      <c r="P574" s="98">
        <f t="shared" si="247"/>
        <v>0</v>
      </c>
      <c r="Q574" s="98">
        <f t="shared" si="248"/>
        <v>0</v>
      </c>
      <c r="R574" s="98">
        <f t="shared" si="249"/>
        <v>0</v>
      </c>
      <c r="S574" s="98">
        <f t="shared" si="250"/>
        <v>0</v>
      </c>
      <c r="T574" s="98">
        <f t="shared" si="251"/>
        <v>0</v>
      </c>
      <c r="U574" s="98">
        <f t="shared" si="252"/>
        <v>0</v>
      </c>
      <c r="V574" s="396">
        <f t="shared" si="255"/>
        <v>0</v>
      </c>
      <c r="W574" s="98">
        <f t="shared" si="256"/>
        <v>0</v>
      </c>
      <c r="X574" s="98">
        <f t="shared" si="253"/>
        <v>0</v>
      </c>
      <c r="Z574" s="104"/>
      <c r="AA574" s="98">
        <f t="shared" si="254"/>
        <v>0</v>
      </c>
    </row>
    <row r="575" spans="1:27" hidden="1" x14ac:dyDescent="0.3">
      <c r="A575" s="98">
        <v>34</v>
      </c>
      <c r="B575" s="42"/>
      <c r="C575" s="42"/>
      <c r="D575" s="41"/>
      <c r="E575" s="104"/>
      <c r="F575" s="104"/>
      <c r="G575" s="104"/>
      <c r="H575" s="104"/>
      <c r="I575" s="104"/>
      <c r="J575" s="104"/>
      <c r="K575" s="104"/>
      <c r="L575" s="104"/>
      <c r="M575" s="317"/>
      <c r="N575" s="309">
        <f t="shared" si="245"/>
        <v>0</v>
      </c>
      <c r="O575" s="98">
        <f t="shared" si="246"/>
        <v>0</v>
      </c>
      <c r="P575" s="98">
        <f t="shared" si="247"/>
        <v>0</v>
      </c>
      <c r="Q575" s="98">
        <f t="shared" si="248"/>
        <v>0</v>
      </c>
      <c r="R575" s="98">
        <f t="shared" si="249"/>
        <v>0</v>
      </c>
      <c r="S575" s="98">
        <f t="shared" si="250"/>
        <v>0</v>
      </c>
      <c r="T575" s="98">
        <f t="shared" si="251"/>
        <v>0</v>
      </c>
      <c r="U575" s="98">
        <f t="shared" si="252"/>
        <v>0</v>
      </c>
      <c r="V575" s="396">
        <f t="shared" si="255"/>
        <v>0</v>
      </c>
      <c r="W575" s="98">
        <f t="shared" si="256"/>
        <v>0</v>
      </c>
      <c r="X575" s="98">
        <f t="shared" si="253"/>
        <v>0</v>
      </c>
      <c r="Z575" s="104"/>
      <c r="AA575" s="98">
        <f t="shared" si="254"/>
        <v>0</v>
      </c>
    </row>
    <row r="576" spans="1:27" hidden="1" x14ac:dyDescent="0.3">
      <c r="A576" s="98">
        <v>35</v>
      </c>
      <c r="B576" s="42"/>
      <c r="C576" s="42"/>
      <c r="D576" s="41"/>
      <c r="E576" s="104"/>
      <c r="F576" s="104"/>
      <c r="G576" s="104"/>
      <c r="H576" s="104"/>
      <c r="I576" s="104"/>
      <c r="J576" s="104"/>
      <c r="K576" s="104"/>
      <c r="L576" s="104"/>
      <c r="M576" s="317"/>
      <c r="N576" s="309">
        <f t="shared" si="245"/>
        <v>0</v>
      </c>
      <c r="O576" s="98">
        <f t="shared" si="246"/>
        <v>0</v>
      </c>
      <c r="P576" s="98">
        <f t="shared" si="247"/>
        <v>0</v>
      </c>
      <c r="Q576" s="98">
        <f t="shared" si="248"/>
        <v>0</v>
      </c>
      <c r="R576" s="98">
        <f t="shared" si="249"/>
        <v>0</v>
      </c>
      <c r="S576" s="98">
        <f t="shared" si="250"/>
        <v>0</v>
      </c>
      <c r="T576" s="98">
        <f t="shared" si="251"/>
        <v>0</v>
      </c>
      <c r="U576" s="98">
        <f t="shared" si="252"/>
        <v>0</v>
      </c>
      <c r="V576" s="396">
        <f t="shared" si="255"/>
        <v>0</v>
      </c>
      <c r="W576" s="98">
        <f t="shared" si="256"/>
        <v>0</v>
      </c>
      <c r="X576" s="98">
        <f t="shared" si="253"/>
        <v>0</v>
      </c>
      <c r="Z576" s="104"/>
      <c r="AA576" s="98">
        <f t="shared" si="254"/>
        <v>0</v>
      </c>
    </row>
    <row r="577" spans="1:26" hidden="1" x14ac:dyDescent="0.3">
      <c r="A577" s="578" t="s">
        <v>678</v>
      </c>
      <c r="B577" s="579"/>
      <c r="C577" s="579"/>
      <c r="D577" s="580"/>
      <c r="E577" s="303">
        <f t="shared" ref="E577:L577" si="257">SUM(N542:N576)</f>
        <v>0</v>
      </c>
      <c r="F577" s="303">
        <f t="shared" si="257"/>
        <v>0</v>
      </c>
      <c r="G577" s="303">
        <f t="shared" si="257"/>
        <v>0</v>
      </c>
      <c r="H577" s="303">
        <f t="shared" si="257"/>
        <v>0</v>
      </c>
      <c r="I577" s="303">
        <f t="shared" si="257"/>
        <v>0</v>
      </c>
      <c r="J577" s="303">
        <f t="shared" si="257"/>
        <v>0</v>
      </c>
      <c r="K577" s="303">
        <f t="shared" si="257"/>
        <v>0</v>
      </c>
      <c r="L577" s="303">
        <f t="shared" si="257"/>
        <v>0</v>
      </c>
      <c r="M577" s="305"/>
      <c r="V577" s="72"/>
      <c r="X577" s="1" t="b">
        <f>AND(X542:X576)</f>
        <v>0</v>
      </c>
      <c r="Z577" s="303">
        <f>SUM(AA542:AA576)</f>
        <v>0</v>
      </c>
    </row>
    <row r="578" spans="1:26" hidden="1" x14ac:dyDescent="0.3">
      <c r="A578" s="99"/>
      <c r="B578" s="99"/>
      <c r="C578" s="99"/>
      <c r="D578" s="99"/>
      <c r="E578" s="99"/>
      <c r="F578" s="99"/>
      <c r="G578" s="99"/>
      <c r="H578" s="99"/>
      <c r="I578" s="99"/>
      <c r="J578" s="100"/>
      <c r="K578" s="100"/>
      <c r="L578" s="101"/>
      <c r="M578" s="101"/>
    </row>
    <row r="579" spans="1:26" ht="18" hidden="1" x14ac:dyDescent="0.3">
      <c r="A579" s="586" t="s">
        <v>633</v>
      </c>
      <c r="B579" s="586"/>
      <c r="C579" s="586"/>
      <c r="D579" s="586"/>
      <c r="E579" s="586"/>
      <c r="F579" s="586"/>
      <c r="G579" s="586"/>
      <c r="H579" s="586"/>
      <c r="I579" s="589"/>
      <c r="J579" s="45" t="s">
        <v>951</v>
      </c>
      <c r="K579" s="480">
        <f>L1162</f>
        <v>0.24821613270047677</v>
      </c>
      <c r="L579" s="106" t="s">
        <v>637</v>
      </c>
      <c r="O579" s="133">
        <f>K579</f>
        <v>0.24821613270047677</v>
      </c>
      <c r="P579" s="817">
        <f>SUM(D474:K474)</f>
        <v>0</v>
      </c>
      <c r="Q579" s="589"/>
      <c r="R579" s="1">
        <f>O579*P579</f>
        <v>0</v>
      </c>
    </row>
    <row r="580" spans="1:26" ht="18" hidden="1" x14ac:dyDescent="0.3">
      <c r="A580" s="586" t="s">
        <v>609</v>
      </c>
      <c r="B580" s="586"/>
      <c r="C580" s="586"/>
      <c r="D580" s="586"/>
      <c r="E580" s="586"/>
      <c r="F580" s="586"/>
      <c r="G580" s="586"/>
      <c r="H580" s="586"/>
      <c r="I580" s="589"/>
      <c r="J580" s="45" t="s">
        <v>951</v>
      </c>
      <c r="K580" s="470">
        <f>IF(SUM(W481:W515)=0,0,SUM(V481:V515)/SUM(W481:W515))</f>
        <v>0</v>
      </c>
      <c r="L580" s="106" t="s">
        <v>637</v>
      </c>
      <c r="O580" s="133">
        <f>K580</f>
        <v>0</v>
      </c>
      <c r="P580" s="817">
        <f>SUM(W481:W515)</f>
        <v>0</v>
      </c>
      <c r="Q580" s="589"/>
      <c r="R580" s="1">
        <f>O580*P580</f>
        <v>0</v>
      </c>
    </row>
    <row r="581" spans="1:26" ht="18" hidden="1" x14ac:dyDescent="0.3">
      <c r="A581" s="586" t="s">
        <v>610</v>
      </c>
      <c r="B581" s="586"/>
      <c r="C581" s="586"/>
      <c r="D581" s="586"/>
      <c r="E581" s="586"/>
      <c r="F581" s="586"/>
      <c r="G581" s="586"/>
      <c r="H581" s="586"/>
      <c r="I581" s="589"/>
      <c r="J581" s="45" t="s">
        <v>951</v>
      </c>
      <c r="K581" s="470">
        <f>IF(R581=0,0,O581)</f>
        <v>0</v>
      </c>
      <c r="L581" s="106" t="s">
        <v>637</v>
      </c>
      <c r="O581" s="1" t="e">
        <f>R581/P581</f>
        <v>#DIV/0!</v>
      </c>
      <c r="P581" s="817">
        <f>SUM(P579:Q580)</f>
        <v>0</v>
      </c>
      <c r="Q581" s="589"/>
      <c r="R581" s="1">
        <f>SUM(R579:R580)</f>
        <v>0</v>
      </c>
    </row>
    <row r="582" spans="1:26" ht="18" hidden="1" x14ac:dyDescent="0.3">
      <c r="A582" s="586" t="s">
        <v>612</v>
      </c>
      <c r="B582" s="586"/>
      <c r="C582" s="586"/>
      <c r="D582" s="586"/>
      <c r="E582" s="586"/>
      <c r="F582" s="586"/>
      <c r="G582" s="586"/>
      <c r="H582" s="586"/>
      <c r="I582" s="589"/>
      <c r="J582" s="45" t="s">
        <v>895</v>
      </c>
      <c r="K582" s="204">
        <f>SUM(D473:K473)</f>
        <v>0</v>
      </c>
      <c r="L582" s="106" t="s">
        <v>27</v>
      </c>
    </row>
    <row r="583" spans="1:26" ht="18" hidden="1" x14ac:dyDescent="0.3">
      <c r="A583" s="586" t="s">
        <v>634</v>
      </c>
      <c r="B583" s="586"/>
      <c r="C583" s="586"/>
      <c r="D583" s="586"/>
      <c r="E583" s="586"/>
      <c r="F583" s="586"/>
      <c r="G583" s="586"/>
      <c r="H583" s="586"/>
      <c r="I583" s="589"/>
      <c r="J583" s="45" t="s">
        <v>951</v>
      </c>
      <c r="K583" s="480">
        <f>L1194</f>
        <v>0.24821613270047677</v>
      </c>
      <c r="L583" s="106" t="s">
        <v>637</v>
      </c>
      <c r="O583" s="133">
        <f>K583</f>
        <v>0.24821613270047677</v>
      </c>
      <c r="P583" s="817">
        <f>SUM(D535:K535)</f>
        <v>0</v>
      </c>
      <c r="Q583" s="589"/>
      <c r="R583" s="1">
        <f>O583*P583</f>
        <v>0</v>
      </c>
    </row>
    <row r="584" spans="1:26" ht="18" hidden="1" x14ac:dyDescent="0.3">
      <c r="A584" s="586" t="s">
        <v>613</v>
      </c>
      <c r="B584" s="586"/>
      <c r="C584" s="586"/>
      <c r="D584" s="586"/>
      <c r="E584" s="586"/>
      <c r="F584" s="586"/>
      <c r="G584" s="586"/>
      <c r="H584" s="586"/>
      <c r="I584" s="589"/>
      <c r="J584" s="45" t="s">
        <v>951</v>
      </c>
      <c r="K584" s="470">
        <f>IF(SUM(W542:W576)=0,0,SUM(V542:V576)/SUM(W542:W576))</f>
        <v>0</v>
      </c>
      <c r="L584" s="106" t="s">
        <v>637</v>
      </c>
      <c r="O584" s="133">
        <f>K584</f>
        <v>0</v>
      </c>
      <c r="P584" s="817">
        <f>SUM(W542:W576)</f>
        <v>0</v>
      </c>
      <c r="Q584" s="589"/>
      <c r="R584" s="1">
        <f>O584*P584</f>
        <v>0</v>
      </c>
    </row>
    <row r="585" spans="1:26" ht="18" hidden="1" x14ac:dyDescent="0.3">
      <c r="A585" s="586" t="s">
        <v>614</v>
      </c>
      <c r="B585" s="586"/>
      <c r="C585" s="586"/>
      <c r="D585" s="586"/>
      <c r="E585" s="586"/>
      <c r="F585" s="586"/>
      <c r="G585" s="586"/>
      <c r="H585" s="586"/>
      <c r="I585" s="589"/>
      <c r="J585" s="45" t="s">
        <v>951</v>
      </c>
      <c r="K585" s="470">
        <f>IF(R585=0,0,O585)</f>
        <v>0</v>
      </c>
      <c r="L585" s="106" t="s">
        <v>637</v>
      </c>
      <c r="O585" s="1" t="e">
        <f>R585/P585</f>
        <v>#DIV/0!</v>
      </c>
      <c r="P585" s="817">
        <f>SUM(P583:Q584)</f>
        <v>0</v>
      </c>
      <c r="Q585" s="589"/>
      <c r="R585" s="1">
        <f>SUM(R583:R584)</f>
        <v>0</v>
      </c>
    </row>
    <row r="586" spans="1:26" ht="18" hidden="1" x14ac:dyDescent="0.3">
      <c r="A586" s="586" t="s">
        <v>636</v>
      </c>
      <c r="B586" s="586"/>
      <c r="C586" s="586"/>
      <c r="D586" s="586"/>
      <c r="E586" s="586"/>
      <c r="F586" s="586"/>
      <c r="G586" s="586"/>
      <c r="H586" s="586"/>
      <c r="I586" s="589"/>
      <c r="J586" s="45" t="s">
        <v>895</v>
      </c>
      <c r="K586" s="204">
        <f>SUM(D534:K534)</f>
        <v>0</v>
      </c>
      <c r="L586" s="106" t="s">
        <v>27</v>
      </c>
    </row>
    <row r="587" spans="1:26" hidden="1" x14ac:dyDescent="0.3">
      <c r="A587" s="36"/>
      <c r="B587" s="36"/>
      <c r="C587" s="36"/>
      <c r="D587" s="36"/>
      <c r="E587" s="36"/>
      <c r="F587" s="36"/>
      <c r="G587" s="36"/>
      <c r="H587" s="36"/>
      <c r="I587" s="14"/>
      <c r="J587" s="45"/>
      <c r="K587" s="204"/>
      <c r="L587" s="106"/>
    </row>
    <row r="588" spans="1:26" ht="20.399999999999999" hidden="1" x14ac:dyDescent="0.45">
      <c r="A588" s="644" t="s">
        <v>1058</v>
      </c>
      <c r="B588" s="766"/>
      <c r="C588" s="766"/>
      <c r="D588" s="766"/>
      <c r="E588" s="766"/>
      <c r="F588" s="766"/>
      <c r="G588" s="766"/>
      <c r="H588" s="766"/>
      <c r="I588" s="766"/>
      <c r="J588" s="32"/>
      <c r="K588" s="65"/>
      <c r="L588" s="25"/>
      <c r="M588" s="329"/>
    </row>
    <row r="589" spans="1:26" hidden="1" x14ac:dyDescent="0.3">
      <c r="A589" s="586" t="s">
        <v>1059</v>
      </c>
      <c r="B589" s="587"/>
      <c r="C589" s="587"/>
      <c r="D589" s="587"/>
      <c r="E589" s="587"/>
      <c r="F589" s="587"/>
      <c r="G589" s="587"/>
      <c r="H589" s="587"/>
      <c r="I589" s="587"/>
      <c r="J589" s="662" t="s">
        <v>1057</v>
      </c>
      <c r="K589" s="763">
        <f>N158*(2/L1244)*SQRT(2/((1+3.2/L1244)^2+1))</f>
        <v>3.3317743025125963E-45</v>
      </c>
    </row>
    <row r="590" spans="1:26" hidden="1" x14ac:dyDescent="0.3">
      <c r="A590" s="586" t="s">
        <v>68</v>
      </c>
      <c r="B590" s="587"/>
      <c r="C590" s="587"/>
      <c r="D590" s="587"/>
      <c r="E590" s="587"/>
      <c r="F590" s="587"/>
      <c r="G590" s="587"/>
      <c r="H590" s="587"/>
      <c r="I590" s="587"/>
      <c r="J590" s="663"/>
      <c r="K590" s="763"/>
    </row>
    <row r="591" spans="1:26" hidden="1" x14ac:dyDescent="0.3">
      <c r="J591" s="18"/>
    </row>
    <row r="592" spans="1:26" hidden="1" x14ac:dyDescent="0.3">
      <c r="A592" s="586" t="s">
        <v>1059</v>
      </c>
      <c r="B592" s="587"/>
      <c r="C592" s="587"/>
      <c r="D592" s="587"/>
      <c r="E592" s="587"/>
      <c r="F592" s="587"/>
      <c r="G592" s="587"/>
      <c r="H592" s="587"/>
      <c r="I592" s="587"/>
      <c r="J592" s="662" t="s">
        <v>1057</v>
      </c>
      <c r="K592" s="763">
        <f>(1/(N160*L1309)+1/((N160+L1306*L1305)*(2/3.2)+L1307*L1305*L1308+0.33*L1311*L1312))^(-1)</f>
        <v>2.831229852971248E-42</v>
      </c>
    </row>
    <row r="593" spans="1:13" hidden="1" x14ac:dyDescent="0.3">
      <c r="A593" s="586" t="s">
        <v>67</v>
      </c>
      <c r="B593" s="587"/>
      <c r="C593" s="587"/>
      <c r="D593" s="587"/>
      <c r="E593" s="587"/>
      <c r="F593" s="587"/>
      <c r="G593" s="587"/>
      <c r="H593" s="587"/>
      <c r="I593" s="587"/>
      <c r="J593" s="663"/>
      <c r="K593" s="763"/>
    </row>
    <row r="594" spans="1:13" hidden="1" x14ac:dyDescent="0.3">
      <c r="J594" s="18"/>
    </row>
    <row r="595" spans="1:13" hidden="1" x14ac:dyDescent="0.3">
      <c r="A595" s="586" t="s">
        <v>1059</v>
      </c>
      <c r="B595" s="587"/>
      <c r="C595" s="587"/>
      <c r="D595" s="587"/>
      <c r="E595" s="587"/>
      <c r="F595" s="587"/>
      <c r="G595" s="587"/>
      <c r="H595" s="587"/>
      <c r="I595" s="587"/>
      <c r="J595" s="662" t="s">
        <v>1057</v>
      </c>
      <c r="K595" s="763">
        <f>N162*(2/L1355)*SQRT(2/((1+3.2/L1355)^2+1))+L1350*L1349*(2/L1357)*SQRT(2/((1+3.2/L1357)^2+1))</f>
        <v>3.3541331231106015E-42</v>
      </c>
    </row>
    <row r="596" spans="1:13" hidden="1" x14ac:dyDescent="0.3">
      <c r="A596" s="586" t="s">
        <v>1061</v>
      </c>
      <c r="B596" s="587"/>
      <c r="C596" s="587"/>
      <c r="D596" s="587"/>
      <c r="E596" s="587"/>
      <c r="F596" s="587"/>
      <c r="G596" s="587"/>
      <c r="H596" s="587"/>
      <c r="I596" s="587"/>
      <c r="J596" s="663"/>
      <c r="K596" s="763"/>
    </row>
    <row r="597" spans="1:13" hidden="1" x14ac:dyDescent="0.3">
      <c r="J597" s="18"/>
    </row>
    <row r="598" spans="1:13" hidden="1" x14ac:dyDescent="0.3">
      <c r="J598" s="18"/>
    </row>
    <row r="599" spans="1:13" ht="20.399999999999999" hidden="1" x14ac:dyDescent="0.45">
      <c r="A599" s="644" t="s">
        <v>1060</v>
      </c>
      <c r="B599" s="766"/>
      <c r="C599" s="766"/>
      <c r="D599" s="766"/>
      <c r="E599" s="766"/>
      <c r="F599" s="766"/>
      <c r="G599" s="766"/>
      <c r="H599" s="766"/>
      <c r="I599" s="766"/>
      <c r="J599" s="19"/>
      <c r="K599" s="64"/>
      <c r="L599" s="25"/>
      <c r="M599" s="329"/>
    </row>
    <row r="600" spans="1:13" ht="18.75" hidden="1" customHeight="1" x14ac:dyDescent="0.3">
      <c r="A600" s="586" t="s">
        <v>1062</v>
      </c>
      <c r="B600" s="587"/>
      <c r="C600" s="587"/>
      <c r="D600" s="587"/>
      <c r="E600" s="587"/>
      <c r="F600" s="587"/>
      <c r="G600" s="587"/>
      <c r="H600" s="587"/>
      <c r="I600" s="587"/>
      <c r="J600" s="662" t="s">
        <v>1056</v>
      </c>
      <c r="K600" s="763">
        <f>0.37*N157*2*LN(3.2/L1244+1)</f>
        <v>4.2022923327321427E-42</v>
      </c>
      <c r="L600" s="25"/>
      <c r="M600" s="329"/>
    </row>
    <row r="601" spans="1:13" hidden="1" x14ac:dyDescent="0.3">
      <c r="A601" s="586" t="s">
        <v>68</v>
      </c>
      <c r="B601" s="587"/>
      <c r="C601" s="587"/>
      <c r="D601" s="587"/>
      <c r="E601" s="587"/>
      <c r="F601" s="587"/>
      <c r="G601" s="587"/>
      <c r="H601" s="587"/>
      <c r="I601" s="587"/>
      <c r="J601" s="663"/>
      <c r="K601" s="763"/>
      <c r="L601" s="25"/>
      <c r="M601" s="329"/>
    </row>
    <row r="602" spans="1:13" ht="18" hidden="1" x14ac:dyDescent="0.35">
      <c r="A602" s="15"/>
      <c r="B602" s="14"/>
      <c r="C602" s="14"/>
      <c r="D602" s="14"/>
      <c r="E602" s="14"/>
      <c r="F602" s="14"/>
      <c r="G602" s="14"/>
      <c r="H602" s="14"/>
      <c r="I602" s="14"/>
      <c r="J602" s="19"/>
      <c r="K602" s="20"/>
      <c r="L602" s="25"/>
      <c r="M602" s="329"/>
    </row>
    <row r="603" spans="1:13" hidden="1" x14ac:dyDescent="0.3">
      <c r="A603" s="586" t="s">
        <v>1062</v>
      </c>
      <c r="B603" s="587"/>
      <c r="C603" s="587"/>
      <c r="D603" s="587"/>
      <c r="E603" s="587"/>
      <c r="F603" s="587"/>
      <c r="G603" s="587"/>
      <c r="H603" s="587"/>
      <c r="I603" s="587"/>
      <c r="J603" s="662" t="s">
        <v>1056</v>
      </c>
      <c r="K603" s="763">
        <f>L1304*L1309*((0.37*L1305*2*(2-2.71828^((-L1306)/3.2))*LN(3.2/L1314+1)+L1307*L1305*L1308+0.33*L1311*L1312)/((L1304+L1306*L1305)*(2/3.2)+L1307*L1305*L1308+0.33*L1311*L1312+L1304*L1309))</f>
        <v>4.0030804912206091E-42</v>
      </c>
      <c r="L603" s="25"/>
      <c r="M603" s="329"/>
    </row>
    <row r="604" spans="1:13" hidden="1" x14ac:dyDescent="0.3">
      <c r="A604" s="586" t="s">
        <v>67</v>
      </c>
      <c r="B604" s="587"/>
      <c r="C604" s="587"/>
      <c r="D604" s="587"/>
      <c r="E604" s="587"/>
      <c r="F604" s="587"/>
      <c r="G604" s="587"/>
      <c r="H604" s="587"/>
      <c r="I604" s="587"/>
      <c r="J604" s="663"/>
      <c r="K604" s="763"/>
      <c r="L604" s="25"/>
      <c r="M604" s="329"/>
    </row>
    <row r="605" spans="1:13" ht="18" hidden="1" x14ac:dyDescent="0.35">
      <c r="A605" s="15"/>
      <c r="B605" s="14"/>
      <c r="C605" s="14"/>
      <c r="D605" s="14"/>
      <c r="E605" s="14"/>
      <c r="F605" s="14"/>
      <c r="G605" s="14"/>
      <c r="H605" s="14"/>
      <c r="I605" s="14"/>
      <c r="J605" s="19"/>
      <c r="K605" s="20"/>
      <c r="L605" s="25"/>
      <c r="M605" s="329"/>
    </row>
    <row r="606" spans="1:13" hidden="1" x14ac:dyDescent="0.3">
      <c r="A606" s="586" t="s">
        <v>1062</v>
      </c>
      <c r="B606" s="587"/>
      <c r="C606" s="587"/>
      <c r="D606" s="587"/>
      <c r="E606" s="587"/>
      <c r="F606" s="587"/>
      <c r="G606" s="587"/>
      <c r="H606" s="587"/>
      <c r="I606" s="587"/>
      <c r="J606" s="662" t="s">
        <v>1056</v>
      </c>
      <c r="K606" s="763">
        <f>0.37*L1349*2*(2*(1-2.71828^((-L1350)/3.2))*LN(3.2/L1357+1)+(2.71828^((-L1350)/3.2))*LN(3.2/L1355+1))</f>
        <v>4.2343518549513516E-42</v>
      </c>
      <c r="L606" s="25"/>
      <c r="M606" s="329"/>
    </row>
    <row r="607" spans="1:13" hidden="1" x14ac:dyDescent="0.3">
      <c r="A607" s="586" t="s">
        <v>1061</v>
      </c>
      <c r="B607" s="587"/>
      <c r="C607" s="587"/>
      <c r="D607" s="587"/>
      <c r="E607" s="587"/>
      <c r="F607" s="587"/>
      <c r="G607" s="587"/>
      <c r="H607" s="587"/>
      <c r="I607" s="587"/>
      <c r="J607" s="663"/>
      <c r="K607" s="763"/>
      <c r="L607" s="25"/>
      <c r="M607" s="329"/>
    </row>
    <row r="608" spans="1:13" ht="18" hidden="1" x14ac:dyDescent="0.35">
      <c r="A608" s="15"/>
      <c r="B608" s="14"/>
      <c r="C608" s="14"/>
      <c r="D608" s="14"/>
      <c r="E608" s="14"/>
      <c r="F608" s="14"/>
      <c r="G608" s="14"/>
      <c r="H608" s="14"/>
      <c r="I608" s="14"/>
      <c r="J608" s="19"/>
      <c r="K608" s="20"/>
      <c r="L608" s="25"/>
      <c r="M608" s="329"/>
    </row>
    <row r="609" spans="1:28" ht="20.399999999999999" x14ac:dyDescent="0.45">
      <c r="A609" s="720" t="s">
        <v>677</v>
      </c>
      <c r="B609" s="589"/>
      <c r="C609" s="589"/>
      <c r="D609" s="589"/>
      <c r="E609" s="589"/>
      <c r="F609" s="589"/>
      <c r="G609" s="589"/>
      <c r="H609" s="589"/>
      <c r="I609" s="589"/>
      <c r="J609" s="589"/>
      <c r="K609" s="589"/>
      <c r="L609" s="25"/>
      <c r="M609" s="329"/>
    </row>
    <row r="610" spans="1:28" ht="18.600000000000001" x14ac:dyDescent="0.4">
      <c r="A610" s="764" t="s">
        <v>903</v>
      </c>
      <c r="B610" s="764"/>
      <c r="C610" s="764"/>
      <c r="D610" s="8" t="s">
        <v>905</v>
      </c>
      <c r="E610" s="8" t="s">
        <v>1063</v>
      </c>
      <c r="F610" s="8" t="s">
        <v>1064</v>
      </c>
      <c r="H610" s="765" t="s">
        <v>656</v>
      </c>
      <c r="I610" s="765"/>
      <c r="J610" s="765"/>
      <c r="K610" s="765"/>
      <c r="L610" s="765"/>
      <c r="M610" s="329"/>
      <c r="N610" s="115" t="s">
        <v>753</v>
      </c>
      <c r="O610" s="115" t="s">
        <v>754</v>
      </c>
    </row>
    <row r="611" spans="1:28" x14ac:dyDescent="0.3">
      <c r="A611" s="696" t="s">
        <v>749</v>
      </c>
      <c r="B611" s="696"/>
      <c r="C611" s="696"/>
      <c r="D611" s="537">
        <f>N158</f>
        <v>9.9999999999999995E-45</v>
      </c>
      <c r="E611" s="537">
        <f>K589</f>
        <v>3.3317743025125963E-45</v>
      </c>
      <c r="F611" s="537">
        <f>K600</f>
        <v>4.2022923327321427E-42</v>
      </c>
      <c r="H611" s="765"/>
      <c r="I611" s="765"/>
      <c r="J611" s="765"/>
      <c r="K611" s="765"/>
      <c r="L611" s="765"/>
      <c r="M611" s="329"/>
      <c r="N611" s="72">
        <f>D611*E611</f>
        <v>3.331774302512596E-89</v>
      </c>
      <c r="O611" s="72">
        <f>D611*F611</f>
        <v>4.2022923327321422E-86</v>
      </c>
    </row>
    <row r="612" spans="1:28" x14ac:dyDescent="0.3">
      <c r="A612" s="696" t="s">
        <v>750</v>
      </c>
      <c r="B612" s="696"/>
      <c r="C612" s="696"/>
      <c r="D612" s="537">
        <f>N160</f>
        <v>1E-41</v>
      </c>
      <c r="E612" s="537">
        <f>K592</f>
        <v>2.831229852971248E-42</v>
      </c>
      <c r="F612" s="537">
        <f>K603</f>
        <v>4.0030804912206091E-42</v>
      </c>
      <c r="H612" s="765"/>
      <c r="I612" s="765"/>
      <c r="J612" s="765"/>
      <c r="K612" s="765"/>
      <c r="L612" s="765"/>
      <c r="M612" s="329"/>
      <c r="N612" s="72">
        <f>D612*E612</f>
        <v>2.831229852971248E-83</v>
      </c>
      <c r="O612" s="72">
        <f>D612*F612</f>
        <v>4.0030804912206092E-83</v>
      </c>
    </row>
    <row r="613" spans="1:28" x14ac:dyDescent="0.3">
      <c r="A613" s="253" t="s">
        <v>751</v>
      </c>
      <c r="B613" s="253"/>
      <c r="C613" s="253"/>
      <c r="D613" s="537">
        <f>N162</f>
        <v>1E-41</v>
      </c>
      <c r="E613" s="537">
        <f>K595</f>
        <v>3.3541331231106015E-42</v>
      </c>
      <c r="F613" s="537">
        <f>K606</f>
        <v>4.2343518549513516E-42</v>
      </c>
      <c r="H613" s="765"/>
      <c r="I613" s="765"/>
      <c r="J613" s="765"/>
      <c r="K613" s="765"/>
      <c r="L613" s="765"/>
      <c r="M613" s="329"/>
      <c r="N613" s="72">
        <f>D613*E613</f>
        <v>3.3541331231106018E-83</v>
      </c>
      <c r="O613" s="72">
        <f>D613*F613</f>
        <v>4.2343518549513518E-83</v>
      </c>
    </row>
    <row r="614" spans="1:28" x14ac:dyDescent="0.3">
      <c r="A614" s="764" t="s">
        <v>752</v>
      </c>
      <c r="B614" s="764"/>
      <c r="C614" s="764"/>
      <c r="D614" s="764"/>
      <c r="E614" s="301">
        <f>SUM(N611:N613)/SUM(D611:D613)</f>
        <v>3.0911375851355082E-42</v>
      </c>
      <c r="F614" s="302">
        <f>SUM(O611:O613)/SUM(D611:D613)</f>
        <v>4.118757940282205E-42</v>
      </c>
      <c r="H614" s="765"/>
      <c r="I614" s="765"/>
      <c r="J614" s="765"/>
      <c r="K614" s="765"/>
      <c r="L614" s="765"/>
      <c r="M614" s="329"/>
      <c r="O614" s="298"/>
    </row>
    <row r="616" spans="1:28" ht="18" x14ac:dyDescent="0.35">
      <c r="A616" s="644" t="s">
        <v>162</v>
      </c>
      <c r="B616" s="766"/>
      <c r="C616" s="766"/>
      <c r="D616" s="766"/>
      <c r="E616" s="766"/>
      <c r="F616" s="766"/>
      <c r="G616" s="766"/>
      <c r="H616" s="766"/>
      <c r="I616" s="766"/>
      <c r="J616" s="589"/>
      <c r="K616" s="589"/>
      <c r="L616" s="589"/>
      <c r="M616" s="199"/>
      <c r="O616" s="676" t="b">
        <f>OR(C253,G253,K253,C259,G259,K259,C265,G265,K265,C271,G271,K271,C277,G277,K277)</f>
        <v>0</v>
      </c>
      <c r="P616" s="676"/>
    </row>
    <row r="617" spans="1:28" ht="18.600000000000001" x14ac:dyDescent="0.4">
      <c r="A617" s="667" t="s">
        <v>69</v>
      </c>
      <c r="B617" s="762"/>
      <c r="C617" s="762"/>
      <c r="D617" s="762"/>
      <c r="E617" s="762"/>
      <c r="F617" s="762"/>
      <c r="G617" s="762"/>
      <c r="H617" s="589"/>
      <c r="I617" s="589"/>
      <c r="J617" s="589"/>
      <c r="K617" s="45" t="s">
        <v>74</v>
      </c>
      <c r="L617" s="106">
        <f>0.3*(0.8*F25)</f>
        <v>0</v>
      </c>
      <c r="M617" s="109"/>
      <c r="O617" s="105">
        <f>P617</f>
        <v>0</v>
      </c>
      <c r="P617" s="1">
        <f>IF(O616,1,0)</f>
        <v>0</v>
      </c>
    </row>
    <row r="618" spans="1:28" x14ac:dyDescent="0.3">
      <c r="E618"/>
    </row>
    <row r="619" spans="1:28" x14ac:dyDescent="0.3">
      <c r="N619" s="824" t="s">
        <v>562</v>
      </c>
      <c r="O619" s="824"/>
      <c r="P619" s="824"/>
      <c r="Q619" s="824"/>
      <c r="R619" s="824"/>
      <c r="S619" s="824"/>
      <c r="T619" s="824"/>
      <c r="U619" s="806"/>
      <c r="V619" s="806"/>
      <c r="W619" s="806"/>
    </row>
    <row r="620" spans="1:28" ht="21" x14ac:dyDescent="0.4">
      <c r="A620" s="667" t="s">
        <v>403</v>
      </c>
      <c r="B620" s="762"/>
      <c r="C620" s="762"/>
      <c r="D620" s="762"/>
      <c r="E620" s="762"/>
      <c r="F620" s="762"/>
      <c r="G620" s="762"/>
      <c r="H620" s="589"/>
      <c r="I620" s="589"/>
      <c r="J620" s="589"/>
      <c r="K620" s="45" t="s">
        <v>398</v>
      </c>
      <c r="L620" s="109">
        <f>AB626</f>
        <v>0</v>
      </c>
      <c r="M620" s="109"/>
      <c r="O620" s="396" t="s">
        <v>461</v>
      </c>
      <c r="P620" s="396" t="s">
        <v>563</v>
      </c>
      <c r="Q620" s="396" t="s">
        <v>564</v>
      </c>
      <c r="R620" s="396" t="s">
        <v>565</v>
      </c>
      <c r="T620" s="396" t="s">
        <v>461</v>
      </c>
      <c r="U620" s="396" t="s">
        <v>563</v>
      </c>
      <c r="V620" s="396" t="s">
        <v>564</v>
      </c>
      <c r="W620" s="396" t="s">
        <v>565</v>
      </c>
      <c r="Y620" s="396" t="s">
        <v>461</v>
      </c>
      <c r="Z620" s="396" t="s">
        <v>563</v>
      </c>
      <c r="AA620" s="396" t="s">
        <v>564</v>
      </c>
      <c r="AB620" s="396" t="s">
        <v>565</v>
      </c>
    </row>
    <row r="621" spans="1:28" ht="21" x14ac:dyDescent="0.4">
      <c r="A621" s="667" t="s">
        <v>404</v>
      </c>
      <c r="B621" s="762"/>
      <c r="C621" s="762"/>
      <c r="D621" s="762"/>
      <c r="E621" s="762"/>
      <c r="F621" s="762"/>
      <c r="G621" s="762"/>
      <c r="H621" s="589"/>
      <c r="I621" s="589"/>
      <c r="J621" s="589"/>
      <c r="K621" s="45" t="s">
        <v>399</v>
      </c>
      <c r="L621" s="109">
        <f>L620</f>
        <v>0</v>
      </c>
      <c r="M621" s="109"/>
      <c r="O621" s="396">
        <f>5*C253</f>
        <v>0</v>
      </c>
      <c r="P621" s="396">
        <f>G253</f>
        <v>0</v>
      </c>
      <c r="Q621" s="396">
        <f>K253</f>
        <v>0</v>
      </c>
      <c r="R621" s="396">
        <f>SUM(O621:Q621)/7</f>
        <v>0</v>
      </c>
      <c r="T621" s="396">
        <f>5*A254</f>
        <v>0</v>
      </c>
      <c r="U621" s="396">
        <f>E254</f>
        <v>0</v>
      </c>
      <c r="V621" s="396">
        <f>I254</f>
        <v>0</v>
      </c>
      <c r="W621" s="396">
        <f>SUM(T621:V621)/7</f>
        <v>0</v>
      </c>
      <c r="Y621" s="396">
        <f>O621*T621/5</f>
        <v>0</v>
      </c>
      <c r="Z621" s="396">
        <f t="shared" ref="Z621:AA625" si="258">P621*U621</f>
        <v>0</v>
      </c>
      <c r="AA621" s="396">
        <f t="shared" si="258"/>
        <v>0</v>
      </c>
      <c r="AB621" s="396">
        <f>SUM(Y621:AA621)/24</f>
        <v>0</v>
      </c>
    </row>
    <row r="622" spans="1:28" ht="18" x14ac:dyDescent="0.35">
      <c r="A622" s="667" t="s">
        <v>397</v>
      </c>
      <c r="B622" s="762"/>
      <c r="C622" s="762"/>
      <c r="D622" s="762"/>
      <c r="E622" s="762"/>
      <c r="F622" s="762"/>
      <c r="G622" s="762"/>
      <c r="H622" s="589"/>
      <c r="I622" s="589"/>
      <c r="J622" s="589"/>
      <c r="K622" s="45" t="s">
        <v>1031</v>
      </c>
      <c r="L622" s="109">
        <f>W626</f>
        <v>0</v>
      </c>
      <c r="M622" s="109"/>
      <c r="O622" s="396">
        <f>5*C259</f>
        <v>0</v>
      </c>
      <c r="P622" s="396">
        <f>G259</f>
        <v>0</v>
      </c>
      <c r="Q622" s="396">
        <f>K259</f>
        <v>0</v>
      </c>
      <c r="R622" s="396">
        <f>SUM(O622:Q622)/7</f>
        <v>0</v>
      </c>
      <c r="T622" s="396">
        <f>5*A260</f>
        <v>0</v>
      </c>
      <c r="U622" s="396">
        <f>E260</f>
        <v>0</v>
      </c>
      <c r="V622" s="396">
        <f>I260</f>
        <v>0</v>
      </c>
      <c r="W622" s="396">
        <f>SUM(T622:V622)/7</f>
        <v>0</v>
      </c>
      <c r="Y622" s="396">
        <f>O622*T622/5</f>
        <v>0</v>
      </c>
      <c r="Z622" s="396">
        <f t="shared" si="258"/>
        <v>0</v>
      </c>
      <c r="AA622" s="396">
        <f t="shared" si="258"/>
        <v>0</v>
      </c>
      <c r="AB622" s="396">
        <f>SUM(Y622:AA622)/24</f>
        <v>0</v>
      </c>
    </row>
    <row r="623" spans="1:28" ht="21" x14ac:dyDescent="0.4">
      <c r="A623" s="667" t="s">
        <v>405</v>
      </c>
      <c r="B623" s="762"/>
      <c r="C623" s="762"/>
      <c r="D623" s="762"/>
      <c r="E623" s="762"/>
      <c r="F623" s="762"/>
      <c r="G623" s="762"/>
      <c r="H623" s="589"/>
      <c r="I623" s="589"/>
      <c r="J623" s="589"/>
      <c r="K623" s="45" t="s">
        <v>70</v>
      </c>
      <c r="L623" s="109">
        <f>(L620)</f>
        <v>0</v>
      </c>
      <c r="M623" s="109"/>
      <c r="O623" s="396">
        <f>5*C265</f>
        <v>0</v>
      </c>
      <c r="P623" s="396">
        <f>G265</f>
        <v>0</v>
      </c>
      <c r="Q623" s="396">
        <f>K265</f>
        <v>0</v>
      </c>
      <c r="R623" s="396">
        <f>SUM(O623:Q623)/7</f>
        <v>0</v>
      </c>
      <c r="T623" s="396">
        <f>5*A266</f>
        <v>0</v>
      </c>
      <c r="U623" s="396">
        <f>E266</f>
        <v>0</v>
      </c>
      <c r="V623" s="396">
        <f>I266</f>
        <v>0</v>
      </c>
      <c r="W623" s="396">
        <f>SUM(T623:V623)/7</f>
        <v>0</v>
      </c>
      <c r="Y623" s="396">
        <f>O623*T623/5</f>
        <v>0</v>
      </c>
      <c r="Z623" s="396">
        <f t="shared" si="258"/>
        <v>0</v>
      </c>
      <c r="AA623" s="396">
        <f t="shared" si="258"/>
        <v>0</v>
      </c>
      <c r="AB623" s="396">
        <f>SUM(Y623:AA623)/24</f>
        <v>0</v>
      </c>
    </row>
    <row r="624" spans="1:28" ht="21" x14ac:dyDescent="0.4">
      <c r="A624" s="667" t="s">
        <v>408</v>
      </c>
      <c r="B624" s="762"/>
      <c r="C624" s="762"/>
      <c r="D624" s="762"/>
      <c r="E624" s="762"/>
      <c r="F624" s="762"/>
      <c r="G624" s="762"/>
      <c r="H624" s="589"/>
      <c r="I624" s="589"/>
      <c r="J624" s="589"/>
      <c r="K624" s="45" t="s">
        <v>83</v>
      </c>
      <c r="L624" s="109">
        <f>L621</f>
        <v>0</v>
      </c>
      <c r="M624" s="109"/>
      <c r="O624" s="396">
        <f>5*C271</f>
        <v>0</v>
      </c>
      <c r="P624" s="396">
        <f>G271</f>
        <v>0</v>
      </c>
      <c r="Q624" s="396">
        <f>K271</f>
        <v>0</v>
      </c>
      <c r="R624" s="396">
        <f>SUM(O624:Q624)/7</f>
        <v>0</v>
      </c>
      <c r="T624" s="396">
        <f>5*A272</f>
        <v>0</v>
      </c>
      <c r="U624" s="396">
        <f>E272</f>
        <v>0</v>
      </c>
      <c r="V624" s="396">
        <f>I272</f>
        <v>0</v>
      </c>
      <c r="W624" s="396">
        <f>SUM(T624:V624)/7</f>
        <v>0</v>
      </c>
      <c r="Y624" s="396">
        <f>O624*T624/5</f>
        <v>0</v>
      </c>
      <c r="Z624" s="396">
        <f t="shared" si="258"/>
        <v>0</v>
      </c>
      <c r="AA624" s="396">
        <f t="shared" si="258"/>
        <v>0</v>
      </c>
      <c r="AB624" s="396">
        <f>SUM(Y624:AA624)/24</f>
        <v>0</v>
      </c>
    </row>
    <row r="625" spans="1:28" x14ac:dyDescent="0.3">
      <c r="A625" s="775" t="s">
        <v>76</v>
      </c>
      <c r="B625" s="776"/>
      <c r="C625" s="776"/>
      <c r="D625" s="776"/>
      <c r="E625" s="776"/>
      <c r="F625" s="776"/>
      <c r="G625" s="776"/>
      <c r="H625" s="636"/>
      <c r="I625" s="636"/>
      <c r="J625" s="636"/>
      <c r="K625" s="45" t="s">
        <v>75</v>
      </c>
      <c r="L625" s="108">
        <v>7.0000000000000007E-2</v>
      </c>
      <c r="M625" s="109"/>
      <c r="O625" s="396">
        <f>5*C277</f>
        <v>0</v>
      </c>
      <c r="P625" s="396">
        <f>G277</f>
        <v>0</v>
      </c>
      <c r="Q625" s="396">
        <f>K277</f>
        <v>0</v>
      </c>
      <c r="R625" s="396">
        <f>SUM(O625:Q625)/7</f>
        <v>0</v>
      </c>
      <c r="T625" s="396">
        <f>5*A278</f>
        <v>0</v>
      </c>
      <c r="U625" s="396">
        <f>E278</f>
        <v>0</v>
      </c>
      <c r="V625" s="396">
        <f>I278</f>
        <v>0</v>
      </c>
      <c r="W625" s="396">
        <f>SUM(T625:V625)/7</f>
        <v>0</v>
      </c>
      <c r="Y625" s="396">
        <f>O625*T625/5</f>
        <v>0</v>
      </c>
      <c r="Z625" s="396">
        <f t="shared" si="258"/>
        <v>0</v>
      </c>
      <c r="AA625" s="396">
        <f t="shared" si="258"/>
        <v>0</v>
      </c>
      <c r="AB625" s="396">
        <f>SUM(Y625:AA625)/24</f>
        <v>0</v>
      </c>
    </row>
    <row r="626" spans="1:28" x14ac:dyDescent="0.3">
      <c r="A626" s="636"/>
      <c r="B626" s="636"/>
      <c r="C626" s="636"/>
      <c r="D626" s="636"/>
      <c r="E626" s="636"/>
      <c r="F626" s="636"/>
      <c r="G626" s="636"/>
      <c r="H626" s="636"/>
      <c r="I626" s="636"/>
      <c r="J626" s="636"/>
      <c r="K626" s="45" t="s">
        <v>77</v>
      </c>
      <c r="L626" s="108">
        <v>15</v>
      </c>
      <c r="M626" s="109"/>
      <c r="R626" s="1">
        <f>SUM(R621:R625)</f>
        <v>0</v>
      </c>
      <c r="W626" s="1">
        <f>SUM(W621:W625)</f>
        <v>0</v>
      </c>
      <c r="AB626" s="1">
        <f>SUM(AB621:AB625)</f>
        <v>0</v>
      </c>
    </row>
    <row r="627" spans="1:28" ht="18.600000000000001" x14ac:dyDescent="0.4">
      <c r="A627" s="667" t="s">
        <v>78</v>
      </c>
      <c r="B627" s="762"/>
      <c r="C627" s="762"/>
      <c r="D627" s="762"/>
      <c r="E627" s="762"/>
      <c r="F627" s="762"/>
      <c r="G627" s="762"/>
      <c r="H627" s="589"/>
      <c r="I627" s="589"/>
      <c r="J627" s="589"/>
      <c r="K627" s="45" t="s">
        <v>82</v>
      </c>
      <c r="L627" s="108">
        <v>3.5</v>
      </c>
      <c r="M627" s="109"/>
    </row>
    <row r="628" spans="1:28" ht="18" hidden="1" x14ac:dyDescent="0.35">
      <c r="A628" s="769" t="s">
        <v>79</v>
      </c>
      <c r="B628" s="771"/>
      <c r="C628" s="771"/>
      <c r="D628" s="771"/>
      <c r="E628" s="771"/>
      <c r="F628" s="771"/>
      <c r="G628" s="771"/>
      <c r="H628" s="771"/>
      <c r="I628" s="771"/>
      <c r="J628" s="771"/>
      <c r="K628" s="771"/>
      <c r="L628" s="771"/>
      <c r="M628" s="199"/>
      <c r="R628" s="1">
        <f>R626*W626/168</f>
        <v>0</v>
      </c>
      <c r="W628" s="1" t="e">
        <f>AB626/W626</f>
        <v>#DIV/0!</v>
      </c>
    </row>
    <row r="629" spans="1:28" ht="18" hidden="1" x14ac:dyDescent="0.35">
      <c r="A629" s="769" t="s">
        <v>80</v>
      </c>
      <c r="B629" s="771"/>
      <c r="C629" s="771"/>
      <c r="D629" s="771"/>
      <c r="E629" s="771"/>
      <c r="F629" s="771"/>
      <c r="G629" s="771"/>
      <c r="H629" s="771"/>
      <c r="I629" s="771"/>
      <c r="J629" s="771"/>
      <c r="K629" s="771"/>
      <c r="L629" s="771"/>
      <c r="M629" s="199"/>
    </row>
    <row r="630" spans="1:28" ht="18" hidden="1" x14ac:dyDescent="0.35">
      <c r="A630" s="769" t="s">
        <v>81</v>
      </c>
      <c r="B630" s="771"/>
      <c r="C630" s="771"/>
      <c r="D630" s="771"/>
      <c r="E630" s="771"/>
      <c r="F630" s="771"/>
      <c r="G630" s="771"/>
      <c r="H630" s="771"/>
      <c r="I630" s="771"/>
      <c r="J630" s="771"/>
      <c r="K630" s="771"/>
      <c r="L630" s="771"/>
      <c r="M630" s="199"/>
    </row>
    <row r="631" spans="1:28" ht="18" x14ac:dyDescent="0.35">
      <c r="A631" s="67"/>
      <c r="B631" s="97"/>
      <c r="C631" s="97"/>
      <c r="D631" s="97"/>
      <c r="E631" s="97"/>
      <c r="F631" s="97"/>
      <c r="G631" s="97"/>
      <c r="H631" s="14"/>
      <c r="I631" s="14"/>
      <c r="J631" s="14"/>
      <c r="K631" s="45"/>
      <c r="L631" s="109"/>
      <c r="M631" s="109"/>
    </row>
    <row r="632" spans="1:28" ht="18" x14ac:dyDescent="0.35">
      <c r="A632" s="667" t="s">
        <v>72</v>
      </c>
      <c r="B632" s="762"/>
      <c r="C632" s="762"/>
      <c r="D632" s="762"/>
      <c r="E632" s="762"/>
      <c r="F632" s="762"/>
      <c r="G632" s="762"/>
      <c r="H632" s="589"/>
      <c r="I632" s="589"/>
      <c r="J632" s="589"/>
      <c r="K632" s="662" t="s">
        <v>71</v>
      </c>
      <c r="L632" s="774" t="e">
        <f>(0.8*F25*L627*L625)/(1+(L626/L625)*((L623-L624)/(0.8*F25*L627))^2)</f>
        <v>#DIV/0!</v>
      </c>
      <c r="M632" s="320"/>
    </row>
    <row r="633" spans="1:28" ht="18" x14ac:dyDescent="0.35">
      <c r="A633" s="667" t="s">
        <v>73</v>
      </c>
      <c r="B633" s="762"/>
      <c r="C633" s="762"/>
      <c r="D633" s="762"/>
      <c r="E633" s="762"/>
      <c r="F633" s="762"/>
      <c r="G633" s="762"/>
      <c r="H633" s="589"/>
      <c r="I633" s="589"/>
      <c r="J633" s="589"/>
      <c r="K633" s="636"/>
      <c r="L633" s="774"/>
      <c r="M633" s="320"/>
    </row>
    <row r="634" spans="1:28" x14ac:dyDescent="0.3">
      <c r="C634"/>
    </row>
    <row r="638" spans="1:28" ht="18" hidden="1" thickTop="1" x14ac:dyDescent="0.3">
      <c r="A638" s="845" t="s">
        <v>466</v>
      </c>
      <c r="B638" s="846"/>
      <c r="C638" s="846"/>
      <c r="D638" s="846"/>
      <c r="E638" s="846"/>
      <c r="F638" s="846"/>
      <c r="G638" s="846"/>
      <c r="H638" s="846"/>
      <c r="I638" s="846"/>
      <c r="J638" s="846"/>
      <c r="K638" s="846"/>
      <c r="L638" s="847"/>
      <c r="M638" s="314"/>
    </row>
    <row r="639" spans="1:28" hidden="1" x14ac:dyDescent="0.3">
      <c r="A639" s="145">
        <v>0</v>
      </c>
      <c r="B639" s="9">
        <v>1</v>
      </c>
      <c r="C639" s="9">
        <v>2</v>
      </c>
      <c r="D639" s="9">
        <v>3</v>
      </c>
      <c r="E639" s="9">
        <v>4</v>
      </c>
      <c r="F639" s="9">
        <v>5</v>
      </c>
      <c r="G639" s="9">
        <v>6</v>
      </c>
      <c r="H639" s="9">
        <v>7</v>
      </c>
      <c r="I639" s="9">
        <v>8</v>
      </c>
      <c r="J639" s="9">
        <v>9</v>
      </c>
      <c r="K639" s="9">
        <v>10</v>
      </c>
      <c r="L639" s="146">
        <v>11</v>
      </c>
      <c r="M639" s="162"/>
    </row>
    <row r="640" spans="1:28" hidden="1" x14ac:dyDescent="0.3">
      <c r="A640" s="898" t="s">
        <v>467</v>
      </c>
      <c r="B640" s="593"/>
      <c r="C640" s="593"/>
      <c r="D640" s="593"/>
      <c r="E640" s="593"/>
      <c r="F640" s="593"/>
      <c r="G640" s="593"/>
      <c r="H640" s="593"/>
      <c r="I640" s="593"/>
      <c r="J640" s="593"/>
      <c r="K640" s="593"/>
      <c r="L640" s="899"/>
      <c r="M640" s="314"/>
    </row>
    <row r="641" spans="1:69" ht="18" hidden="1" thickBot="1" x14ac:dyDescent="0.35">
      <c r="A641" s="155" t="e">
        <f t="shared" ref="A641:L641" si="259">O315+$L$632</f>
        <v>#DIV/0!</v>
      </c>
      <c r="B641" s="155" t="e">
        <f t="shared" si="259"/>
        <v>#DIV/0!</v>
      </c>
      <c r="C641" s="155" t="e">
        <f t="shared" si="259"/>
        <v>#DIV/0!</v>
      </c>
      <c r="D641" s="155" t="e">
        <f t="shared" si="259"/>
        <v>#DIV/0!</v>
      </c>
      <c r="E641" s="155" t="e">
        <f t="shared" si="259"/>
        <v>#DIV/0!</v>
      </c>
      <c r="F641" s="155" t="e">
        <f t="shared" si="259"/>
        <v>#DIV/0!</v>
      </c>
      <c r="G641" s="155" t="e">
        <f t="shared" si="259"/>
        <v>#DIV/0!</v>
      </c>
      <c r="H641" s="155" t="e">
        <f t="shared" si="259"/>
        <v>#DIV/0!</v>
      </c>
      <c r="I641" s="155" t="e">
        <f t="shared" si="259"/>
        <v>#DIV/0!</v>
      </c>
      <c r="J641" s="155" t="e">
        <f t="shared" si="259"/>
        <v>#DIV/0!</v>
      </c>
      <c r="K641" s="155" t="e">
        <f t="shared" si="259"/>
        <v>#DIV/0!</v>
      </c>
      <c r="L641" s="155" t="e">
        <f t="shared" si="259"/>
        <v>#DIV/0!</v>
      </c>
      <c r="M641" s="321"/>
      <c r="N641" s="1" t="e">
        <f t="shared" ref="N641:Y641" si="260">O319+$L$632</f>
        <v>#DIV/0!</v>
      </c>
      <c r="O641" s="1" t="e">
        <f t="shared" si="260"/>
        <v>#DIV/0!</v>
      </c>
      <c r="P641" s="1" t="e">
        <f t="shared" si="260"/>
        <v>#DIV/0!</v>
      </c>
      <c r="Q641" s="1" t="e">
        <f t="shared" si="260"/>
        <v>#DIV/0!</v>
      </c>
      <c r="R641" s="1" t="e">
        <f t="shared" si="260"/>
        <v>#DIV/0!</v>
      </c>
      <c r="S641" s="1" t="e">
        <f t="shared" si="260"/>
        <v>#DIV/0!</v>
      </c>
      <c r="T641" s="1" t="e">
        <f t="shared" si="260"/>
        <v>#DIV/0!</v>
      </c>
      <c r="U641" s="1" t="e">
        <f t="shared" si="260"/>
        <v>#DIV/0!</v>
      </c>
      <c r="V641" s="1" t="e">
        <f t="shared" si="260"/>
        <v>#DIV/0!</v>
      </c>
      <c r="W641" s="1" t="e">
        <f t="shared" si="260"/>
        <v>#DIV/0!</v>
      </c>
      <c r="X641" s="1" t="e">
        <f t="shared" si="260"/>
        <v>#DIV/0!</v>
      </c>
      <c r="Y641" s="1" t="e">
        <f t="shared" si="260"/>
        <v>#DIV/0!</v>
      </c>
    </row>
    <row r="642" spans="1:69" ht="18" hidden="1" thickTop="1" x14ac:dyDescent="0.3">
      <c r="A642" s="845" t="s">
        <v>466</v>
      </c>
      <c r="B642" s="846"/>
      <c r="C642" s="846"/>
      <c r="D642" s="846"/>
      <c r="E642" s="846"/>
      <c r="F642" s="846"/>
      <c r="G642" s="846"/>
      <c r="H642" s="846"/>
      <c r="I642" s="846"/>
      <c r="J642" s="846"/>
      <c r="K642" s="846"/>
      <c r="L642" s="847"/>
      <c r="M642" s="314"/>
    </row>
    <row r="643" spans="1:69" hidden="1" x14ac:dyDescent="0.3">
      <c r="A643" s="147">
        <v>12</v>
      </c>
      <c r="B643" s="21">
        <v>13</v>
      </c>
      <c r="C643" s="21">
        <v>14</v>
      </c>
      <c r="D643" s="21">
        <v>15</v>
      </c>
      <c r="E643" s="21">
        <v>16</v>
      </c>
      <c r="F643" s="21">
        <v>17</v>
      </c>
      <c r="G643" s="21">
        <v>18</v>
      </c>
      <c r="H643" s="21">
        <v>19</v>
      </c>
      <c r="I643" s="21">
        <v>20</v>
      </c>
      <c r="J643" s="21">
        <v>21</v>
      </c>
      <c r="K643" s="21">
        <v>22</v>
      </c>
      <c r="L643" s="156">
        <v>23</v>
      </c>
      <c r="M643" s="321"/>
    </row>
    <row r="644" spans="1:69" ht="18.75" hidden="1" customHeight="1" x14ac:dyDescent="0.3">
      <c r="A644" s="898" t="s">
        <v>467</v>
      </c>
      <c r="B644" s="593"/>
      <c r="C644" s="593"/>
      <c r="D644" s="593"/>
      <c r="E644" s="593"/>
      <c r="F644" s="593"/>
      <c r="G644" s="593"/>
      <c r="H644" s="593"/>
      <c r="I644" s="593"/>
      <c r="J644" s="593"/>
      <c r="K644" s="593"/>
      <c r="L644" s="899"/>
      <c r="M644" s="314"/>
    </row>
    <row r="645" spans="1:69" ht="18.75" hidden="1" customHeight="1" thickBot="1" x14ac:dyDescent="0.35">
      <c r="A645" s="157" t="e">
        <f t="shared" ref="A645:L645" si="261">O319+$L$632</f>
        <v>#DIV/0!</v>
      </c>
      <c r="B645" s="157" t="e">
        <f t="shared" si="261"/>
        <v>#DIV/0!</v>
      </c>
      <c r="C645" s="157" t="e">
        <f t="shared" si="261"/>
        <v>#DIV/0!</v>
      </c>
      <c r="D645" s="157" t="e">
        <f t="shared" si="261"/>
        <v>#DIV/0!</v>
      </c>
      <c r="E645" s="157" t="e">
        <f t="shared" si="261"/>
        <v>#DIV/0!</v>
      </c>
      <c r="F645" s="157" t="e">
        <f t="shared" si="261"/>
        <v>#DIV/0!</v>
      </c>
      <c r="G645" s="157" t="e">
        <f t="shared" si="261"/>
        <v>#DIV/0!</v>
      </c>
      <c r="H645" s="157" t="e">
        <f t="shared" si="261"/>
        <v>#DIV/0!</v>
      </c>
      <c r="I645" s="157" t="e">
        <f t="shared" si="261"/>
        <v>#DIV/0!</v>
      </c>
      <c r="J645" s="157" t="e">
        <f t="shared" si="261"/>
        <v>#DIV/0!</v>
      </c>
      <c r="K645" s="157" t="e">
        <f t="shared" si="261"/>
        <v>#DIV/0!</v>
      </c>
      <c r="L645" s="157" t="e">
        <f t="shared" si="261"/>
        <v>#DIV/0!</v>
      </c>
      <c r="M645" s="321"/>
    </row>
    <row r="646" spans="1:69" ht="18.75" hidden="1" customHeight="1" x14ac:dyDescent="0.3"/>
    <row r="647" spans="1:69" ht="18.600000000000001" x14ac:dyDescent="0.4">
      <c r="A647" s="667" t="s">
        <v>264</v>
      </c>
      <c r="B647" s="762"/>
      <c r="C647" s="762"/>
      <c r="D647" s="762"/>
      <c r="E647" s="762"/>
      <c r="F647" s="762"/>
      <c r="G647" s="762"/>
      <c r="H647" s="589"/>
      <c r="I647" s="589"/>
      <c r="J647" s="589"/>
      <c r="K647" s="45" t="s">
        <v>84</v>
      </c>
      <c r="L647" s="108">
        <v>19</v>
      </c>
      <c r="M647" s="109"/>
    </row>
    <row r="648" spans="1:69" ht="18.600000000000001" x14ac:dyDescent="0.4">
      <c r="A648" s="667" t="s">
        <v>265</v>
      </c>
      <c r="B648" s="762"/>
      <c r="C648" s="762"/>
      <c r="D648" s="762"/>
      <c r="E648" s="762"/>
      <c r="F648" s="762"/>
      <c r="G648" s="762"/>
      <c r="H648" s="589"/>
      <c r="I648" s="589"/>
      <c r="J648" s="589"/>
      <c r="K648" s="45" t="s">
        <v>84</v>
      </c>
      <c r="L648" s="108">
        <v>22</v>
      </c>
      <c r="M648" s="109"/>
    </row>
    <row r="650" spans="1:69" ht="19.8" hidden="1" x14ac:dyDescent="0.4">
      <c r="A650" s="667" t="s">
        <v>641</v>
      </c>
      <c r="B650" s="762"/>
      <c r="C650" s="762"/>
      <c r="D650" s="762"/>
      <c r="E650" s="762"/>
      <c r="F650" s="762"/>
      <c r="G650" s="762"/>
      <c r="H650" s="762"/>
      <c r="I650" s="762"/>
      <c r="J650" s="19" t="s">
        <v>919</v>
      </c>
      <c r="K650" s="371">
        <f>E614</f>
        <v>3.0911375851355082E-42</v>
      </c>
      <c r="L650" s="25"/>
      <c r="M650" s="329"/>
      <c r="AT650" s="929">
        <f>SUM(AT456:BQ456)</f>
        <v>0</v>
      </c>
      <c r="AU650" s="929"/>
      <c r="AV650" s="929"/>
      <c r="AW650" s="929"/>
      <c r="AX650" s="929"/>
      <c r="AY650" s="929"/>
      <c r="AZ650" s="929"/>
      <c r="BA650" s="929"/>
      <c r="BB650" s="929"/>
      <c r="BC650" s="929"/>
      <c r="BD650" s="929"/>
      <c r="BE650" s="929"/>
      <c r="BF650" s="929"/>
      <c r="BG650" s="929"/>
      <c r="BH650" s="929"/>
      <c r="BI650" s="929"/>
      <c r="BJ650" s="929"/>
      <c r="BK650" s="929"/>
      <c r="BL650" s="929"/>
      <c r="BM650" s="929"/>
      <c r="BN650" s="929"/>
      <c r="BO650" s="929"/>
      <c r="BP650" s="929"/>
      <c r="BQ650" s="929"/>
    </row>
    <row r="651" spans="1:69" hidden="1" x14ac:dyDescent="0.3">
      <c r="J651" s="18"/>
    </row>
    <row r="652" spans="1:69" ht="19.8" hidden="1" x14ac:dyDescent="0.4">
      <c r="A652" s="667" t="s">
        <v>642</v>
      </c>
      <c r="B652" s="762"/>
      <c r="C652" s="762"/>
      <c r="D652" s="762"/>
      <c r="E652" s="762"/>
      <c r="F652" s="762"/>
      <c r="G652" s="762"/>
      <c r="H652" s="762"/>
      <c r="I652" s="762"/>
      <c r="J652" s="19" t="s">
        <v>920</v>
      </c>
      <c r="K652" s="33">
        <f>F614</f>
        <v>4.118757940282205E-42</v>
      </c>
      <c r="L652" s="25"/>
      <c r="M652" s="329"/>
      <c r="AS652" s="205" t="s">
        <v>606</v>
      </c>
      <c r="AT652" s="31" t="e">
        <f>AT650+AT442+AT424+#REF!+#REF!</f>
        <v>#REF!</v>
      </c>
    </row>
    <row r="653" spans="1:69" hidden="1" x14ac:dyDescent="0.3"/>
    <row r="654" spans="1:69" ht="20.399999999999999" x14ac:dyDescent="0.45">
      <c r="A654" s="667" t="s">
        <v>975</v>
      </c>
      <c r="B654" s="762"/>
      <c r="C654" s="762"/>
      <c r="D654" s="762"/>
      <c r="E654" s="762"/>
      <c r="F654" s="762"/>
      <c r="G654" s="762"/>
      <c r="H654" s="762"/>
      <c r="I654" s="762"/>
      <c r="J654" s="19" t="s">
        <v>931</v>
      </c>
      <c r="K654" s="20">
        <f>0.34*(0.3*(0.8*$F$25))</f>
        <v>0</v>
      </c>
      <c r="L654" s="25"/>
      <c r="M654" s="329"/>
    </row>
    <row r="655" spans="1:69" ht="18" x14ac:dyDescent="0.35">
      <c r="A655" s="67"/>
      <c r="B655" s="97"/>
      <c r="C655" s="97"/>
      <c r="D655" s="97"/>
      <c r="E655" s="97"/>
      <c r="F655" s="97"/>
      <c r="G655" s="97"/>
      <c r="H655" s="97"/>
      <c r="I655" s="97"/>
      <c r="J655" s="19"/>
      <c r="K655" s="20"/>
      <c r="L655" s="25"/>
      <c r="M655" s="329"/>
    </row>
    <row r="656" spans="1:69" ht="18" x14ac:dyDescent="0.35">
      <c r="A656" s="644" t="s">
        <v>869</v>
      </c>
      <c r="B656" s="766"/>
      <c r="C656" s="766"/>
      <c r="D656" s="766"/>
      <c r="E656" s="766"/>
      <c r="F656" s="766"/>
      <c r="G656" s="766"/>
      <c r="H656" s="766"/>
      <c r="I656" s="766"/>
      <c r="J656" s="589"/>
      <c r="K656" s="589"/>
      <c r="L656" s="589"/>
      <c r="M656" s="199"/>
    </row>
    <row r="657" spans="1:13" ht="18.600000000000001" x14ac:dyDescent="0.4">
      <c r="A657" s="667" t="s">
        <v>868</v>
      </c>
      <c r="B657" s="762"/>
      <c r="C657" s="762"/>
      <c r="D657" s="762"/>
      <c r="E657" s="762"/>
      <c r="F657" s="762"/>
      <c r="G657" s="762"/>
      <c r="H657" s="589"/>
      <c r="I657" s="589"/>
      <c r="J657" s="589"/>
      <c r="K657" s="45" t="s">
        <v>867</v>
      </c>
      <c r="L657" s="437">
        <f>4*0.55*5.67*(10^(-8))*(10+273)^3</f>
        <v>2.8272554263800003</v>
      </c>
      <c r="M657" s="436"/>
    </row>
    <row r="658" spans="1:13" x14ac:dyDescent="0.3">
      <c r="D658"/>
    </row>
    <row r="660" spans="1:13" ht="18" x14ac:dyDescent="0.35">
      <c r="A660" s="667" t="s">
        <v>866</v>
      </c>
      <c r="B660" s="762"/>
      <c r="C660" s="762"/>
      <c r="D660" s="762"/>
      <c r="E660" s="762"/>
      <c r="F660" s="762"/>
      <c r="G660" s="762"/>
      <c r="H660" s="589"/>
      <c r="I660" s="589"/>
      <c r="J660" s="589"/>
      <c r="K660" s="589"/>
      <c r="L660" s="589"/>
      <c r="M660" s="199"/>
    </row>
    <row r="662" spans="1:13" ht="18" x14ac:dyDescent="0.35">
      <c r="A662" s="644" t="s">
        <v>163</v>
      </c>
      <c r="B662" s="766"/>
      <c r="C662" s="766"/>
      <c r="D662" s="766"/>
      <c r="E662" s="766"/>
      <c r="F662" s="766"/>
      <c r="G662" s="766"/>
      <c r="H662" s="674"/>
      <c r="I662" s="674"/>
      <c r="J662" s="674"/>
    </row>
    <row r="663" spans="1:13" x14ac:dyDescent="0.3">
      <c r="B663" s="569" t="s">
        <v>164</v>
      </c>
      <c r="C663" s="569"/>
      <c r="D663" s="94" t="s">
        <v>12</v>
      </c>
      <c r="E663" s="94" t="s">
        <v>11</v>
      </c>
      <c r="F663" s="94" t="s">
        <v>10</v>
      </c>
      <c r="G663" s="94" t="s">
        <v>17</v>
      </c>
      <c r="H663" s="94" t="s">
        <v>16</v>
      </c>
      <c r="I663" s="94" t="s">
        <v>15</v>
      </c>
      <c r="J663" s="94" t="s">
        <v>14</v>
      </c>
      <c r="K663" s="94" t="s">
        <v>13</v>
      </c>
      <c r="L663" s="94" t="s">
        <v>427</v>
      </c>
      <c r="M663" s="330"/>
    </row>
    <row r="664" spans="1:13" ht="18.600000000000001" x14ac:dyDescent="0.3">
      <c r="B664" s="569" t="s">
        <v>177</v>
      </c>
      <c r="C664" s="569"/>
      <c r="D664" s="525" t="e">
        <f t="shared" ref="D664:L664" si="262">0.13*$I$406*D92*$L657*11</f>
        <v>#DIV/0!</v>
      </c>
      <c r="E664" s="525" t="e">
        <f t="shared" si="262"/>
        <v>#DIV/0!</v>
      </c>
      <c r="F664" s="525" t="e">
        <f t="shared" si="262"/>
        <v>#DIV/0!</v>
      </c>
      <c r="G664" s="525" t="e">
        <f t="shared" si="262"/>
        <v>#DIV/0!</v>
      </c>
      <c r="H664" s="525" t="e">
        <f t="shared" si="262"/>
        <v>#DIV/0!</v>
      </c>
      <c r="I664" s="525" t="e">
        <f t="shared" si="262"/>
        <v>#DIV/0!</v>
      </c>
      <c r="J664" s="525" t="e">
        <f t="shared" si="262"/>
        <v>#DIV/0!</v>
      </c>
      <c r="K664" s="525" t="e">
        <f t="shared" si="262"/>
        <v>#DIV/0!</v>
      </c>
      <c r="L664" s="525" t="e">
        <f t="shared" si="262"/>
        <v>#DIV/0!</v>
      </c>
      <c r="M664" s="161"/>
    </row>
    <row r="666" spans="1:13" x14ac:dyDescent="0.3">
      <c r="D666"/>
    </row>
    <row r="667" spans="1:13" ht="18.600000000000001" x14ac:dyDescent="0.4">
      <c r="A667" s="667" t="s">
        <v>178</v>
      </c>
      <c r="B667" s="762"/>
      <c r="C667" s="762"/>
      <c r="D667" s="762"/>
      <c r="E667" s="762"/>
      <c r="F667" s="762"/>
      <c r="G667" s="762"/>
      <c r="H667" s="589"/>
      <c r="I667" s="589"/>
      <c r="J667" s="589"/>
      <c r="K667" s="45" t="s">
        <v>229</v>
      </c>
      <c r="L667" s="112">
        <v>0.9</v>
      </c>
      <c r="M667" s="99"/>
    </row>
    <row r="668" spans="1:13" ht="18.600000000000001" x14ac:dyDescent="0.4">
      <c r="A668" s="667" t="s">
        <v>179</v>
      </c>
      <c r="B668" s="762"/>
      <c r="C668" s="762"/>
      <c r="D668" s="762"/>
      <c r="E668" s="762"/>
      <c r="F668" s="762"/>
      <c r="G668" s="762"/>
      <c r="H668" s="589"/>
      <c r="I668" s="589"/>
      <c r="J668" s="589"/>
      <c r="K668" s="45" t="s">
        <v>230</v>
      </c>
      <c r="L668" s="112">
        <v>0.9</v>
      </c>
      <c r="M668" s="99"/>
    </row>
    <row r="669" spans="1:13" ht="18.600000000000001" x14ac:dyDescent="0.4">
      <c r="A669" s="667" t="s">
        <v>180</v>
      </c>
      <c r="B669" s="762"/>
      <c r="C669" s="762"/>
      <c r="D669" s="762"/>
      <c r="E669" s="762"/>
      <c r="F669" s="762"/>
      <c r="G669" s="762"/>
      <c r="H669" s="589"/>
      <c r="I669" s="589"/>
      <c r="J669" s="589"/>
      <c r="K669" s="45" t="s">
        <v>231</v>
      </c>
      <c r="L669" s="112">
        <v>0.9</v>
      </c>
      <c r="M669" s="99"/>
    </row>
    <row r="670" spans="1:13" ht="18.600000000000001" x14ac:dyDescent="0.4">
      <c r="A670" s="667" t="s">
        <v>181</v>
      </c>
      <c r="B670" s="762"/>
      <c r="C670" s="762"/>
      <c r="D670" s="762"/>
      <c r="E670" s="762"/>
      <c r="F670" s="762"/>
      <c r="G670" s="762"/>
      <c r="H670" s="589"/>
      <c r="I670" s="589"/>
      <c r="J670" s="589"/>
      <c r="K670" s="45" t="s">
        <v>468</v>
      </c>
      <c r="L670" s="111">
        <f>L667*L668*L669</f>
        <v>0.72900000000000009</v>
      </c>
      <c r="M670" s="99"/>
    </row>
    <row r="671" spans="1:13" ht="18.600000000000001" x14ac:dyDescent="0.4">
      <c r="A671" s="667" t="s">
        <v>182</v>
      </c>
      <c r="B671" s="762"/>
      <c r="C671" s="762"/>
      <c r="D671" s="762"/>
      <c r="E671" s="762"/>
      <c r="F671" s="762"/>
      <c r="G671" s="762"/>
      <c r="H671" s="589"/>
      <c r="I671" s="589"/>
      <c r="J671" s="589"/>
      <c r="K671" s="45" t="s">
        <v>183</v>
      </c>
      <c r="L671" s="112">
        <v>0.75</v>
      </c>
      <c r="M671" s="99"/>
    </row>
    <row r="672" spans="1:13" ht="18" x14ac:dyDescent="0.35">
      <c r="A672" s="67"/>
      <c r="B672" s="97"/>
      <c r="C672" s="97"/>
      <c r="D672" s="97"/>
      <c r="E672" s="97"/>
      <c r="F672" s="97"/>
      <c r="G672" s="97"/>
      <c r="H672" s="14"/>
      <c r="I672" s="14"/>
      <c r="J672" s="14"/>
      <c r="K672" s="45"/>
      <c r="L672" s="111"/>
      <c r="M672" s="99"/>
    </row>
    <row r="673" spans="1:69" ht="18" x14ac:dyDescent="0.35">
      <c r="A673" s="644" t="s">
        <v>184</v>
      </c>
      <c r="B673" s="766"/>
      <c r="C673" s="766"/>
      <c r="D673" s="766"/>
      <c r="E673" s="766"/>
      <c r="F673" s="766"/>
      <c r="G673" s="766"/>
      <c r="H673" s="674"/>
      <c r="I673" s="674"/>
      <c r="J673" s="674"/>
    </row>
    <row r="674" spans="1:69" x14ac:dyDescent="0.3">
      <c r="A674" s="53"/>
      <c r="B674" s="603"/>
      <c r="C674" s="603"/>
      <c r="D674" s="94" t="s">
        <v>12</v>
      </c>
      <c r="E674" s="94" t="s">
        <v>11</v>
      </c>
      <c r="F674" s="94" t="s">
        <v>10</v>
      </c>
      <c r="G674" s="94" t="s">
        <v>17</v>
      </c>
      <c r="H674" s="94" t="s">
        <v>16</v>
      </c>
      <c r="I674" s="94" t="s">
        <v>15</v>
      </c>
      <c r="J674" s="94" t="s">
        <v>14</v>
      </c>
      <c r="K674" s="94" t="s">
        <v>13</v>
      </c>
      <c r="L674" s="94" t="s">
        <v>427</v>
      </c>
      <c r="M674" s="330"/>
    </row>
    <row r="675" spans="1:69" ht="18.600000000000001" x14ac:dyDescent="0.4">
      <c r="A675" s="53"/>
      <c r="B675" s="705" t="s">
        <v>185</v>
      </c>
      <c r="C675" s="694"/>
      <c r="D675" s="196">
        <f t="shared" ref="D675:L675" si="263">$L670*$L671*(1-0.2)*D92</f>
        <v>0</v>
      </c>
      <c r="E675" s="196">
        <f t="shared" si="263"/>
        <v>0</v>
      </c>
      <c r="F675" s="196">
        <f t="shared" si="263"/>
        <v>0</v>
      </c>
      <c r="G675" s="196">
        <f t="shared" si="263"/>
        <v>0</v>
      </c>
      <c r="H675" s="196">
        <f t="shared" si="263"/>
        <v>0</v>
      </c>
      <c r="I675" s="196">
        <f t="shared" si="263"/>
        <v>0</v>
      </c>
      <c r="J675" s="196">
        <f t="shared" si="263"/>
        <v>0</v>
      </c>
      <c r="K675" s="196">
        <f t="shared" si="263"/>
        <v>0</v>
      </c>
      <c r="L675" s="196">
        <f t="shared" si="263"/>
        <v>0</v>
      </c>
      <c r="M675" s="161"/>
    </row>
    <row r="678" spans="1:69" ht="18" x14ac:dyDescent="0.35">
      <c r="A678" s="644" t="s">
        <v>186</v>
      </c>
      <c r="B678" s="766"/>
      <c r="C678" s="766"/>
      <c r="D678" s="766"/>
      <c r="E678" s="766"/>
      <c r="F678" s="766"/>
      <c r="G678" s="766"/>
      <c r="H678" s="674"/>
      <c r="I678" s="674"/>
      <c r="J678" s="674"/>
    </row>
    <row r="679" spans="1:69" ht="18" x14ac:dyDescent="0.35">
      <c r="A679" s="67"/>
      <c r="B679" s="603"/>
      <c r="C679" s="603"/>
      <c r="D679" s="94" t="s">
        <v>12</v>
      </c>
      <c r="E679" s="94" t="s">
        <v>11</v>
      </c>
      <c r="F679" s="94" t="s">
        <v>10</v>
      </c>
      <c r="G679" s="94" t="s">
        <v>17</v>
      </c>
      <c r="H679" s="94" t="s">
        <v>16</v>
      </c>
      <c r="I679" s="94" t="s">
        <v>15</v>
      </c>
      <c r="J679" s="94" t="s">
        <v>14</v>
      </c>
      <c r="K679" s="94" t="s">
        <v>13</v>
      </c>
      <c r="L679" s="94" t="s">
        <v>427</v>
      </c>
      <c r="M679" s="330"/>
      <c r="N679" s="896" t="s">
        <v>302</v>
      </c>
      <c r="O679" s="589"/>
      <c r="P679" s="761"/>
      <c r="Q679" s="175" t="s">
        <v>945</v>
      </c>
      <c r="R679" s="299">
        <f t="shared" ref="R679:AO679" ca="1" si="264">(1/1000)*($P$696)*SUM(O228:O239)</f>
        <v>0</v>
      </c>
      <c r="S679" s="299">
        <f t="shared" ca="1" si="264"/>
        <v>0</v>
      </c>
      <c r="T679" s="299">
        <f t="shared" ca="1" si="264"/>
        <v>0</v>
      </c>
      <c r="U679" s="299">
        <f t="shared" ca="1" si="264"/>
        <v>0</v>
      </c>
      <c r="V679" s="393">
        <f t="shared" ca="1" si="264"/>
        <v>0</v>
      </c>
      <c r="W679" s="393">
        <f t="shared" ca="1" si="264"/>
        <v>0</v>
      </c>
      <c r="X679" s="393">
        <f t="shared" ca="1" si="264"/>
        <v>0</v>
      </c>
      <c r="Y679" s="393">
        <f t="shared" ca="1" si="264"/>
        <v>0</v>
      </c>
      <c r="Z679" s="393">
        <f t="shared" ca="1" si="264"/>
        <v>0</v>
      </c>
      <c r="AA679" s="393">
        <f t="shared" ca="1" si="264"/>
        <v>0</v>
      </c>
      <c r="AB679" s="393">
        <f t="shared" ca="1" si="264"/>
        <v>0</v>
      </c>
      <c r="AC679" s="393">
        <f t="shared" ca="1" si="264"/>
        <v>0</v>
      </c>
      <c r="AD679" s="393">
        <f t="shared" ca="1" si="264"/>
        <v>0</v>
      </c>
      <c r="AE679" s="393">
        <f t="shared" ca="1" si="264"/>
        <v>0</v>
      </c>
      <c r="AF679" s="393">
        <f t="shared" ca="1" si="264"/>
        <v>0</v>
      </c>
      <c r="AG679" s="393">
        <f t="shared" ca="1" si="264"/>
        <v>0</v>
      </c>
      <c r="AH679" s="393">
        <f t="shared" ca="1" si="264"/>
        <v>0</v>
      </c>
      <c r="AI679" s="393">
        <f t="shared" ca="1" si="264"/>
        <v>0</v>
      </c>
      <c r="AJ679" s="393">
        <f t="shared" ca="1" si="264"/>
        <v>0</v>
      </c>
      <c r="AK679" s="393">
        <f t="shared" ca="1" si="264"/>
        <v>0</v>
      </c>
      <c r="AL679" s="393">
        <f t="shared" ca="1" si="264"/>
        <v>0</v>
      </c>
      <c r="AM679" s="393">
        <f t="shared" ca="1" si="264"/>
        <v>0</v>
      </c>
      <c r="AN679" s="393">
        <f t="shared" ca="1" si="264"/>
        <v>0</v>
      </c>
      <c r="AO679" s="393">
        <f t="shared" ca="1" si="264"/>
        <v>0</v>
      </c>
      <c r="AP679" s="394">
        <f ca="1">SUM(R679:AO679)</f>
        <v>0</v>
      </c>
    </row>
    <row r="680" spans="1:69" ht="18.600000000000001" x14ac:dyDescent="0.4">
      <c r="A680" s="67"/>
      <c r="B680" s="705" t="s">
        <v>189</v>
      </c>
      <c r="C680" s="694"/>
      <c r="D680" s="532">
        <f t="shared" ref="D680:K680" si="265">D49-D92</f>
        <v>0</v>
      </c>
      <c r="E680" s="532">
        <f t="shared" si="265"/>
        <v>0</v>
      </c>
      <c r="F680" s="532">
        <f t="shared" si="265"/>
        <v>0</v>
      </c>
      <c r="G680" s="532">
        <f t="shared" si="265"/>
        <v>0</v>
      </c>
      <c r="H680" s="532">
        <f t="shared" si="265"/>
        <v>0</v>
      </c>
      <c r="I680" s="532">
        <f t="shared" si="265"/>
        <v>0</v>
      </c>
      <c r="J680" s="520">
        <f t="shared" si="265"/>
        <v>0</v>
      </c>
      <c r="K680" s="532">
        <f t="shared" si="265"/>
        <v>0</v>
      </c>
      <c r="L680" s="532">
        <f>H153+H154-L92</f>
        <v>1E-22</v>
      </c>
      <c r="M680" s="332"/>
      <c r="N680" s="896" t="s">
        <v>616</v>
      </c>
      <c r="O680" s="589"/>
      <c r="P680" s="761"/>
      <c r="Q680" s="175" t="s">
        <v>945</v>
      </c>
      <c r="R680" s="299">
        <f t="shared" ref="R680:AO680" ca="1" si="266">(1/1000)*($P$697)*SUM(O228:O239)</f>
        <v>0</v>
      </c>
      <c r="S680" s="299">
        <f t="shared" ca="1" si="266"/>
        <v>0</v>
      </c>
      <c r="T680" s="299">
        <f t="shared" ca="1" si="266"/>
        <v>0</v>
      </c>
      <c r="U680" s="299">
        <f t="shared" ca="1" si="266"/>
        <v>0</v>
      </c>
      <c r="V680" s="299">
        <f t="shared" ca="1" si="266"/>
        <v>0</v>
      </c>
      <c r="W680" s="299">
        <f t="shared" ca="1" si="266"/>
        <v>0</v>
      </c>
      <c r="X680" s="299">
        <f t="shared" ca="1" si="266"/>
        <v>0</v>
      </c>
      <c r="Y680" s="299">
        <f t="shared" ca="1" si="266"/>
        <v>0</v>
      </c>
      <c r="Z680" s="299">
        <f t="shared" ca="1" si="266"/>
        <v>0</v>
      </c>
      <c r="AA680" s="299">
        <f t="shared" ca="1" si="266"/>
        <v>0</v>
      </c>
      <c r="AB680" s="299">
        <f t="shared" ca="1" si="266"/>
        <v>0</v>
      </c>
      <c r="AC680" s="299">
        <f t="shared" ca="1" si="266"/>
        <v>0</v>
      </c>
      <c r="AD680" s="299">
        <f t="shared" ca="1" si="266"/>
        <v>0</v>
      </c>
      <c r="AE680" s="299">
        <f t="shared" ca="1" si="266"/>
        <v>0</v>
      </c>
      <c r="AF680" s="299">
        <f t="shared" ca="1" si="266"/>
        <v>0</v>
      </c>
      <c r="AG680" s="299">
        <f t="shared" ca="1" si="266"/>
        <v>0</v>
      </c>
      <c r="AH680" s="299">
        <f t="shared" ca="1" si="266"/>
        <v>0</v>
      </c>
      <c r="AI680" s="299">
        <f t="shared" ca="1" si="266"/>
        <v>0</v>
      </c>
      <c r="AJ680" s="299">
        <f t="shared" ca="1" si="266"/>
        <v>0</v>
      </c>
      <c r="AK680" s="299">
        <f t="shared" ca="1" si="266"/>
        <v>0</v>
      </c>
      <c r="AL680" s="299">
        <f t="shared" ca="1" si="266"/>
        <v>0</v>
      </c>
      <c r="AM680" s="299">
        <f t="shared" ca="1" si="266"/>
        <v>0</v>
      </c>
      <c r="AN680" s="299">
        <f t="shared" ca="1" si="266"/>
        <v>0</v>
      </c>
      <c r="AO680" s="299">
        <f t="shared" ca="1" si="266"/>
        <v>0</v>
      </c>
      <c r="AP680" s="394">
        <f ca="1">SUM(R680:AO680)</f>
        <v>0</v>
      </c>
    </row>
    <row r="681" spans="1:69" ht="18.600000000000001" x14ac:dyDescent="0.4">
      <c r="A681" s="67"/>
      <c r="B681" s="705" t="s">
        <v>188</v>
      </c>
      <c r="C681" s="694"/>
      <c r="D681" s="532" t="e">
        <f>I398</f>
        <v>#DIV/0!</v>
      </c>
      <c r="E681" s="532" t="e">
        <f>D681</f>
        <v>#DIV/0!</v>
      </c>
      <c r="F681" s="532" t="e">
        <f t="shared" ref="F681:K681" si="267">E681</f>
        <v>#DIV/0!</v>
      </c>
      <c r="G681" s="532" t="e">
        <f t="shared" si="267"/>
        <v>#DIV/0!</v>
      </c>
      <c r="H681" s="532" t="e">
        <f t="shared" si="267"/>
        <v>#DIV/0!</v>
      </c>
      <c r="I681" s="532" t="e">
        <f t="shared" si="267"/>
        <v>#DIV/0!</v>
      </c>
      <c r="J681" s="532" t="e">
        <f t="shared" si="267"/>
        <v>#DIV/0!</v>
      </c>
      <c r="K681" s="532" t="e">
        <f t="shared" si="267"/>
        <v>#DIV/0!</v>
      </c>
      <c r="L681" s="532">
        <f ca="1">(I405*H153+L1115*H154)/(H153+H154)</f>
        <v>0.25069822466978497</v>
      </c>
      <c r="M681" s="332"/>
      <c r="N681" s="896" t="s">
        <v>676</v>
      </c>
      <c r="O681" s="589"/>
      <c r="P681" s="761"/>
      <c r="Q681" s="175" t="s">
        <v>945</v>
      </c>
      <c r="R681" s="299">
        <f t="shared" ref="R681:AO681" ca="1" si="268">(1/1000)*($P$698)*SUM(O228:O239)</f>
        <v>0</v>
      </c>
      <c r="S681" s="299">
        <f t="shared" ca="1" si="268"/>
        <v>0</v>
      </c>
      <c r="T681" s="299">
        <f t="shared" ca="1" si="268"/>
        <v>0</v>
      </c>
      <c r="U681" s="299">
        <f t="shared" ca="1" si="268"/>
        <v>0</v>
      </c>
      <c r="V681" s="299">
        <f t="shared" ca="1" si="268"/>
        <v>0</v>
      </c>
      <c r="W681" s="299">
        <f t="shared" ca="1" si="268"/>
        <v>0</v>
      </c>
      <c r="X681" s="299">
        <f t="shared" ca="1" si="268"/>
        <v>0</v>
      </c>
      <c r="Y681" s="299">
        <f t="shared" ca="1" si="268"/>
        <v>0</v>
      </c>
      <c r="Z681" s="299">
        <f t="shared" ca="1" si="268"/>
        <v>0</v>
      </c>
      <c r="AA681" s="299">
        <f t="shared" ca="1" si="268"/>
        <v>0</v>
      </c>
      <c r="AB681" s="299">
        <f t="shared" ca="1" si="268"/>
        <v>0</v>
      </c>
      <c r="AC681" s="299">
        <f t="shared" ca="1" si="268"/>
        <v>0</v>
      </c>
      <c r="AD681" s="299">
        <f t="shared" ca="1" si="268"/>
        <v>0</v>
      </c>
      <c r="AE681" s="299">
        <f t="shared" ca="1" si="268"/>
        <v>0</v>
      </c>
      <c r="AF681" s="299">
        <f t="shared" ca="1" si="268"/>
        <v>0</v>
      </c>
      <c r="AG681" s="299">
        <f t="shared" ca="1" si="268"/>
        <v>0</v>
      </c>
      <c r="AH681" s="299">
        <f t="shared" ca="1" si="268"/>
        <v>0</v>
      </c>
      <c r="AI681" s="299">
        <f t="shared" ca="1" si="268"/>
        <v>0</v>
      </c>
      <c r="AJ681" s="299">
        <f t="shared" ca="1" si="268"/>
        <v>0</v>
      </c>
      <c r="AK681" s="299">
        <f t="shared" ca="1" si="268"/>
        <v>0</v>
      </c>
      <c r="AL681" s="299">
        <f t="shared" ca="1" si="268"/>
        <v>0</v>
      </c>
      <c r="AM681" s="299">
        <f t="shared" ca="1" si="268"/>
        <v>0</v>
      </c>
      <c r="AN681" s="299">
        <f t="shared" ca="1" si="268"/>
        <v>0</v>
      </c>
      <c r="AO681" s="299">
        <f t="shared" ca="1" si="268"/>
        <v>0</v>
      </c>
      <c r="AP681" s="300">
        <f ca="1">SUM(R681:AO681)</f>
        <v>0</v>
      </c>
    </row>
    <row r="682" spans="1:69" ht="18.600000000000001" x14ac:dyDescent="0.4">
      <c r="B682" s="705" t="s">
        <v>187</v>
      </c>
      <c r="C682" s="694"/>
      <c r="D682" s="533">
        <v>0.6</v>
      </c>
      <c r="E682" s="532">
        <f>D682</f>
        <v>0.6</v>
      </c>
      <c r="F682" s="532">
        <f t="shared" ref="F682:K682" si="269">E682</f>
        <v>0.6</v>
      </c>
      <c r="G682" s="532">
        <f t="shared" si="269"/>
        <v>0.6</v>
      </c>
      <c r="H682" s="532">
        <f t="shared" si="269"/>
        <v>0.6</v>
      </c>
      <c r="I682" s="532">
        <f t="shared" si="269"/>
        <v>0.6</v>
      </c>
      <c r="J682" s="532">
        <f t="shared" si="269"/>
        <v>0.6</v>
      </c>
      <c r="K682" s="532">
        <f t="shared" si="269"/>
        <v>0.6</v>
      </c>
      <c r="L682" s="533">
        <v>0.6</v>
      </c>
      <c r="M682" s="332"/>
    </row>
    <row r="683" spans="1:69" ht="18.600000000000001" x14ac:dyDescent="0.4">
      <c r="B683" s="705" t="s">
        <v>185</v>
      </c>
      <c r="C683" s="694"/>
      <c r="D683" s="532" t="e">
        <f t="shared" ref="D683:L683" si="270">0.04*D682*D681*D680</f>
        <v>#DIV/0!</v>
      </c>
      <c r="E683" s="532" t="e">
        <f t="shared" si="270"/>
        <v>#DIV/0!</v>
      </c>
      <c r="F683" s="532" t="e">
        <f t="shared" si="270"/>
        <v>#DIV/0!</v>
      </c>
      <c r="G683" s="532" t="e">
        <f t="shared" si="270"/>
        <v>#DIV/0!</v>
      </c>
      <c r="H683" s="532" t="e">
        <f t="shared" si="270"/>
        <v>#DIV/0!</v>
      </c>
      <c r="I683" s="532" t="e">
        <f t="shared" si="270"/>
        <v>#DIV/0!</v>
      </c>
      <c r="J683" s="532" t="e">
        <f t="shared" si="270"/>
        <v>#DIV/0!</v>
      </c>
      <c r="K683" s="532" t="e">
        <f t="shared" si="270"/>
        <v>#DIV/0!</v>
      </c>
      <c r="L683" s="532">
        <f t="shared" ca="1" si="270"/>
        <v>6.0167573920748405E-25</v>
      </c>
      <c r="M683" s="336"/>
      <c r="N683" s="310"/>
      <c r="O683" s="114"/>
      <c r="P683" s="170" t="s">
        <v>466</v>
      </c>
      <c r="Q683" s="170" t="s">
        <v>950</v>
      </c>
      <c r="R683" s="171">
        <v>0</v>
      </c>
      <c r="S683" s="171">
        <v>1</v>
      </c>
      <c r="T683" s="171">
        <v>2</v>
      </c>
      <c r="U683" s="171">
        <v>3</v>
      </c>
      <c r="V683" s="171">
        <v>4</v>
      </c>
      <c r="W683" s="171">
        <v>5</v>
      </c>
      <c r="X683" s="171">
        <v>6</v>
      </c>
      <c r="Y683" s="171">
        <v>7</v>
      </c>
      <c r="Z683" s="171">
        <v>8</v>
      </c>
      <c r="AA683" s="171">
        <v>9</v>
      </c>
      <c r="AB683" s="171">
        <v>10</v>
      </c>
      <c r="AC683" s="171">
        <v>11</v>
      </c>
      <c r="AD683" s="171">
        <v>12</v>
      </c>
      <c r="AE683" s="171">
        <v>13</v>
      </c>
      <c r="AF683" s="171">
        <v>14</v>
      </c>
      <c r="AG683" s="171">
        <v>15</v>
      </c>
      <c r="AH683" s="171">
        <v>16</v>
      </c>
      <c r="AI683" s="171">
        <v>17</v>
      </c>
      <c r="AJ683" s="171">
        <v>18</v>
      </c>
      <c r="AK683" s="171">
        <v>19</v>
      </c>
      <c r="AL683" s="171">
        <v>20</v>
      </c>
      <c r="AM683" s="258">
        <v>21</v>
      </c>
      <c r="AN683" s="292">
        <v>22</v>
      </c>
      <c r="AO683" s="272">
        <v>23</v>
      </c>
      <c r="AP683" s="930" t="s">
        <v>495</v>
      </c>
    </row>
    <row r="684" spans="1:69" ht="19.2" thickBot="1" x14ac:dyDescent="0.45">
      <c r="A684" s="53"/>
      <c r="B684" s="581" t="s">
        <v>177</v>
      </c>
      <c r="C684" s="772"/>
      <c r="D684" s="534" t="e">
        <f t="shared" ref="D684:L684" si="271">0.04*D681*D680*(4*0.9*5.67*(10^(-8))*((10+273)^3))*11</f>
        <v>#DIV/0!</v>
      </c>
      <c r="E684" s="534" t="e">
        <f t="shared" si="271"/>
        <v>#DIV/0!</v>
      </c>
      <c r="F684" s="534" t="e">
        <f t="shared" si="271"/>
        <v>#DIV/0!</v>
      </c>
      <c r="G684" s="534" t="e">
        <f t="shared" si="271"/>
        <v>#DIV/0!</v>
      </c>
      <c r="H684" s="534" t="e">
        <f t="shared" si="271"/>
        <v>#DIV/0!</v>
      </c>
      <c r="I684" s="534" t="e">
        <f t="shared" si="271"/>
        <v>#DIV/0!</v>
      </c>
      <c r="J684" s="535" t="e">
        <f t="shared" si="271"/>
        <v>#DIV/0!</v>
      </c>
      <c r="K684" s="536" t="e">
        <f t="shared" si="271"/>
        <v>#DIV/0!</v>
      </c>
      <c r="L684" s="536">
        <f t="shared" ca="1" si="271"/>
        <v>5.1032729957866709E-23</v>
      </c>
      <c r="M684" s="337"/>
      <c r="N684" s="828" t="s">
        <v>167</v>
      </c>
      <c r="O684" s="897">
        <v>1</v>
      </c>
      <c r="P684" s="170" t="s">
        <v>522</v>
      </c>
      <c r="Q684" s="172" t="s">
        <v>946</v>
      </c>
      <c r="R684" s="173">
        <f ca="1">'Климатични зони'!D4</f>
        <v>2.2000000000000002</v>
      </c>
      <c r="S684" s="173">
        <f ca="1">'Климатични зони'!E4</f>
        <v>2.2000000000000002</v>
      </c>
      <c r="T684" s="173">
        <f ca="1">'Климатични зони'!F4</f>
        <v>2.2000000000000002</v>
      </c>
      <c r="U684" s="173">
        <f ca="1">'Климатични зони'!G4</f>
        <v>2.2000000000000002</v>
      </c>
      <c r="V684" s="173">
        <f ca="1">'Климатични зони'!H4</f>
        <v>2.2000000000000002</v>
      </c>
      <c r="W684" s="173">
        <f ca="1">'Климатични зони'!I4</f>
        <v>2.2000000000000002</v>
      </c>
      <c r="X684" s="173">
        <f ca="1">'Климатични зони'!J4</f>
        <v>2.2000000000000002</v>
      </c>
      <c r="Y684" s="173">
        <f ca="1">'Климатични зони'!K4</f>
        <v>2.2000000000000002</v>
      </c>
      <c r="Z684" s="173">
        <f ca="1">'Климатични зони'!L4</f>
        <v>2.2000000000000002</v>
      </c>
      <c r="AA684" s="173">
        <f ca="1">'Климатични зони'!M4</f>
        <v>2.2000000000000002</v>
      </c>
      <c r="AB684" s="173">
        <f ca="1">'Климатични зони'!N4</f>
        <v>2.2000000000000002</v>
      </c>
      <c r="AC684" s="173">
        <f ca="1">'Климатични зони'!O4</f>
        <v>2.2000000000000002</v>
      </c>
      <c r="AD684" s="173">
        <f ca="1">'Климатични зони'!P4</f>
        <v>2.2000000000000002</v>
      </c>
      <c r="AE684" s="173">
        <f ca="1">'Климатични зони'!Q4</f>
        <v>2.2000000000000002</v>
      </c>
      <c r="AF684" s="173">
        <f ca="1">'Климатични зони'!R4</f>
        <v>2.2000000000000002</v>
      </c>
      <c r="AG684" s="173">
        <f ca="1">'Климатични зони'!S4</f>
        <v>2.2000000000000002</v>
      </c>
      <c r="AH684" s="173">
        <f ca="1">'Климатични зони'!T4</f>
        <v>2.2000000000000002</v>
      </c>
      <c r="AI684" s="173">
        <f ca="1">'Климатични зони'!U4</f>
        <v>2.2000000000000002</v>
      </c>
      <c r="AJ684" s="173">
        <f ca="1">'Климатични зони'!V4</f>
        <v>2.2000000000000002</v>
      </c>
      <c r="AK684" s="173">
        <f ca="1">'Климатични зони'!W4</f>
        <v>2.2000000000000002</v>
      </c>
      <c r="AL684" s="173">
        <f ca="1">'Климатични зони'!X4</f>
        <v>2.2000000000000002</v>
      </c>
      <c r="AM684" s="259">
        <f ca="1">'Климатични зони'!Y4</f>
        <v>2.2000000000000002</v>
      </c>
      <c r="AN684" s="207">
        <f ca="1">'Климатични зони'!Z4</f>
        <v>2.2000000000000002</v>
      </c>
      <c r="AO684" s="254">
        <f ca="1">'Климатични зони'!AA4</f>
        <v>2.2000000000000002</v>
      </c>
      <c r="AP684" s="930"/>
      <c r="AQ684" s="45" t="s">
        <v>406</v>
      </c>
      <c r="AR684" s="55">
        <f ca="1">'Климатични зони'!AD9</f>
        <v>2.2000000000000002</v>
      </c>
      <c r="AS684" s="206" t="s">
        <v>594</v>
      </c>
      <c r="AT684" s="43">
        <f ca="1">1.006*($AR684)+$AR687*(1.805*($AR684)+2501)</f>
        <v>12.713225407270976</v>
      </c>
      <c r="AU684" s="43">
        <f t="shared" ref="AU684:BQ684" ca="1" si="272">1.006*($AR684)+$AR687*(1.805*($AR684)+2501)</f>
        <v>12.713225407270976</v>
      </c>
      <c r="AV684" s="43">
        <f t="shared" ca="1" si="272"/>
        <v>12.713225407270976</v>
      </c>
      <c r="AW684" s="43">
        <f t="shared" ca="1" si="272"/>
        <v>12.713225407270976</v>
      </c>
      <c r="AX684" s="43">
        <f t="shared" ca="1" si="272"/>
        <v>12.713225407270976</v>
      </c>
      <c r="AY684" s="43">
        <f t="shared" ca="1" si="272"/>
        <v>12.713225407270976</v>
      </c>
      <c r="AZ684" s="43">
        <f t="shared" ca="1" si="272"/>
        <v>12.713225407270976</v>
      </c>
      <c r="BA684" s="43">
        <f t="shared" ca="1" si="272"/>
        <v>12.713225407270976</v>
      </c>
      <c r="BB684" s="43">
        <f t="shared" ca="1" si="272"/>
        <v>12.713225407270976</v>
      </c>
      <c r="BC684" s="43">
        <f t="shared" ca="1" si="272"/>
        <v>12.713225407270976</v>
      </c>
      <c r="BD684" s="43">
        <f t="shared" ca="1" si="272"/>
        <v>12.713225407270976</v>
      </c>
      <c r="BE684" s="43">
        <f t="shared" ca="1" si="272"/>
        <v>12.713225407270976</v>
      </c>
      <c r="BF684" s="43">
        <f t="shared" ca="1" si="272"/>
        <v>12.713225407270976</v>
      </c>
      <c r="BG684" s="43">
        <f t="shared" ca="1" si="272"/>
        <v>12.713225407270976</v>
      </c>
      <c r="BH684" s="43">
        <f t="shared" ca="1" si="272"/>
        <v>12.713225407270976</v>
      </c>
      <c r="BI684" s="43">
        <f t="shared" ca="1" si="272"/>
        <v>12.713225407270976</v>
      </c>
      <c r="BJ684" s="43">
        <f t="shared" ca="1" si="272"/>
        <v>12.713225407270976</v>
      </c>
      <c r="BK684" s="43">
        <f t="shared" ca="1" si="272"/>
        <v>12.713225407270976</v>
      </c>
      <c r="BL684" s="43">
        <f t="shared" ca="1" si="272"/>
        <v>12.713225407270976</v>
      </c>
      <c r="BM684" s="43">
        <f t="shared" ca="1" si="272"/>
        <v>12.713225407270976</v>
      </c>
      <c r="BN684" s="43">
        <f t="shared" ca="1" si="272"/>
        <v>12.713225407270976</v>
      </c>
      <c r="BO684" s="43">
        <f t="shared" ca="1" si="272"/>
        <v>12.713225407270976</v>
      </c>
      <c r="BP684" s="43">
        <f t="shared" ca="1" si="272"/>
        <v>12.713225407270976</v>
      </c>
      <c r="BQ684" s="43">
        <f t="shared" ca="1" si="272"/>
        <v>12.713225407270976</v>
      </c>
    </row>
    <row r="685" spans="1:69" ht="18.600000000000001" x14ac:dyDescent="0.4">
      <c r="A685" s="67"/>
      <c r="B685" s="778" t="s">
        <v>250</v>
      </c>
      <c r="C685" s="779"/>
      <c r="D685" s="168" t="e">
        <f t="shared" ref="D685:L685" si="273">D683+D675</f>
        <v>#DIV/0!</v>
      </c>
      <c r="E685" s="168" t="e">
        <f t="shared" si="273"/>
        <v>#DIV/0!</v>
      </c>
      <c r="F685" s="168" t="e">
        <f t="shared" si="273"/>
        <v>#DIV/0!</v>
      </c>
      <c r="G685" s="168" t="e">
        <f t="shared" si="273"/>
        <v>#DIV/0!</v>
      </c>
      <c r="H685" s="168" t="e">
        <f t="shared" si="273"/>
        <v>#DIV/0!</v>
      </c>
      <c r="I685" s="168" t="e">
        <f t="shared" si="273"/>
        <v>#DIV/0!</v>
      </c>
      <c r="J685" s="168" t="e">
        <f t="shared" si="273"/>
        <v>#DIV/0!</v>
      </c>
      <c r="K685" s="168" t="e">
        <f t="shared" si="273"/>
        <v>#DIV/0!</v>
      </c>
      <c r="L685" s="168">
        <f t="shared" ca="1" si="273"/>
        <v>6.0167573920748405E-25</v>
      </c>
      <c r="M685" s="338"/>
      <c r="N685" s="829"/>
      <c r="O685" s="830"/>
      <c r="P685" s="170" t="s">
        <v>523</v>
      </c>
      <c r="Q685" s="172" t="s">
        <v>948</v>
      </c>
      <c r="R685" s="173">
        <f t="shared" ref="R685:AO685" ca="1" si="274">((1/($K$181-R684))*(((-$E$614)*5*COS(2*3.14*(($O684-1)/12))+($F$614*7.5*COS(2*3.14*(($O684-1-1)/12))))))</f>
        <v>6.7265050838476142E-43</v>
      </c>
      <c r="S685" s="173">
        <f t="shared" ca="1" si="274"/>
        <v>6.7265050838476142E-43</v>
      </c>
      <c r="T685" s="173">
        <f t="shared" ca="1" si="274"/>
        <v>6.7265050838476142E-43</v>
      </c>
      <c r="U685" s="173">
        <f t="shared" ca="1" si="274"/>
        <v>6.7265050838476142E-43</v>
      </c>
      <c r="V685" s="173">
        <f t="shared" ca="1" si="274"/>
        <v>6.7265050838476142E-43</v>
      </c>
      <c r="W685" s="173">
        <f t="shared" ca="1" si="274"/>
        <v>6.7265050838476142E-43</v>
      </c>
      <c r="X685" s="173">
        <f t="shared" ca="1" si="274"/>
        <v>6.7265050838476142E-43</v>
      </c>
      <c r="Y685" s="173">
        <f t="shared" ca="1" si="274"/>
        <v>6.7265050838476142E-43</v>
      </c>
      <c r="Z685" s="173">
        <f t="shared" ca="1" si="274"/>
        <v>6.7265050838476142E-43</v>
      </c>
      <c r="AA685" s="173">
        <f t="shared" ca="1" si="274"/>
        <v>6.7265050838476142E-43</v>
      </c>
      <c r="AB685" s="173">
        <f t="shared" ca="1" si="274"/>
        <v>6.7265050838476142E-43</v>
      </c>
      <c r="AC685" s="173">
        <f t="shared" ca="1" si="274"/>
        <v>6.7265050838476142E-43</v>
      </c>
      <c r="AD685" s="173">
        <f t="shared" ca="1" si="274"/>
        <v>6.7265050838476142E-43</v>
      </c>
      <c r="AE685" s="173">
        <f t="shared" ca="1" si="274"/>
        <v>6.7265050838476142E-43</v>
      </c>
      <c r="AF685" s="173">
        <f t="shared" ca="1" si="274"/>
        <v>6.7265050838476142E-43</v>
      </c>
      <c r="AG685" s="173">
        <f t="shared" ca="1" si="274"/>
        <v>6.7265050838476142E-43</v>
      </c>
      <c r="AH685" s="173">
        <f t="shared" ca="1" si="274"/>
        <v>6.7265050838476142E-43</v>
      </c>
      <c r="AI685" s="173">
        <f t="shared" ca="1" si="274"/>
        <v>6.7265050838476142E-43</v>
      </c>
      <c r="AJ685" s="173">
        <f t="shared" ca="1" si="274"/>
        <v>6.7265050838476142E-43</v>
      </c>
      <c r="AK685" s="173">
        <f t="shared" ca="1" si="274"/>
        <v>6.7265050838476142E-43</v>
      </c>
      <c r="AL685" s="173">
        <f t="shared" ca="1" si="274"/>
        <v>6.7265050838476142E-43</v>
      </c>
      <c r="AM685" s="259">
        <f t="shared" ca="1" si="274"/>
        <v>6.7265050838476142E-43</v>
      </c>
      <c r="AN685" s="207">
        <f t="shared" ca="1" si="274"/>
        <v>6.7265050838476142E-43</v>
      </c>
      <c r="AO685" s="254">
        <f t="shared" ca="1" si="274"/>
        <v>6.7265050838476142E-43</v>
      </c>
      <c r="AP685" s="931"/>
      <c r="AQ685" s="183" t="s">
        <v>531</v>
      </c>
      <c r="AR685" s="43">
        <v>95</v>
      </c>
      <c r="AT685" s="43">
        <f t="shared" ref="AT685:BQ685" ca="1" si="275">(-$K$851*AT684+$K$852*$K$849)</f>
        <v>31.440877982624425</v>
      </c>
      <c r="AU685" s="43">
        <f t="shared" ca="1" si="275"/>
        <v>31.440877982624425</v>
      </c>
      <c r="AV685" s="43">
        <f t="shared" ca="1" si="275"/>
        <v>31.440877982624425</v>
      </c>
      <c r="AW685" s="43">
        <f t="shared" ca="1" si="275"/>
        <v>31.440877982624425</v>
      </c>
      <c r="AX685" s="43">
        <f t="shared" ca="1" si="275"/>
        <v>31.440877982624425</v>
      </c>
      <c r="AY685" s="43">
        <f t="shared" ca="1" si="275"/>
        <v>31.440877982624425</v>
      </c>
      <c r="AZ685" s="43">
        <f t="shared" ca="1" si="275"/>
        <v>31.440877982624425</v>
      </c>
      <c r="BA685" s="43">
        <f t="shared" ca="1" si="275"/>
        <v>31.440877982624425</v>
      </c>
      <c r="BB685" s="43">
        <f t="shared" ca="1" si="275"/>
        <v>31.440877982624425</v>
      </c>
      <c r="BC685" s="43">
        <f t="shared" ca="1" si="275"/>
        <v>31.440877982624425</v>
      </c>
      <c r="BD685" s="43">
        <f t="shared" ca="1" si="275"/>
        <v>31.440877982624425</v>
      </c>
      <c r="BE685" s="43">
        <f t="shared" ca="1" si="275"/>
        <v>31.440877982624425</v>
      </c>
      <c r="BF685" s="43">
        <f t="shared" ca="1" si="275"/>
        <v>31.440877982624425</v>
      </c>
      <c r="BG685" s="43">
        <f t="shared" ca="1" si="275"/>
        <v>31.440877982624425</v>
      </c>
      <c r="BH685" s="43">
        <f t="shared" ca="1" si="275"/>
        <v>31.440877982624425</v>
      </c>
      <c r="BI685" s="43">
        <f t="shared" ca="1" si="275"/>
        <v>31.440877982624425</v>
      </c>
      <c r="BJ685" s="43">
        <f t="shared" ca="1" si="275"/>
        <v>31.440877982624425</v>
      </c>
      <c r="BK685" s="43">
        <f t="shared" ca="1" si="275"/>
        <v>31.440877982624425</v>
      </c>
      <c r="BL685" s="43">
        <f t="shared" ca="1" si="275"/>
        <v>31.440877982624425</v>
      </c>
      <c r="BM685" s="43">
        <f t="shared" ca="1" si="275"/>
        <v>31.440877982624425</v>
      </c>
      <c r="BN685" s="43">
        <f t="shared" ca="1" si="275"/>
        <v>31.440877982624425</v>
      </c>
      <c r="BO685" s="43">
        <f t="shared" ca="1" si="275"/>
        <v>31.440877982624425</v>
      </c>
      <c r="BP685" s="43">
        <f t="shared" ca="1" si="275"/>
        <v>31.440877982624425</v>
      </c>
      <c r="BQ685" s="43">
        <f t="shared" ca="1" si="275"/>
        <v>31.440877982624425</v>
      </c>
    </row>
    <row r="686" spans="1:69" ht="18.600000000000001" x14ac:dyDescent="0.4">
      <c r="A686" s="67"/>
      <c r="B686" s="826" t="s">
        <v>251</v>
      </c>
      <c r="C686" s="827"/>
      <c r="D686" s="169" t="e">
        <f t="shared" ref="D686:L686" si="276">D684+D664</f>
        <v>#DIV/0!</v>
      </c>
      <c r="E686" s="169" t="e">
        <f t="shared" si="276"/>
        <v>#DIV/0!</v>
      </c>
      <c r="F686" s="169" t="e">
        <f t="shared" si="276"/>
        <v>#DIV/0!</v>
      </c>
      <c r="G686" s="169" t="e">
        <f t="shared" si="276"/>
        <v>#DIV/0!</v>
      </c>
      <c r="H686" s="169" t="e">
        <f t="shared" si="276"/>
        <v>#DIV/0!</v>
      </c>
      <c r="I686" s="169" t="e">
        <f t="shared" si="276"/>
        <v>#DIV/0!</v>
      </c>
      <c r="J686" s="169" t="e">
        <f t="shared" si="276"/>
        <v>#DIV/0!</v>
      </c>
      <c r="K686" s="169" t="e">
        <f t="shared" si="276"/>
        <v>#DIV/0!</v>
      </c>
      <c r="L686" s="169" t="e">
        <f t="shared" ca="1" si="276"/>
        <v>#DIV/0!</v>
      </c>
      <c r="M686" s="338"/>
      <c r="N686" s="829"/>
      <c r="O686" s="830"/>
      <c r="P686" s="174" t="s">
        <v>524</v>
      </c>
      <c r="Q686" s="175" t="s">
        <v>945</v>
      </c>
      <c r="R686" s="176" t="e">
        <f t="shared" ref="R686:AO686" ca="1" si="277">(1/1000)*(($K$455+R685)*($K$181-R684))*O$202</f>
        <v>#DIV/0!</v>
      </c>
      <c r="S686" s="176" t="e">
        <f t="shared" ca="1" si="277"/>
        <v>#DIV/0!</v>
      </c>
      <c r="T686" s="176" t="e">
        <f t="shared" ca="1" si="277"/>
        <v>#DIV/0!</v>
      </c>
      <c r="U686" s="176" t="e">
        <f t="shared" ca="1" si="277"/>
        <v>#DIV/0!</v>
      </c>
      <c r="V686" s="176" t="e">
        <f t="shared" ca="1" si="277"/>
        <v>#DIV/0!</v>
      </c>
      <c r="W686" s="176" t="e">
        <f t="shared" ca="1" si="277"/>
        <v>#DIV/0!</v>
      </c>
      <c r="X686" s="176" t="e">
        <f t="shared" ca="1" si="277"/>
        <v>#DIV/0!</v>
      </c>
      <c r="Y686" s="176" t="e">
        <f t="shared" ca="1" si="277"/>
        <v>#DIV/0!</v>
      </c>
      <c r="Z686" s="176" t="e">
        <f t="shared" ca="1" si="277"/>
        <v>#DIV/0!</v>
      </c>
      <c r="AA686" s="176" t="e">
        <f t="shared" ca="1" si="277"/>
        <v>#DIV/0!</v>
      </c>
      <c r="AB686" s="176" t="e">
        <f t="shared" ca="1" si="277"/>
        <v>#DIV/0!</v>
      </c>
      <c r="AC686" s="176" t="e">
        <f t="shared" ca="1" si="277"/>
        <v>#DIV/0!</v>
      </c>
      <c r="AD686" s="176" t="e">
        <f t="shared" ca="1" si="277"/>
        <v>#DIV/0!</v>
      </c>
      <c r="AE686" s="176" t="e">
        <f t="shared" ca="1" si="277"/>
        <v>#DIV/0!</v>
      </c>
      <c r="AF686" s="176" t="e">
        <f t="shared" ca="1" si="277"/>
        <v>#DIV/0!</v>
      </c>
      <c r="AG686" s="176" t="e">
        <f t="shared" ca="1" si="277"/>
        <v>#DIV/0!</v>
      </c>
      <c r="AH686" s="176" t="e">
        <f t="shared" ca="1" si="277"/>
        <v>#DIV/0!</v>
      </c>
      <c r="AI686" s="176" t="e">
        <f t="shared" ca="1" si="277"/>
        <v>#DIV/0!</v>
      </c>
      <c r="AJ686" s="176" t="e">
        <f t="shared" ca="1" si="277"/>
        <v>#DIV/0!</v>
      </c>
      <c r="AK686" s="176" t="e">
        <f t="shared" ca="1" si="277"/>
        <v>#DIV/0!</v>
      </c>
      <c r="AL686" s="176" t="e">
        <f t="shared" ca="1" si="277"/>
        <v>#DIV/0!</v>
      </c>
      <c r="AM686" s="260" t="e">
        <f t="shared" ca="1" si="277"/>
        <v>#DIV/0!</v>
      </c>
      <c r="AN686" s="208" t="e">
        <f t="shared" ca="1" si="277"/>
        <v>#DIV/0!</v>
      </c>
      <c r="AO686" s="273" t="e">
        <f t="shared" ca="1" si="277"/>
        <v>#DIV/0!</v>
      </c>
      <c r="AP686" s="191" t="e">
        <f ca="1">SUM(R686:AO686)</f>
        <v>#DIV/0!</v>
      </c>
      <c r="AQ686" s="173" t="s">
        <v>532</v>
      </c>
      <c r="AR686" s="196">
        <f ca="1">(2.71828^(77.345+0.0057*(273.15+AR684)-7235/(273.15+AR684)))/((273.15+AR684)^8.2)</f>
        <v>713.98195559821966</v>
      </c>
      <c r="AT686" s="43">
        <f t="shared" ref="AT686:BQ686" ca="1" si="278">IF(AT685*O356&lt;0,0,AT685*O356)</f>
        <v>0</v>
      </c>
      <c r="AU686" s="43">
        <f t="shared" ca="1" si="278"/>
        <v>0</v>
      </c>
      <c r="AV686" s="43">
        <f t="shared" ca="1" si="278"/>
        <v>0</v>
      </c>
      <c r="AW686" s="43">
        <f t="shared" ca="1" si="278"/>
        <v>0</v>
      </c>
      <c r="AX686" s="43">
        <f t="shared" ca="1" si="278"/>
        <v>0</v>
      </c>
      <c r="AY686" s="43">
        <f t="shared" ca="1" si="278"/>
        <v>0</v>
      </c>
      <c r="AZ686" s="43">
        <f t="shared" ca="1" si="278"/>
        <v>0</v>
      </c>
      <c r="BA686" s="43">
        <f t="shared" ca="1" si="278"/>
        <v>0</v>
      </c>
      <c r="BB686" s="43">
        <f t="shared" ca="1" si="278"/>
        <v>0</v>
      </c>
      <c r="BC686" s="43">
        <f t="shared" ca="1" si="278"/>
        <v>0</v>
      </c>
      <c r="BD686" s="43">
        <f t="shared" ca="1" si="278"/>
        <v>0</v>
      </c>
      <c r="BE686" s="43">
        <f t="shared" ca="1" si="278"/>
        <v>0</v>
      </c>
      <c r="BF686" s="43">
        <f t="shared" ca="1" si="278"/>
        <v>0</v>
      </c>
      <c r="BG686" s="43">
        <f t="shared" ca="1" si="278"/>
        <v>0</v>
      </c>
      <c r="BH686" s="43">
        <f t="shared" ca="1" si="278"/>
        <v>0</v>
      </c>
      <c r="BI686" s="43">
        <f t="shared" ca="1" si="278"/>
        <v>0</v>
      </c>
      <c r="BJ686" s="43">
        <f t="shared" ca="1" si="278"/>
        <v>0</v>
      </c>
      <c r="BK686" s="43">
        <f t="shared" ca="1" si="278"/>
        <v>0</v>
      </c>
      <c r="BL686" s="43">
        <f t="shared" ca="1" si="278"/>
        <v>0</v>
      </c>
      <c r="BM686" s="43">
        <f t="shared" ca="1" si="278"/>
        <v>0</v>
      </c>
      <c r="BN686" s="43">
        <f t="shared" ca="1" si="278"/>
        <v>0</v>
      </c>
      <c r="BO686" s="43">
        <f t="shared" ca="1" si="278"/>
        <v>0</v>
      </c>
      <c r="BP686" s="43">
        <f t="shared" ca="1" si="278"/>
        <v>0</v>
      </c>
      <c r="BQ686" s="43">
        <f t="shared" ca="1" si="278"/>
        <v>0</v>
      </c>
    </row>
    <row r="687" spans="1:69" ht="18" x14ac:dyDescent="0.35">
      <c r="L687" s="1"/>
      <c r="N687" s="829"/>
      <c r="O687" s="830"/>
      <c r="P687" s="170" t="s">
        <v>525</v>
      </c>
      <c r="Q687" s="172" t="s">
        <v>950</v>
      </c>
      <c r="R687" s="173">
        <f t="shared" ref="R687:AO687" ca="1" si="279">IF(($K$181-$L$647)/($K$181-R684)=0,1,($K$181-$L$647)/($K$181-R684))</f>
        <v>1</v>
      </c>
      <c r="S687" s="173">
        <f t="shared" ca="1" si="279"/>
        <v>1</v>
      </c>
      <c r="T687" s="173">
        <f t="shared" ca="1" si="279"/>
        <v>1</v>
      </c>
      <c r="U687" s="173">
        <f t="shared" ca="1" si="279"/>
        <v>1</v>
      </c>
      <c r="V687" s="173">
        <f t="shared" ca="1" si="279"/>
        <v>1</v>
      </c>
      <c r="W687" s="173">
        <f t="shared" ca="1" si="279"/>
        <v>1</v>
      </c>
      <c r="X687" s="173">
        <f t="shared" ca="1" si="279"/>
        <v>1</v>
      </c>
      <c r="Y687" s="173">
        <f t="shared" ca="1" si="279"/>
        <v>1</v>
      </c>
      <c r="Z687" s="173">
        <f t="shared" ca="1" si="279"/>
        <v>1</v>
      </c>
      <c r="AA687" s="173">
        <f t="shared" ca="1" si="279"/>
        <v>1</v>
      </c>
      <c r="AB687" s="173">
        <f t="shared" ca="1" si="279"/>
        <v>1</v>
      </c>
      <c r="AC687" s="173">
        <f t="shared" ca="1" si="279"/>
        <v>1</v>
      </c>
      <c r="AD687" s="173">
        <f t="shared" ca="1" si="279"/>
        <v>1</v>
      </c>
      <c r="AE687" s="173">
        <f t="shared" ca="1" si="279"/>
        <v>1</v>
      </c>
      <c r="AF687" s="173">
        <f t="shared" ca="1" si="279"/>
        <v>1</v>
      </c>
      <c r="AG687" s="173">
        <f t="shared" ca="1" si="279"/>
        <v>1</v>
      </c>
      <c r="AH687" s="173">
        <f t="shared" ca="1" si="279"/>
        <v>1</v>
      </c>
      <c r="AI687" s="173">
        <f t="shared" ca="1" si="279"/>
        <v>1</v>
      </c>
      <c r="AJ687" s="173">
        <f t="shared" ca="1" si="279"/>
        <v>1</v>
      </c>
      <c r="AK687" s="173">
        <f t="shared" ca="1" si="279"/>
        <v>1</v>
      </c>
      <c r="AL687" s="173">
        <f t="shared" ca="1" si="279"/>
        <v>1</v>
      </c>
      <c r="AM687" s="173">
        <f t="shared" ca="1" si="279"/>
        <v>1</v>
      </c>
      <c r="AN687" s="173">
        <f t="shared" ca="1" si="279"/>
        <v>1</v>
      </c>
      <c r="AO687" s="173">
        <f t="shared" ca="1" si="279"/>
        <v>1</v>
      </c>
      <c r="AP687" s="189"/>
      <c r="AQ687" s="45" t="s">
        <v>407</v>
      </c>
      <c r="AR687" s="196">
        <f ca="1">0.62198*(AR685*AR686/100)/(101325-(AR685*AR686/100))</f>
        <v>4.1916754354724963E-3</v>
      </c>
      <c r="AT687" s="43">
        <f ca="1">SUM(AT686:BQ686)</f>
        <v>0</v>
      </c>
    </row>
    <row r="688" spans="1:69" ht="18" x14ac:dyDescent="0.35">
      <c r="A688" s="67"/>
      <c r="B688" s="97"/>
      <c r="C688" s="97"/>
      <c r="D688" s="97"/>
      <c r="E688" s="97"/>
      <c r="F688" s="97"/>
      <c r="G688" s="97"/>
      <c r="H688" s="14"/>
      <c r="I688" s="14"/>
      <c r="J688" s="14"/>
      <c r="K688" s="14"/>
      <c r="L688" s="14"/>
      <c r="M688" s="199"/>
      <c r="N688" s="829"/>
      <c r="O688" s="830"/>
      <c r="P688" s="170" t="s">
        <v>526</v>
      </c>
      <c r="Q688" s="172" t="s">
        <v>948</v>
      </c>
      <c r="R688" s="173">
        <f t="shared" ref="R688:AO688" si="280">0.34*($K$186*(0.8*$F$25-$K$187))</f>
        <v>0</v>
      </c>
      <c r="S688" s="173">
        <f t="shared" si="280"/>
        <v>0</v>
      </c>
      <c r="T688" s="173">
        <f t="shared" si="280"/>
        <v>0</v>
      </c>
      <c r="U688" s="173">
        <f t="shared" si="280"/>
        <v>0</v>
      </c>
      <c r="V688" s="173">
        <f t="shared" si="280"/>
        <v>0</v>
      </c>
      <c r="W688" s="173">
        <f t="shared" si="280"/>
        <v>0</v>
      </c>
      <c r="X688" s="173">
        <f t="shared" si="280"/>
        <v>0</v>
      </c>
      <c r="Y688" s="173">
        <f t="shared" si="280"/>
        <v>0</v>
      </c>
      <c r="Z688" s="173">
        <f t="shared" si="280"/>
        <v>0</v>
      </c>
      <c r="AA688" s="173">
        <f t="shared" si="280"/>
        <v>0</v>
      </c>
      <c r="AB688" s="173">
        <f t="shared" si="280"/>
        <v>0</v>
      </c>
      <c r="AC688" s="173">
        <f t="shared" si="280"/>
        <v>0</v>
      </c>
      <c r="AD688" s="173">
        <f t="shared" si="280"/>
        <v>0</v>
      </c>
      <c r="AE688" s="173">
        <f t="shared" si="280"/>
        <v>0</v>
      </c>
      <c r="AF688" s="173">
        <f t="shared" si="280"/>
        <v>0</v>
      </c>
      <c r="AG688" s="173">
        <f t="shared" si="280"/>
        <v>0</v>
      </c>
      <c r="AH688" s="173">
        <f t="shared" si="280"/>
        <v>0</v>
      </c>
      <c r="AI688" s="173">
        <f t="shared" si="280"/>
        <v>0</v>
      </c>
      <c r="AJ688" s="173">
        <f t="shared" si="280"/>
        <v>0</v>
      </c>
      <c r="AK688" s="173">
        <f t="shared" si="280"/>
        <v>0</v>
      </c>
      <c r="AL688" s="173">
        <f t="shared" si="280"/>
        <v>0</v>
      </c>
      <c r="AM688" s="173">
        <f t="shared" si="280"/>
        <v>0</v>
      </c>
      <c r="AN688" s="173">
        <f t="shared" si="280"/>
        <v>0</v>
      </c>
      <c r="AO688" s="173">
        <f t="shared" si="280"/>
        <v>0</v>
      </c>
      <c r="AP688" s="189"/>
    </row>
    <row r="689" spans="1:46" ht="20.399999999999999" hidden="1" x14ac:dyDescent="0.45">
      <c r="A689" s="769" t="s">
        <v>213</v>
      </c>
      <c r="B689" s="770"/>
      <c r="C689" s="770"/>
      <c r="D689" s="770"/>
      <c r="E689" s="770"/>
      <c r="F689" s="770"/>
      <c r="G689" s="770"/>
      <c r="H689" s="771"/>
      <c r="I689" s="771"/>
      <c r="J689" s="771"/>
      <c r="K689" s="771"/>
      <c r="L689" s="771"/>
      <c r="M689" s="199"/>
      <c r="N689" s="829"/>
      <c r="O689" s="830"/>
      <c r="P689" s="174" t="s">
        <v>527</v>
      </c>
      <c r="Q689" s="175" t="s">
        <v>945</v>
      </c>
      <c r="R689" s="176">
        <f t="shared" ref="R689:AO689" ca="1" si="281">(1/1000)*(R688*($K$181-R684))*O$202</f>
        <v>0</v>
      </c>
      <c r="S689" s="176">
        <f t="shared" ca="1" si="281"/>
        <v>0</v>
      </c>
      <c r="T689" s="176">
        <f t="shared" ca="1" si="281"/>
        <v>0</v>
      </c>
      <c r="U689" s="176">
        <f t="shared" ca="1" si="281"/>
        <v>0</v>
      </c>
      <c r="V689" s="176">
        <f t="shared" ca="1" si="281"/>
        <v>0</v>
      </c>
      <c r="W689" s="176">
        <f t="shared" ca="1" si="281"/>
        <v>0</v>
      </c>
      <c r="X689" s="176">
        <f t="shared" ca="1" si="281"/>
        <v>0</v>
      </c>
      <c r="Y689" s="176">
        <f t="shared" ca="1" si="281"/>
        <v>0</v>
      </c>
      <c r="Z689" s="176">
        <f t="shared" ca="1" si="281"/>
        <v>0</v>
      </c>
      <c r="AA689" s="176">
        <f t="shared" ca="1" si="281"/>
        <v>0</v>
      </c>
      <c r="AB689" s="176">
        <f t="shared" ca="1" si="281"/>
        <v>0</v>
      </c>
      <c r="AC689" s="176">
        <f t="shared" ca="1" si="281"/>
        <v>0</v>
      </c>
      <c r="AD689" s="176">
        <f t="shared" ca="1" si="281"/>
        <v>0</v>
      </c>
      <c r="AE689" s="176">
        <f t="shared" ca="1" si="281"/>
        <v>0</v>
      </c>
      <c r="AF689" s="176">
        <f t="shared" ca="1" si="281"/>
        <v>0</v>
      </c>
      <c r="AG689" s="176">
        <f t="shared" ca="1" si="281"/>
        <v>0</v>
      </c>
      <c r="AH689" s="176">
        <f t="shared" ca="1" si="281"/>
        <v>0</v>
      </c>
      <c r="AI689" s="176">
        <f t="shared" ca="1" si="281"/>
        <v>0</v>
      </c>
      <c r="AJ689" s="176">
        <f t="shared" ca="1" si="281"/>
        <v>0</v>
      </c>
      <c r="AK689" s="176">
        <f t="shared" ca="1" si="281"/>
        <v>0</v>
      </c>
      <c r="AL689" s="176">
        <f t="shared" ca="1" si="281"/>
        <v>0</v>
      </c>
      <c r="AM689" s="260">
        <f t="shared" ca="1" si="281"/>
        <v>0</v>
      </c>
      <c r="AN689" s="208">
        <f t="shared" ca="1" si="281"/>
        <v>0</v>
      </c>
      <c r="AO689" s="273">
        <f t="shared" ca="1" si="281"/>
        <v>0</v>
      </c>
      <c r="AP689" s="191">
        <f ca="1">SUM(R689:AO689)</f>
        <v>0</v>
      </c>
      <c r="AS689" s="205" t="s">
        <v>290</v>
      </c>
      <c r="AT689" s="43">
        <f ca="1">($K$851*AT684)</f>
        <v>17.081825749606455</v>
      </c>
    </row>
    <row r="690" spans="1:46" ht="18" hidden="1" x14ac:dyDescent="0.35">
      <c r="A690" s="769" t="s">
        <v>214</v>
      </c>
      <c r="B690" s="770"/>
      <c r="C690" s="770"/>
      <c r="D690" s="770"/>
      <c r="E690" s="770"/>
      <c r="F690" s="770"/>
      <c r="G690" s="770"/>
      <c r="H690" s="771"/>
      <c r="I690" s="771"/>
      <c r="J690" s="771"/>
      <c r="K690" s="771"/>
      <c r="L690" s="771"/>
      <c r="M690" s="199"/>
      <c r="N690" s="829"/>
      <c r="O690" s="830"/>
      <c r="P690" s="177" t="s">
        <v>528</v>
      </c>
      <c r="Q690" s="178" t="s">
        <v>945</v>
      </c>
      <c r="R690" s="179" t="e">
        <f t="shared" ref="R690:AO690" ca="1" si="282">R689+R686</f>
        <v>#DIV/0!</v>
      </c>
      <c r="S690" s="179" t="e">
        <f t="shared" ca="1" si="282"/>
        <v>#DIV/0!</v>
      </c>
      <c r="T690" s="179" t="e">
        <f t="shared" ca="1" si="282"/>
        <v>#DIV/0!</v>
      </c>
      <c r="U690" s="179" t="e">
        <f t="shared" ca="1" si="282"/>
        <v>#DIV/0!</v>
      </c>
      <c r="V690" s="179" t="e">
        <f t="shared" ca="1" si="282"/>
        <v>#DIV/0!</v>
      </c>
      <c r="W690" s="179" t="e">
        <f t="shared" ca="1" si="282"/>
        <v>#DIV/0!</v>
      </c>
      <c r="X690" s="179" t="e">
        <f t="shared" ca="1" si="282"/>
        <v>#DIV/0!</v>
      </c>
      <c r="Y690" s="179" t="e">
        <f t="shared" ca="1" si="282"/>
        <v>#DIV/0!</v>
      </c>
      <c r="Z690" s="179" t="e">
        <f t="shared" ca="1" si="282"/>
        <v>#DIV/0!</v>
      </c>
      <c r="AA690" s="179" t="e">
        <f t="shared" ca="1" si="282"/>
        <v>#DIV/0!</v>
      </c>
      <c r="AB690" s="179" t="e">
        <f t="shared" ca="1" si="282"/>
        <v>#DIV/0!</v>
      </c>
      <c r="AC690" s="179" t="e">
        <f t="shared" ca="1" si="282"/>
        <v>#DIV/0!</v>
      </c>
      <c r="AD690" s="179" t="e">
        <f t="shared" ca="1" si="282"/>
        <v>#DIV/0!</v>
      </c>
      <c r="AE690" s="179" t="e">
        <f t="shared" ca="1" si="282"/>
        <v>#DIV/0!</v>
      </c>
      <c r="AF690" s="179" t="e">
        <f t="shared" ca="1" si="282"/>
        <v>#DIV/0!</v>
      </c>
      <c r="AG690" s="179" t="e">
        <f t="shared" ca="1" si="282"/>
        <v>#DIV/0!</v>
      </c>
      <c r="AH690" s="179" t="e">
        <f t="shared" ca="1" si="282"/>
        <v>#DIV/0!</v>
      </c>
      <c r="AI690" s="179" t="e">
        <f t="shared" ca="1" si="282"/>
        <v>#DIV/0!</v>
      </c>
      <c r="AJ690" s="179" t="e">
        <f t="shared" ca="1" si="282"/>
        <v>#DIV/0!</v>
      </c>
      <c r="AK690" s="179" t="e">
        <f t="shared" ca="1" si="282"/>
        <v>#DIV/0!</v>
      </c>
      <c r="AL690" s="179" t="e">
        <f t="shared" ca="1" si="282"/>
        <v>#DIV/0!</v>
      </c>
      <c r="AM690" s="261" t="e">
        <f t="shared" ca="1" si="282"/>
        <v>#DIV/0!</v>
      </c>
      <c r="AN690" s="293" t="e">
        <f t="shared" ca="1" si="282"/>
        <v>#DIV/0!</v>
      </c>
      <c r="AO690" s="274" t="e">
        <f t="shared" ca="1" si="282"/>
        <v>#DIV/0!</v>
      </c>
      <c r="AP690" s="192" t="e">
        <f ca="1">SUM(R690:AO690)</f>
        <v>#DIV/0!</v>
      </c>
      <c r="AS690" s="205" t="s">
        <v>4</v>
      </c>
      <c r="AT690" s="43">
        <f>$K$852*$K$849</f>
        <v>48.52270373223088</v>
      </c>
    </row>
    <row r="691" spans="1:46" ht="18" hidden="1" x14ac:dyDescent="0.35">
      <c r="N691" s="829"/>
      <c r="O691" s="830"/>
      <c r="P691" s="177" t="s">
        <v>529</v>
      </c>
      <c r="Q691" s="178" t="s">
        <v>945</v>
      </c>
      <c r="R691" s="179">
        <f t="shared" ref="R691:AC691" si="283">IF($O$617=1,(1/1000)*(0.34*A$641)*($K$181-R684)*O$356*R687,0)</f>
        <v>0</v>
      </c>
      <c r="S691" s="179">
        <f t="shared" si="283"/>
        <v>0</v>
      </c>
      <c r="T691" s="179">
        <f t="shared" si="283"/>
        <v>0</v>
      </c>
      <c r="U691" s="179">
        <f t="shared" si="283"/>
        <v>0</v>
      </c>
      <c r="V691" s="179">
        <f t="shared" si="283"/>
        <v>0</v>
      </c>
      <c r="W691" s="179">
        <f t="shared" si="283"/>
        <v>0</v>
      </c>
      <c r="X691" s="179">
        <f t="shared" si="283"/>
        <v>0</v>
      </c>
      <c r="Y691" s="179">
        <f t="shared" si="283"/>
        <v>0</v>
      </c>
      <c r="Z691" s="179">
        <f t="shared" si="283"/>
        <v>0</v>
      </c>
      <c r="AA691" s="179">
        <f t="shared" si="283"/>
        <v>0</v>
      </c>
      <c r="AB691" s="179">
        <f t="shared" si="283"/>
        <v>0</v>
      </c>
      <c r="AC691" s="179">
        <f t="shared" si="283"/>
        <v>0</v>
      </c>
      <c r="AD691" s="179">
        <f t="shared" ref="AD691:AO691" si="284">IF($O$617=1,(1/1000)*(0.34*N$641)*($K$181-AD684)*AA$356*AD687,0)</f>
        <v>0</v>
      </c>
      <c r="AE691" s="179">
        <f t="shared" si="284"/>
        <v>0</v>
      </c>
      <c r="AF691" s="179">
        <f t="shared" si="284"/>
        <v>0</v>
      </c>
      <c r="AG691" s="179">
        <f t="shared" si="284"/>
        <v>0</v>
      </c>
      <c r="AH691" s="179">
        <f t="shared" si="284"/>
        <v>0</v>
      </c>
      <c r="AI691" s="179">
        <f t="shared" si="284"/>
        <v>0</v>
      </c>
      <c r="AJ691" s="179">
        <f t="shared" si="284"/>
        <v>0</v>
      </c>
      <c r="AK691" s="179">
        <f t="shared" si="284"/>
        <v>0</v>
      </c>
      <c r="AL691" s="179">
        <f t="shared" si="284"/>
        <v>0</v>
      </c>
      <c r="AM691" s="261">
        <f t="shared" si="284"/>
        <v>0</v>
      </c>
      <c r="AN691" s="293">
        <f t="shared" si="284"/>
        <v>0</v>
      </c>
      <c r="AO691" s="274">
        <f t="shared" si="284"/>
        <v>0</v>
      </c>
      <c r="AP691" s="192">
        <f>SUM(R691:AO691)</f>
        <v>0</v>
      </c>
    </row>
    <row r="692" spans="1:46" ht="18" hidden="1" x14ac:dyDescent="0.35">
      <c r="L692" s="1"/>
      <c r="M692" s="199"/>
      <c r="N692" s="829"/>
      <c r="O692" s="830"/>
      <c r="P692" s="174" t="s">
        <v>530</v>
      </c>
      <c r="Q692" s="175" t="s">
        <v>945</v>
      </c>
      <c r="R692" s="176">
        <f t="shared" ref="R692:AO692" si="285">(1/1000)*($L$697+$L$698)*O$228</f>
        <v>28.768000000000001</v>
      </c>
      <c r="S692" s="176">
        <f t="shared" si="285"/>
        <v>28.768000000000001</v>
      </c>
      <c r="T692" s="176">
        <f t="shared" si="285"/>
        <v>28.768000000000001</v>
      </c>
      <c r="U692" s="176">
        <f t="shared" si="285"/>
        <v>28.768000000000001</v>
      </c>
      <c r="V692" s="176">
        <f t="shared" si="285"/>
        <v>28.768000000000001</v>
      </c>
      <c r="W692" s="176">
        <f t="shared" si="285"/>
        <v>28.768000000000001</v>
      </c>
      <c r="X692" s="176">
        <f t="shared" si="285"/>
        <v>28.768000000000001</v>
      </c>
      <c r="Y692" s="176">
        <f t="shared" si="285"/>
        <v>28.768000000000001</v>
      </c>
      <c r="Z692" s="176">
        <f t="shared" si="285"/>
        <v>28.768000000000001</v>
      </c>
      <c r="AA692" s="176">
        <f t="shared" si="285"/>
        <v>28.768000000000001</v>
      </c>
      <c r="AB692" s="176">
        <f t="shared" si="285"/>
        <v>28.768000000000001</v>
      </c>
      <c r="AC692" s="176">
        <f t="shared" si="285"/>
        <v>28.768000000000001</v>
      </c>
      <c r="AD692" s="176">
        <f t="shared" si="285"/>
        <v>28.768000000000001</v>
      </c>
      <c r="AE692" s="176">
        <f t="shared" si="285"/>
        <v>28.768000000000001</v>
      </c>
      <c r="AF692" s="176">
        <f t="shared" si="285"/>
        <v>28.768000000000001</v>
      </c>
      <c r="AG692" s="176">
        <f t="shared" si="285"/>
        <v>28.768000000000001</v>
      </c>
      <c r="AH692" s="176">
        <f t="shared" si="285"/>
        <v>28.768000000000001</v>
      </c>
      <c r="AI692" s="176">
        <f t="shared" si="285"/>
        <v>28.768000000000001</v>
      </c>
      <c r="AJ692" s="176">
        <f t="shared" si="285"/>
        <v>28.768000000000001</v>
      </c>
      <c r="AK692" s="176">
        <f t="shared" si="285"/>
        <v>28.768000000000001</v>
      </c>
      <c r="AL692" s="176">
        <f t="shared" si="285"/>
        <v>28.768000000000001</v>
      </c>
      <c r="AM692" s="260">
        <f t="shared" si="285"/>
        <v>28.768000000000001</v>
      </c>
      <c r="AN692" s="208">
        <f t="shared" si="285"/>
        <v>28.768000000000001</v>
      </c>
      <c r="AO692" s="273">
        <f t="shared" si="285"/>
        <v>28.768000000000001</v>
      </c>
      <c r="AP692" s="191">
        <f>SUM(R692:AO692)</f>
        <v>690.43200000000047</v>
      </c>
    </row>
    <row r="693" spans="1:46" ht="18" x14ac:dyDescent="0.35">
      <c r="A693" s="644" t="s">
        <v>224</v>
      </c>
      <c r="B693" s="766"/>
      <c r="C693" s="766"/>
      <c r="D693" s="766"/>
      <c r="E693" s="766"/>
      <c r="F693" s="766"/>
      <c r="G693" s="766"/>
      <c r="H693" s="766"/>
      <c r="I693" s="766"/>
      <c r="J693" s="589"/>
      <c r="K693" s="589"/>
      <c r="L693" s="589"/>
      <c r="M693" s="199"/>
    </row>
    <row r="694" spans="1:46" ht="18" x14ac:dyDescent="0.35">
      <c r="A694" s="667" t="s">
        <v>225</v>
      </c>
      <c r="B694" s="762"/>
      <c r="C694" s="762"/>
      <c r="D694" s="762"/>
      <c r="E694" s="762"/>
      <c r="F694" s="762"/>
      <c r="G694" s="762"/>
      <c r="H694" s="589"/>
      <c r="I694" s="589"/>
      <c r="J694" s="589"/>
      <c r="K694" s="45" t="s">
        <v>1031</v>
      </c>
      <c r="L694" s="111">
        <f>K185</f>
        <v>8</v>
      </c>
      <c r="M694" s="99"/>
    </row>
    <row r="695" spans="1:46" ht="18.600000000000001" x14ac:dyDescent="0.4">
      <c r="A695" s="667" t="s">
        <v>226</v>
      </c>
      <c r="B695" s="762"/>
      <c r="C695" s="762"/>
      <c r="D695" s="762"/>
      <c r="E695" s="762"/>
      <c r="F695" s="762"/>
      <c r="G695" s="762"/>
      <c r="H695" s="589"/>
      <c r="I695" s="589"/>
      <c r="J695" s="589"/>
      <c r="K695" s="45" t="s">
        <v>270</v>
      </c>
      <c r="L695" s="112">
        <v>116</v>
      </c>
      <c r="M695" s="99"/>
    </row>
    <row r="696" spans="1:46" ht="18.600000000000001" x14ac:dyDescent="0.4">
      <c r="A696" s="667" t="s">
        <v>227</v>
      </c>
      <c r="B696" s="762"/>
      <c r="C696" s="762"/>
      <c r="D696" s="762"/>
      <c r="E696" s="762"/>
      <c r="F696" s="762"/>
      <c r="G696" s="762"/>
      <c r="H696" s="589"/>
      <c r="I696" s="589"/>
      <c r="J696" s="589"/>
      <c r="K696" s="45" t="s">
        <v>269</v>
      </c>
      <c r="L696" s="99">
        <f>L234</f>
        <v>1</v>
      </c>
      <c r="M696" s="99"/>
      <c r="N696" s="586"/>
      <c r="O696" s="589"/>
      <c r="P696" s="55"/>
    </row>
    <row r="697" spans="1:46" ht="18.600000000000001" x14ac:dyDescent="0.4">
      <c r="A697" s="667" t="s">
        <v>228</v>
      </c>
      <c r="B697" s="762"/>
      <c r="C697" s="762"/>
      <c r="D697" s="762"/>
      <c r="E697" s="762"/>
      <c r="F697" s="762"/>
      <c r="G697" s="762"/>
      <c r="H697" s="589"/>
      <c r="I697" s="589"/>
      <c r="J697" s="589"/>
      <c r="K697" s="43" t="s">
        <v>271</v>
      </c>
      <c r="L697" s="111">
        <f>L694*L695*L696</f>
        <v>928</v>
      </c>
      <c r="M697" s="99"/>
      <c r="N697" s="586"/>
      <c r="O697" s="589"/>
      <c r="P697" s="55"/>
    </row>
    <row r="698" spans="1:46" ht="18.600000000000001" x14ac:dyDescent="0.4">
      <c r="A698" s="667" t="s">
        <v>232</v>
      </c>
      <c r="B698" s="762"/>
      <c r="C698" s="762"/>
      <c r="D698" s="762"/>
      <c r="E698" s="762"/>
      <c r="F698" s="762"/>
      <c r="G698" s="762"/>
      <c r="H698" s="589"/>
      <c r="I698" s="589"/>
      <c r="J698" s="589"/>
      <c r="K698" s="43" t="s">
        <v>272</v>
      </c>
      <c r="L698" s="111">
        <f>J338*1000/168</f>
        <v>0</v>
      </c>
      <c r="M698" s="99"/>
      <c r="N698" s="586"/>
      <c r="O698" s="589"/>
      <c r="P698" s="111"/>
    </row>
    <row r="699" spans="1:46" x14ac:dyDescent="0.3">
      <c r="L699" s="1"/>
    </row>
    <row r="700" spans="1:46" ht="18" x14ac:dyDescent="0.35">
      <c r="A700" s="644" t="s">
        <v>297</v>
      </c>
      <c r="B700" s="766"/>
      <c r="C700" s="766"/>
      <c r="D700" s="766"/>
      <c r="E700" s="766"/>
      <c r="F700" s="766"/>
      <c r="G700" s="766"/>
      <c r="H700" s="766"/>
      <c r="I700" s="766"/>
      <c r="J700" s="589"/>
      <c r="K700" s="589"/>
      <c r="L700" s="589"/>
      <c r="M700" s="199"/>
    </row>
    <row r="701" spans="1:46" ht="18" x14ac:dyDescent="0.35">
      <c r="A701" s="644" t="s">
        <v>655</v>
      </c>
      <c r="B701" s="766"/>
      <c r="C701" s="766"/>
      <c r="D701" s="766"/>
      <c r="E701" s="766"/>
      <c r="F701" s="766"/>
      <c r="G701" s="766"/>
      <c r="H701" s="766"/>
      <c r="I701" s="766"/>
      <c r="J701" s="589"/>
      <c r="K701" s="589"/>
      <c r="L701" s="589"/>
      <c r="M701" s="199"/>
    </row>
    <row r="703" spans="1:46" ht="18" x14ac:dyDescent="0.35">
      <c r="A703" s="667" t="s">
        <v>254</v>
      </c>
      <c r="B703" s="589"/>
      <c r="C703" s="589"/>
      <c r="D703" s="589"/>
      <c r="E703" s="589"/>
      <c r="F703" s="589"/>
      <c r="G703" s="589"/>
      <c r="H703" s="589"/>
      <c r="I703" s="4" t="s">
        <v>257</v>
      </c>
      <c r="J703" s="405">
        <v>3</v>
      </c>
    </row>
    <row r="704" spans="1:46" ht="19.2" x14ac:dyDescent="0.4">
      <c r="A704" s="667" t="s">
        <v>258</v>
      </c>
      <c r="B704" s="589"/>
      <c r="C704" s="589"/>
      <c r="D704" s="589"/>
      <c r="E704" s="589"/>
      <c r="F704" s="589"/>
      <c r="G704" s="589"/>
      <c r="H704" s="589"/>
      <c r="I704" s="4" t="s">
        <v>540</v>
      </c>
      <c r="J704" s="773">
        <f>IF(J703=1,22.22*C25,IF(J703=2,30.56*C25,IF(J703=3,45.83*C25,IF(J703=4,72.22*C25,102.78*C25))))</f>
        <v>0</v>
      </c>
      <c r="K704" s="773"/>
    </row>
    <row r="705" spans="1:81" ht="18" x14ac:dyDescent="0.35">
      <c r="A705" s="67"/>
      <c r="B705" s="14"/>
      <c r="C705" s="14"/>
      <c r="D705" s="14"/>
      <c r="E705" s="14"/>
      <c r="F705" s="14"/>
      <c r="G705" s="14"/>
      <c r="H705" s="14"/>
      <c r="I705" s="4"/>
      <c r="J705" s="412"/>
      <c r="K705" s="412"/>
    </row>
    <row r="706" spans="1:81" ht="18" x14ac:dyDescent="0.35">
      <c r="A706" s="667" t="s">
        <v>255</v>
      </c>
      <c r="B706" s="589"/>
      <c r="C706" s="589"/>
      <c r="D706" s="589"/>
      <c r="E706" s="589"/>
      <c r="F706" s="589"/>
      <c r="G706" s="589"/>
      <c r="H706" s="589"/>
      <c r="I706" s="589"/>
      <c r="J706" s="589"/>
      <c r="K706" s="589"/>
      <c r="L706" s="589"/>
    </row>
    <row r="707" spans="1:81" ht="18" x14ac:dyDescent="0.35">
      <c r="A707" s="667" t="s">
        <v>256</v>
      </c>
      <c r="B707" s="589"/>
      <c r="C707" s="589"/>
      <c r="D707" s="589"/>
      <c r="E707" s="589"/>
      <c r="F707" s="589"/>
      <c r="G707" s="589"/>
      <c r="H707" s="589"/>
      <c r="I707" s="589"/>
      <c r="J707" s="589"/>
      <c r="K707" s="589"/>
      <c r="L707" s="589"/>
    </row>
    <row r="708" spans="1:81" ht="18" x14ac:dyDescent="0.35">
      <c r="A708" s="831" t="s">
        <v>1165</v>
      </c>
      <c r="B708" s="832"/>
      <c r="C708" s="832"/>
      <c r="D708" s="832"/>
      <c r="E708" s="832"/>
      <c r="F708" s="832"/>
      <c r="G708" s="832"/>
      <c r="H708" s="832"/>
      <c r="I708" s="832"/>
      <c r="J708" s="832"/>
      <c r="K708" s="832"/>
      <c r="L708" s="832"/>
    </row>
    <row r="709" spans="1:81" ht="18" x14ac:dyDescent="0.35">
      <c r="A709" s="67"/>
      <c r="B709" s="14"/>
      <c r="C709" s="14"/>
      <c r="D709" s="14"/>
      <c r="E709" s="14"/>
      <c r="F709" s="14"/>
      <c r="G709" s="14"/>
      <c r="H709" s="14"/>
      <c r="I709" s="4"/>
      <c r="J709" s="412"/>
      <c r="K709" s="412"/>
    </row>
    <row r="710" spans="1:81" ht="18" x14ac:dyDescent="0.35">
      <c r="A710" s="720" t="s">
        <v>412</v>
      </c>
      <c r="B710" s="589"/>
      <c r="C710" s="589"/>
      <c r="D710" s="589"/>
      <c r="E710" s="589"/>
      <c r="F710" s="589"/>
      <c r="G710" s="589"/>
      <c r="H710" s="589"/>
      <c r="I710" s="589"/>
      <c r="J710" s="589"/>
      <c r="K710" s="589"/>
      <c r="L710" s="589"/>
    </row>
    <row r="711" spans="1:81" ht="18.600000000000001" x14ac:dyDescent="0.4">
      <c r="A711" s="720" t="s">
        <v>413</v>
      </c>
      <c r="B711" s="589"/>
      <c r="C711" s="589"/>
      <c r="D711" s="589"/>
      <c r="E711" s="589"/>
      <c r="F711" s="589"/>
      <c r="G711" s="589"/>
      <c r="H711" s="589"/>
      <c r="I711" s="589"/>
      <c r="J711" s="589"/>
      <c r="K711" s="589"/>
      <c r="L711" s="589"/>
      <c r="M711" s="199"/>
      <c r="N711" s="829" t="s">
        <v>168</v>
      </c>
      <c r="O711" s="830">
        <v>2</v>
      </c>
      <c r="P711" s="170" t="s">
        <v>522</v>
      </c>
      <c r="Q711" s="172" t="s">
        <v>946</v>
      </c>
      <c r="R711" s="173">
        <f ca="1">'Климатични зони'!D5</f>
        <v>2.9</v>
      </c>
      <c r="S711" s="173">
        <f ca="1">'Климатични зони'!E5</f>
        <v>2.9</v>
      </c>
      <c r="T711" s="173">
        <f ca="1">'Климатични зони'!F5</f>
        <v>2.9</v>
      </c>
      <c r="U711" s="173">
        <f ca="1">'Климатични зони'!G5</f>
        <v>2.9</v>
      </c>
      <c r="V711" s="173">
        <f ca="1">'Климатични зони'!H5</f>
        <v>2.9</v>
      </c>
      <c r="W711" s="173">
        <f ca="1">'Климатични зони'!I5</f>
        <v>2.9</v>
      </c>
      <c r="X711" s="173">
        <f ca="1">'Климатични зони'!J5</f>
        <v>2.9</v>
      </c>
      <c r="Y711" s="173">
        <f ca="1">'Климатични зони'!K5</f>
        <v>2.9</v>
      </c>
      <c r="Z711" s="173">
        <f ca="1">'Климатични зони'!L5</f>
        <v>2.9</v>
      </c>
      <c r="AA711" s="173">
        <f ca="1">'Климатични зони'!M5</f>
        <v>2.9</v>
      </c>
      <c r="AB711" s="173">
        <f ca="1">'Климатични зони'!N5</f>
        <v>2.9</v>
      </c>
      <c r="AC711" s="173">
        <f ca="1">'Климатични зони'!O5</f>
        <v>2.9</v>
      </c>
      <c r="AD711" s="173">
        <f ca="1">'Климатични зони'!P5</f>
        <v>2.9</v>
      </c>
      <c r="AE711" s="173">
        <f ca="1">'Климатични зони'!Q5</f>
        <v>2.9</v>
      </c>
      <c r="AF711" s="173">
        <f ca="1">'Климатични зони'!R5</f>
        <v>2.9</v>
      </c>
      <c r="AG711" s="173">
        <f ca="1">'Климатични зони'!S5</f>
        <v>2.9</v>
      </c>
      <c r="AH711" s="173">
        <f ca="1">'Климатични зони'!T5</f>
        <v>2.9</v>
      </c>
      <c r="AI711" s="173">
        <f ca="1">'Климатични зони'!U5</f>
        <v>2.9</v>
      </c>
      <c r="AJ711" s="173">
        <f ca="1">'Климатични зони'!V5</f>
        <v>2.9</v>
      </c>
      <c r="AK711" s="173">
        <f ca="1">'Климатични зони'!W5</f>
        <v>2.9</v>
      </c>
      <c r="AL711" s="173">
        <f ca="1">'Климатични зони'!X5</f>
        <v>2.9</v>
      </c>
      <c r="AM711" s="259">
        <f ca="1">'Климатични зони'!Y5</f>
        <v>2.9</v>
      </c>
      <c r="AN711" s="207">
        <f ca="1">'Климатични зони'!Z5</f>
        <v>2.9</v>
      </c>
      <c r="AO711" s="254">
        <f ca="1">'Климатични зони'!AA5</f>
        <v>2.9</v>
      </c>
      <c r="AQ711" s="45" t="s">
        <v>406</v>
      </c>
      <c r="AR711" s="55">
        <f ca="1">'Климатични зони'!AE9</f>
        <v>2.9</v>
      </c>
      <c r="AS711" s="206" t="s">
        <v>594</v>
      </c>
      <c r="AT711" s="43">
        <f ca="1">1.006*($AR711)+$AR714*(1.805*($AR711)+2501)</f>
        <v>13.962925247817783</v>
      </c>
      <c r="AU711" s="43">
        <f t="shared" ref="AU711:BQ711" ca="1" si="286">1.006*($AR711)+$AR714*(1.805*($AR711)+2501)</f>
        <v>13.962925247817783</v>
      </c>
      <c r="AV711" s="43">
        <f t="shared" ca="1" si="286"/>
        <v>13.962925247817783</v>
      </c>
      <c r="AW711" s="43">
        <f t="shared" ca="1" si="286"/>
        <v>13.962925247817783</v>
      </c>
      <c r="AX711" s="43">
        <f t="shared" ca="1" si="286"/>
        <v>13.962925247817783</v>
      </c>
      <c r="AY711" s="43">
        <f t="shared" ca="1" si="286"/>
        <v>13.962925247817783</v>
      </c>
      <c r="AZ711" s="43">
        <f t="shared" ca="1" si="286"/>
        <v>13.962925247817783</v>
      </c>
      <c r="BA711" s="43">
        <f t="shared" ca="1" si="286"/>
        <v>13.962925247817783</v>
      </c>
      <c r="BB711" s="43">
        <f t="shared" ca="1" si="286"/>
        <v>13.962925247817783</v>
      </c>
      <c r="BC711" s="43">
        <f t="shared" ca="1" si="286"/>
        <v>13.962925247817783</v>
      </c>
      <c r="BD711" s="43">
        <f t="shared" ca="1" si="286"/>
        <v>13.962925247817783</v>
      </c>
      <c r="BE711" s="43">
        <f t="shared" ca="1" si="286"/>
        <v>13.962925247817783</v>
      </c>
      <c r="BF711" s="43">
        <f t="shared" ca="1" si="286"/>
        <v>13.962925247817783</v>
      </c>
      <c r="BG711" s="43">
        <f t="shared" ca="1" si="286"/>
        <v>13.962925247817783</v>
      </c>
      <c r="BH711" s="43">
        <f t="shared" ca="1" si="286"/>
        <v>13.962925247817783</v>
      </c>
      <c r="BI711" s="43">
        <f t="shared" ca="1" si="286"/>
        <v>13.962925247817783</v>
      </c>
      <c r="BJ711" s="43">
        <f t="shared" ca="1" si="286"/>
        <v>13.962925247817783</v>
      </c>
      <c r="BK711" s="43">
        <f t="shared" ca="1" si="286"/>
        <v>13.962925247817783</v>
      </c>
      <c r="BL711" s="43">
        <f t="shared" ca="1" si="286"/>
        <v>13.962925247817783</v>
      </c>
      <c r="BM711" s="43">
        <f t="shared" ca="1" si="286"/>
        <v>13.962925247817783</v>
      </c>
      <c r="BN711" s="43">
        <f t="shared" ca="1" si="286"/>
        <v>13.962925247817783</v>
      </c>
      <c r="BO711" s="43">
        <f t="shared" ca="1" si="286"/>
        <v>13.962925247817783</v>
      </c>
      <c r="BP711" s="43">
        <f t="shared" ca="1" si="286"/>
        <v>13.962925247817783</v>
      </c>
      <c r="BQ711" s="43">
        <f t="shared" ca="1" si="286"/>
        <v>13.962925247817783</v>
      </c>
      <c r="BR711" s="43"/>
      <c r="BS711" s="43"/>
      <c r="BT711" s="43"/>
      <c r="BU711" s="43"/>
      <c r="BV711" s="43"/>
      <c r="BW711" s="43"/>
      <c r="BX711" s="43"/>
      <c r="BY711" s="43"/>
      <c r="BZ711" s="43"/>
      <c r="CA711" s="43"/>
      <c r="CB711" s="43"/>
      <c r="CC711" s="43"/>
    </row>
    <row r="712" spans="1:81" ht="18" x14ac:dyDescent="0.35">
      <c r="A712" s="720" t="s">
        <v>409</v>
      </c>
      <c r="B712" s="781"/>
      <c r="C712" s="781"/>
      <c r="D712" s="781"/>
      <c r="E712" s="781"/>
      <c r="F712" s="781"/>
      <c r="G712" s="781"/>
      <c r="H712" s="781"/>
      <c r="I712" s="781"/>
      <c r="J712" s="781"/>
      <c r="K712" s="781"/>
      <c r="L712" s="781"/>
      <c r="M712" s="334"/>
      <c r="N712" s="829"/>
      <c r="O712" s="830"/>
      <c r="P712" s="170" t="s">
        <v>523</v>
      </c>
      <c r="Q712" s="172" t="s">
        <v>948</v>
      </c>
      <c r="R712" s="173">
        <f t="shared" ref="R712:AO712" ca="1" si="287">((1/($K$181-R711))*(((-$E$614)*5*COS(2*3.14*(($O711-1)/12))+($F$614*7.5*COS(2*3.14*(($O711-1-1)/12))))))</f>
        <v>1.0871810776823698E-42</v>
      </c>
      <c r="S712" s="173">
        <f t="shared" ca="1" si="287"/>
        <v>1.0871810776823698E-42</v>
      </c>
      <c r="T712" s="173">
        <f t="shared" ca="1" si="287"/>
        <v>1.0871810776823698E-42</v>
      </c>
      <c r="U712" s="173">
        <f t="shared" ca="1" si="287"/>
        <v>1.0871810776823698E-42</v>
      </c>
      <c r="V712" s="173">
        <f t="shared" ca="1" si="287"/>
        <v>1.0871810776823698E-42</v>
      </c>
      <c r="W712" s="173">
        <f t="shared" ca="1" si="287"/>
        <v>1.0871810776823698E-42</v>
      </c>
      <c r="X712" s="173">
        <f t="shared" ca="1" si="287"/>
        <v>1.0871810776823698E-42</v>
      </c>
      <c r="Y712" s="173">
        <f t="shared" ca="1" si="287"/>
        <v>1.0871810776823698E-42</v>
      </c>
      <c r="Z712" s="173">
        <f t="shared" ca="1" si="287"/>
        <v>1.0871810776823698E-42</v>
      </c>
      <c r="AA712" s="173">
        <f t="shared" ca="1" si="287"/>
        <v>1.0871810776823698E-42</v>
      </c>
      <c r="AB712" s="173">
        <f t="shared" ca="1" si="287"/>
        <v>1.0871810776823698E-42</v>
      </c>
      <c r="AC712" s="173">
        <f t="shared" ca="1" si="287"/>
        <v>1.0871810776823698E-42</v>
      </c>
      <c r="AD712" s="173">
        <f t="shared" ca="1" si="287"/>
        <v>1.0871810776823698E-42</v>
      </c>
      <c r="AE712" s="173">
        <f t="shared" ca="1" si="287"/>
        <v>1.0871810776823698E-42</v>
      </c>
      <c r="AF712" s="173">
        <f t="shared" ca="1" si="287"/>
        <v>1.0871810776823698E-42</v>
      </c>
      <c r="AG712" s="173">
        <f t="shared" ca="1" si="287"/>
        <v>1.0871810776823698E-42</v>
      </c>
      <c r="AH712" s="173">
        <f t="shared" ca="1" si="287"/>
        <v>1.0871810776823698E-42</v>
      </c>
      <c r="AI712" s="173">
        <f t="shared" ca="1" si="287"/>
        <v>1.0871810776823698E-42</v>
      </c>
      <c r="AJ712" s="173">
        <f t="shared" ca="1" si="287"/>
        <v>1.0871810776823698E-42</v>
      </c>
      <c r="AK712" s="173">
        <f t="shared" ca="1" si="287"/>
        <v>1.0871810776823698E-42</v>
      </c>
      <c r="AL712" s="173">
        <f t="shared" ca="1" si="287"/>
        <v>1.0871810776823698E-42</v>
      </c>
      <c r="AM712" s="259">
        <f t="shared" ca="1" si="287"/>
        <v>1.0871810776823698E-42</v>
      </c>
      <c r="AN712" s="207">
        <f t="shared" ca="1" si="287"/>
        <v>1.0871810776823698E-42</v>
      </c>
      <c r="AO712" s="254">
        <f t="shared" ca="1" si="287"/>
        <v>1.0871810776823698E-42</v>
      </c>
      <c r="AQ712" s="183" t="s">
        <v>531</v>
      </c>
      <c r="AR712" s="43">
        <v>95</v>
      </c>
      <c r="AT712" s="43">
        <f t="shared" ref="AT712:BQ712" ca="1" si="288">(-$K$851*AT711+$K$852*$K$849)</f>
        <v>29.761748239253194</v>
      </c>
      <c r="AU712" s="43">
        <f t="shared" ca="1" si="288"/>
        <v>29.761748239253194</v>
      </c>
      <c r="AV712" s="43">
        <f t="shared" ca="1" si="288"/>
        <v>29.761748239253194</v>
      </c>
      <c r="AW712" s="43">
        <f t="shared" ca="1" si="288"/>
        <v>29.761748239253194</v>
      </c>
      <c r="AX712" s="43">
        <f t="shared" ca="1" si="288"/>
        <v>29.761748239253194</v>
      </c>
      <c r="AY712" s="43">
        <f t="shared" ca="1" si="288"/>
        <v>29.761748239253194</v>
      </c>
      <c r="AZ712" s="43">
        <f t="shared" ca="1" si="288"/>
        <v>29.761748239253194</v>
      </c>
      <c r="BA712" s="43">
        <f t="shared" ca="1" si="288"/>
        <v>29.761748239253194</v>
      </c>
      <c r="BB712" s="43">
        <f t="shared" ca="1" si="288"/>
        <v>29.761748239253194</v>
      </c>
      <c r="BC712" s="43">
        <f t="shared" ca="1" si="288"/>
        <v>29.761748239253194</v>
      </c>
      <c r="BD712" s="43">
        <f t="shared" ca="1" si="288"/>
        <v>29.761748239253194</v>
      </c>
      <c r="BE712" s="43">
        <f t="shared" ca="1" si="288"/>
        <v>29.761748239253194</v>
      </c>
      <c r="BF712" s="43">
        <f t="shared" ca="1" si="288"/>
        <v>29.761748239253194</v>
      </c>
      <c r="BG712" s="43">
        <f t="shared" ca="1" si="288"/>
        <v>29.761748239253194</v>
      </c>
      <c r="BH712" s="43">
        <f t="shared" ca="1" si="288"/>
        <v>29.761748239253194</v>
      </c>
      <c r="BI712" s="43">
        <f t="shared" ca="1" si="288"/>
        <v>29.761748239253194</v>
      </c>
      <c r="BJ712" s="43">
        <f t="shared" ca="1" si="288"/>
        <v>29.761748239253194</v>
      </c>
      <c r="BK712" s="43">
        <f t="shared" ca="1" si="288"/>
        <v>29.761748239253194</v>
      </c>
      <c r="BL712" s="43">
        <f t="shared" ca="1" si="288"/>
        <v>29.761748239253194</v>
      </c>
      <c r="BM712" s="43">
        <f t="shared" ca="1" si="288"/>
        <v>29.761748239253194</v>
      </c>
      <c r="BN712" s="43">
        <f t="shared" ca="1" si="288"/>
        <v>29.761748239253194</v>
      </c>
      <c r="BO712" s="43">
        <f t="shared" ca="1" si="288"/>
        <v>29.761748239253194</v>
      </c>
      <c r="BP712" s="43">
        <f t="shared" ca="1" si="288"/>
        <v>29.761748239253194</v>
      </c>
      <c r="BQ712" s="43">
        <f t="shared" ca="1" si="288"/>
        <v>29.761748239253194</v>
      </c>
    </row>
    <row r="713" spans="1:81" ht="18" x14ac:dyDescent="0.35">
      <c r="N713" s="829"/>
      <c r="O713" s="830"/>
      <c r="P713" s="174" t="s">
        <v>524</v>
      </c>
      <c r="Q713" s="175" t="s">
        <v>945</v>
      </c>
      <c r="R713" s="176" t="e">
        <f t="shared" ref="R713:AO713" ca="1" si="289">(1/1000)*(($K$455+R712)*($K$181-R711))*O$203</f>
        <v>#DIV/0!</v>
      </c>
      <c r="S713" s="176" t="e">
        <f t="shared" ca="1" si="289"/>
        <v>#DIV/0!</v>
      </c>
      <c r="T713" s="176" t="e">
        <f t="shared" ca="1" si="289"/>
        <v>#DIV/0!</v>
      </c>
      <c r="U713" s="176" t="e">
        <f t="shared" ca="1" si="289"/>
        <v>#DIV/0!</v>
      </c>
      <c r="V713" s="176" t="e">
        <f t="shared" ca="1" si="289"/>
        <v>#DIV/0!</v>
      </c>
      <c r="W713" s="176" t="e">
        <f t="shared" ca="1" si="289"/>
        <v>#DIV/0!</v>
      </c>
      <c r="X713" s="176" t="e">
        <f t="shared" ca="1" si="289"/>
        <v>#DIV/0!</v>
      </c>
      <c r="Y713" s="176" t="e">
        <f t="shared" ca="1" si="289"/>
        <v>#DIV/0!</v>
      </c>
      <c r="Z713" s="176" t="e">
        <f t="shared" ca="1" si="289"/>
        <v>#DIV/0!</v>
      </c>
      <c r="AA713" s="176" t="e">
        <f t="shared" ca="1" si="289"/>
        <v>#DIV/0!</v>
      </c>
      <c r="AB713" s="176" t="e">
        <f t="shared" ca="1" si="289"/>
        <v>#DIV/0!</v>
      </c>
      <c r="AC713" s="176" t="e">
        <f t="shared" ca="1" si="289"/>
        <v>#DIV/0!</v>
      </c>
      <c r="AD713" s="176" t="e">
        <f t="shared" ca="1" si="289"/>
        <v>#DIV/0!</v>
      </c>
      <c r="AE713" s="176" t="e">
        <f t="shared" ca="1" si="289"/>
        <v>#DIV/0!</v>
      </c>
      <c r="AF713" s="176" t="e">
        <f t="shared" ca="1" si="289"/>
        <v>#DIV/0!</v>
      </c>
      <c r="AG713" s="176" t="e">
        <f t="shared" ca="1" si="289"/>
        <v>#DIV/0!</v>
      </c>
      <c r="AH713" s="176" t="e">
        <f t="shared" ca="1" si="289"/>
        <v>#DIV/0!</v>
      </c>
      <c r="AI713" s="176" t="e">
        <f t="shared" ca="1" si="289"/>
        <v>#DIV/0!</v>
      </c>
      <c r="AJ713" s="176" t="e">
        <f t="shared" ca="1" si="289"/>
        <v>#DIV/0!</v>
      </c>
      <c r="AK713" s="176" t="e">
        <f t="shared" ca="1" si="289"/>
        <v>#DIV/0!</v>
      </c>
      <c r="AL713" s="176" t="e">
        <f t="shared" ca="1" si="289"/>
        <v>#DIV/0!</v>
      </c>
      <c r="AM713" s="260" t="e">
        <f t="shared" ca="1" si="289"/>
        <v>#DIV/0!</v>
      </c>
      <c r="AN713" s="208" t="e">
        <f t="shared" ca="1" si="289"/>
        <v>#DIV/0!</v>
      </c>
      <c r="AO713" s="273" t="e">
        <f t="shared" ca="1" si="289"/>
        <v>#DIV/0!</v>
      </c>
      <c r="AP713" s="191" t="e">
        <f ca="1">SUM(R713:AO713)</f>
        <v>#DIV/0!</v>
      </c>
      <c r="AQ713" s="173" t="s">
        <v>532</v>
      </c>
      <c r="AR713" s="196">
        <f ca="1">(2.71828^(77.345+0.0057*(273.15+AR711)-7235/(273.15+AR711)))/((273.15+AR711)^8.2)</f>
        <v>750.43794906520759</v>
      </c>
      <c r="AT713" s="43">
        <f t="shared" ref="AT713:BQ713" ca="1" si="290">IF(AT712*O357&lt;0,0,AT712*O357)</f>
        <v>0</v>
      </c>
      <c r="AU713" s="43">
        <f t="shared" ca="1" si="290"/>
        <v>0</v>
      </c>
      <c r="AV713" s="43">
        <f t="shared" ca="1" si="290"/>
        <v>0</v>
      </c>
      <c r="AW713" s="43">
        <f t="shared" ca="1" si="290"/>
        <v>0</v>
      </c>
      <c r="AX713" s="43">
        <f t="shared" ca="1" si="290"/>
        <v>0</v>
      </c>
      <c r="AY713" s="43">
        <f t="shared" ca="1" si="290"/>
        <v>0</v>
      </c>
      <c r="AZ713" s="43">
        <f t="shared" ca="1" si="290"/>
        <v>0</v>
      </c>
      <c r="BA713" s="43">
        <f t="shared" ca="1" si="290"/>
        <v>0</v>
      </c>
      <c r="BB713" s="43">
        <f t="shared" ca="1" si="290"/>
        <v>0</v>
      </c>
      <c r="BC713" s="43">
        <f t="shared" ca="1" si="290"/>
        <v>0</v>
      </c>
      <c r="BD713" s="43">
        <f t="shared" ca="1" si="290"/>
        <v>0</v>
      </c>
      <c r="BE713" s="43">
        <f t="shared" ca="1" si="290"/>
        <v>0</v>
      </c>
      <c r="BF713" s="43">
        <f t="shared" ca="1" si="290"/>
        <v>0</v>
      </c>
      <c r="BG713" s="43">
        <f t="shared" ca="1" si="290"/>
        <v>0</v>
      </c>
      <c r="BH713" s="43">
        <f t="shared" ca="1" si="290"/>
        <v>0</v>
      </c>
      <c r="BI713" s="43">
        <f t="shared" ca="1" si="290"/>
        <v>0</v>
      </c>
      <c r="BJ713" s="43">
        <f t="shared" ca="1" si="290"/>
        <v>0</v>
      </c>
      <c r="BK713" s="43">
        <f t="shared" ca="1" si="290"/>
        <v>0</v>
      </c>
      <c r="BL713" s="43">
        <f t="shared" ca="1" si="290"/>
        <v>0</v>
      </c>
      <c r="BM713" s="43">
        <f t="shared" ca="1" si="290"/>
        <v>0</v>
      </c>
      <c r="BN713" s="43">
        <f t="shared" ca="1" si="290"/>
        <v>0</v>
      </c>
      <c r="BO713" s="43">
        <f t="shared" ca="1" si="290"/>
        <v>0</v>
      </c>
      <c r="BP713" s="43">
        <f t="shared" ca="1" si="290"/>
        <v>0</v>
      </c>
      <c r="BQ713" s="43">
        <f t="shared" ca="1" si="290"/>
        <v>0</v>
      </c>
    </row>
    <row r="714" spans="1:81" ht="18" x14ac:dyDescent="0.35">
      <c r="A714" s="815" t="s">
        <v>410</v>
      </c>
      <c r="B714" s="834" t="s">
        <v>921</v>
      </c>
      <c r="C714" s="834"/>
      <c r="D714" s="8" t="s">
        <v>167</v>
      </c>
      <c r="E714" s="8" t="s">
        <v>922</v>
      </c>
      <c r="F714" s="8" t="s">
        <v>923</v>
      </c>
      <c r="G714" s="8" t="s">
        <v>924</v>
      </c>
      <c r="H714" s="8" t="s">
        <v>925</v>
      </c>
      <c r="I714" s="8" t="s">
        <v>926</v>
      </c>
      <c r="J714" s="8" t="s">
        <v>927</v>
      </c>
      <c r="N714" s="829"/>
      <c r="O714" s="830"/>
      <c r="P714" s="170" t="s">
        <v>525</v>
      </c>
      <c r="Q714" s="172" t="s">
        <v>950</v>
      </c>
      <c r="R714" s="173">
        <f t="shared" ref="R714:AO714" ca="1" si="291">IF(($K$181-$L$647)/($K$181-R711)=0,1,($K$181-$L$647)/($K$181-R711))</f>
        <v>1</v>
      </c>
      <c r="S714" s="173">
        <f t="shared" ca="1" si="291"/>
        <v>1</v>
      </c>
      <c r="T714" s="173">
        <f t="shared" ca="1" si="291"/>
        <v>1</v>
      </c>
      <c r="U714" s="173">
        <f t="shared" ca="1" si="291"/>
        <v>1</v>
      </c>
      <c r="V714" s="173">
        <f t="shared" ca="1" si="291"/>
        <v>1</v>
      </c>
      <c r="W714" s="173">
        <f t="shared" ca="1" si="291"/>
        <v>1</v>
      </c>
      <c r="X714" s="173">
        <f t="shared" ca="1" si="291"/>
        <v>1</v>
      </c>
      <c r="Y714" s="173">
        <f t="shared" ca="1" si="291"/>
        <v>1</v>
      </c>
      <c r="Z714" s="173">
        <f t="shared" ca="1" si="291"/>
        <v>1</v>
      </c>
      <c r="AA714" s="173">
        <f t="shared" ca="1" si="291"/>
        <v>1</v>
      </c>
      <c r="AB714" s="173">
        <f t="shared" ca="1" si="291"/>
        <v>1</v>
      </c>
      <c r="AC714" s="173">
        <f t="shared" ca="1" si="291"/>
        <v>1</v>
      </c>
      <c r="AD714" s="173">
        <f t="shared" ca="1" si="291"/>
        <v>1</v>
      </c>
      <c r="AE714" s="173">
        <f t="shared" ca="1" si="291"/>
        <v>1</v>
      </c>
      <c r="AF714" s="173">
        <f t="shared" ca="1" si="291"/>
        <v>1</v>
      </c>
      <c r="AG714" s="173">
        <f t="shared" ca="1" si="291"/>
        <v>1</v>
      </c>
      <c r="AH714" s="173">
        <f t="shared" ca="1" si="291"/>
        <v>1</v>
      </c>
      <c r="AI714" s="173">
        <f t="shared" ca="1" si="291"/>
        <v>1</v>
      </c>
      <c r="AJ714" s="173">
        <f t="shared" ca="1" si="291"/>
        <v>1</v>
      </c>
      <c r="AK714" s="173">
        <f t="shared" ca="1" si="291"/>
        <v>1</v>
      </c>
      <c r="AL714" s="173">
        <f t="shared" ca="1" si="291"/>
        <v>1</v>
      </c>
      <c r="AM714" s="259">
        <f t="shared" ca="1" si="291"/>
        <v>1</v>
      </c>
      <c r="AN714" s="207">
        <f t="shared" ca="1" si="291"/>
        <v>1</v>
      </c>
      <c r="AO714" s="254">
        <f t="shared" ca="1" si="291"/>
        <v>1</v>
      </c>
      <c r="AP714" s="189"/>
      <c r="AQ714" s="45" t="s">
        <v>407</v>
      </c>
      <c r="AR714" s="196">
        <f ca="1">0.62198*(AR712*AR713/100)/(101325-(AR712*AR713/100))</f>
        <v>4.4072193754486197E-3</v>
      </c>
      <c r="AT714" s="43">
        <f ca="1">SUM(AT713:BQ713)</f>
        <v>0</v>
      </c>
    </row>
    <row r="715" spans="1:81" ht="18.600000000000001" hidden="1" x14ac:dyDescent="0.4">
      <c r="A715" s="815"/>
      <c r="B715" s="8" t="s">
        <v>942</v>
      </c>
      <c r="C715" s="22" t="s">
        <v>947</v>
      </c>
      <c r="D715" s="13">
        <f ca="1">'Климатични зони'!AD4</f>
        <v>23.9</v>
      </c>
      <c r="E715" s="13">
        <f ca="1">'Климатични зони'!AE4</f>
        <v>36.5</v>
      </c>
      <c r="F715" s="13">
        <f ca="1">'Климатични зони'!AF4</f>
        <v>49.6</v>
      </c>
      <c r="G715" s="13">
        <f ca="1">'Климатични зони'!AG4</f>
        <v>65.599999999999994</v>
      </c>
      <c r="H715" s="13">
        <f ca="1">'Климатични зони'!AH4</f>
        <v>41.8</v>
      </c>
      <c r="I715" s="13">
        <f ca="1">'Климатични зони'!AI4</f>
        <v>27.2</v>
      </c>
      <c r="J715" s="13">
        <f ca="1">'Климатични зони'!AJ4</f>
        <v>21</v>
      </c>
      <c r="N715" s="829"/>
      <c r="O715" s="830"/>
      <c r="P715" s="170" t="s">
        <v>526</v>
      </c>
      <c r="Q715" s="172" t="s">
        <v>948</v>
      </c>
      <c r="R715" s="173">
        <f t="shared" ref="R715:AO715" si="292">0.34*($K$186*(0.8*$F$25-$K$187))</f>
        <v>0</v>
      </c>
      <c r="S715" s="173">
        <f t="shared" si="292"/>
        <v>0</v>
      </c>
      <c r="T715" s="173">
        <f t="shared" si="292"/>
        <v>0</v>
      </c>
      <c r="U715" s="173">
        <f t="shared" si="292"/>
        <v>0</v>
      </c>
      <c r="V715" s="173">
        <f t="shared" si="292"/>
        <v>0</v>
      </c>
      <c r="W715" s="173">
        <f t="shared" si="292"/>
        <v>0</v>
      </c>
      <c r="X715" s="173">
        <f t="shared" si="292"/>
        <v>0</v>
      </c>
      <c r="Y715" s="173">
        <f t="shared" si="292"/>
        <v>0</v>
      </c>
      <c r="Z715" s="173">
        <f t="shared" si="292"/>
        <v>0</v>
      </c>
      <c r="AA715" s="173">
        <f t="shared" si="292"/>
        <v>0</v>
      </c>
      <c r="AB715" s="173">
        <f t="shared" si="292"/>
        <v>0</v>
      </c>
      <c r="AC715" s="173">
        <f t="shared" si="292"/>
        <v>0</v>
      </c>
      <c r="AD715" s="173">
        <f t="shared" si="292"/>
        <v>0</v>
      </c>
      <c r="AE715" s="173">
        <f t="shared" si="292"/>
        <v>0</v>
      </c>
      <c r="AF715" s="173">
        <f t="shared" si="292"/>
        <v>0</v>
      </c>
      <c r="AG715" s="173">
        <f t="shared" si="292"/>
        <v>0</v>
      </c>
      <c r="AH715" s="173">
        <f t="shared" si="292"/>
        <v>0</v>
      </c>
      <c r="AI715" s="173">
        <f t="shared" si="292"/>
        <v>0</v>
      </c>
      <c r="AJ715" s="173">
        <f t="shared" si="292"/>
        <v>0</v>
      </c>
      <c r="AK715" s="173">
        <f t="shared" si="292"/>
        <v>0</v>
      </c>
      <c r="AL715" s="173">
        <f t="shared" si="292"/>
        <v>0</v>
      </c>
      <c r="AM715" s="173">
        <f t="shared" si="292"/>
        <v>0</v>
      </c>
      <c r="AN715" s="173">
        <f t="shared" si="292"/>
        <v>0</v>
      </c>
      <c r="AO715" s="173">
        <f t="shared" si="292"/>
        <v>0</v>
      </c>
      <c r="AP715" s="189"/>
    </row>
    <row r="716" spans="1:81" ht="18.600000000000001" hidden="1" x14ac:dyDescent="0.4">
      <c r="A716" s="815"/>
      <c r="B716" s="8" t="s">
        <v>233</v>
      </c>
      <c r="C716" s="22" t="s">
        <v>947</v>
      </c>
      <c r="D716" s="13">
        <f ca="1">(D715+D717)/2</f>
        <v>33.450000000000003</v>
      </c>
      <c r="E716" s="13">
        <f t="shared" ref="E716:J716" ca="1" si="293">(E715+E717)/2</f>
        <v>50.7</v>
      </c>
      <c r="F716" s="13">
        <f t="shared" ca="1" si="293"/>
        <v>62.25</v>
      </c>
      <c r="G716" s="13">
        <f t="shared" ca="1" si="293"/>
        <v>79</v>
      </c>
      <c r="H716" s="13">
        <f t="shared" ca="1" si="293"/>
        <v>58.449999999999996</v>
      </c>
      <c r="I716" s="13">
        <f t="shared" ca="1" si="293"/>
        <v>38.4</v>
      </c>
      <c r="J716" s="13">
        <f t="shared" ca="1" si="293"/>
        <v>29.65</v>
      </c>
      <c r="N716" s="829"/>
      <c r="O716" s="830"/>
      <c r="P716" s="174" t="s">
        <v>527</v>
      </c>
      <c r="Q716" s="175" t="s">
        <v>945</v>
      </c>
      <c r="R716" s="176">
        <f t="shared" ref="R716:AO716" ca="1" si="294">(1/1000)*(R715*($K$181-R711))*O$203</f>
        <v>0</v>
      </c>
      <c r="S716" s="176">
        <f t="shared" ca="1" si="294"/>
        <v>0</v>
      </c>
      <c r="T716" s="176">
        <f t="shared" ca="1" si="294"/>
        <v>0</v>
      </c>
      <c r="U716" s="176">
        <f t="shared" ca="1" si="294"/>
        <v>0</v>
      </c>
      <c r="V716" s="176">
        <f t="shared" ca="1" si="294"/>
        <v>0</v>
      </c>
      <c r="W716" s="176">
        <f t="shared" ca="1" si="294"/>
        <v>0</v>
      </c>
      <c r="X716" s="176">
        <f t="shared" ca="1" si="294"/>
        <v>0</v>
      </c>
      <c r="Y716" s="176">
        <f t="shared" ca="1" si="294"/>
        <v>0</v>
      </c>
      <c r="Z716" s="176">
        <f t="shared" ca="1" si="294"/>
        <v>0</v>
      </c>
      <c r="AA716" s="176">
        <f t="shared" ca="1" si="294"/>
        <v>0</v>
      </c>
      <c r="AB716" s="176">
        <f t="shared" ca="1" si="294"/>
        <v>0</v>
      </c>
      <c r="AC716" s="176">
        <f t="shared" ca="1" si="294"/>
        <v>0</v>
      </c>
      <c r="AD716" s="176">
        <f t="shared" ca="1" si="294"/>
        <v>0</v>
      </c>
      <c r="AE716" s="176">
        <f t="shared" ca="1" si="294"/>
        <v>0</v>
      </c>
      <c r="AF716" s="176">
        <f t="shared" ca="1" si="294"/>
        <v>0</v>
      </c>
      <c r="AG716" s="176">
        <f t="shared" ca="1" si="294"/>
        <v>0</v>
      </c>
      <c r="AH716" s="176">
        <f t="shared" ca="1" si="294"/>
        <v>0</v>
      </c>
      <c r="AI716" s="176">
        <f t="shared" ca="1" si="294"/>
        <v>0</v>
      </c>
      <c r="AJ716" s="176">
        <f t="shared" ca="1" si="294"/>
        <v>0</v>
      </c>
      <c r="AK716" s="176">
        <f t="shared" ca="1" si="294"/>
        <v>0</v>
      </c>
      <c r="AL716" s="176">
        <f t="shared" ca="1" si="294"/>
        <v>0</v>
      </c>
      <c r="AM716" s="260">
        <f t="shared" ca="1" si="294"/>
        <v>0</v>
      </c>
      <c r="AN716" s="208">
        <f t="shared" ca="1" si="294"/>
        <v>0</v>
      </c>
      <c r="AO716" s="273">
        <f t="shared" ca="1" si="294"/>
        <v>0</v>
      </c>
      <c r="AP716" s="188">
        <f ca="1">SUM(R716:AO716)</f>
        <v>0</v>
      </c>
    </row>
    <row r="717" spans="1:81" ht="18.600000000000001" hidden="1" x14ac:dyDescent="0.4">
      <c r="A717" s="815"/>
      <c r="B717" s="8" t="s">
        <v>940</v>
      </c>
      <c r="C717" s="22" t="s">
        <v>947</v>
      </c>
      <c r="D717" s="13">
        <f ca="1">'Климатични зони'!AD5</f>
        <v>43</v>
      </c>
      <c r="E717" s="13">
        <f ca="1">'Климатични зони'!AE5</f>
        <v>64.900000000000006</v>
      </c>
      <c r="F717" s="13">
        <f ca="1">'Климатични зони'!AF5</f>
        <v>74.900000000000006</v>
      </c>
      <c r="G717" s="13">
        <f ca="1">'Климатични зони'!AG5</f>
        <v>92.4</v>
      </c>
      <c r="H717" s="13">
        <f ca="1">'Климатични зони'!AH5</f>
        <v>75.099999999999994</v>
      </c>
      <c r="I717" s="13">
        <f ca="1">'Климатични зони'!AI5</f>
        <v>49.6</v>
      </c>
      <c r="J717" s="13">
        <f ca="1">'Климатични зони'!AJ5</f>
        <v>38.299999999999997</v>
      </c>
      <c r="N717" s="829"/>
      <c r="O717" s="830"/>
      <c r="P717" s="177" t="s">
        <v>528</v>
      </c>
      <c r="Q717" s="178" t="s">
        <v>945</v>
      </c>
      <c r="R717" s="179" t="e">
        <f t="shared" ref="R717:AO717" ca="1" si="295">R716+R713</f>
        <v>#DIV/0!</v>
      </c>
      <c r="S717" s="179" t="e">
        <f t="shared" ca="1" si="295"/>
        <v>#DIV/0!</v>
      </c>
      <c r="T717" s="179" t="e">
        <f t="shared" ca="1" si="295"/>
        <v>#DIV/0!</v>
      </c>
      <c r="U717" s="179" t="e">
        <f t="shared" ca="1" si="295"/>
        <v>#DIV/0!</v>
      </c>
      <c r="V717" s="179" t="e">
        <f t="shared" ca="1" si="295"/>
        <v>#DIV/0!</v>
      </c>
      <c r="W717" s="179" t="e">
        <f t="shared" ca="1" si="295"/>
        <v>#DIV/0!</v>
      </c>
      <c r="X717" s="179" t="e">
        <f t="shared" ca="1" si="295"/>
        <v>#DIV/0!</v>
      </c>
      <c r="Y717" s="179" t="e">
        <f t="shared" ca="1" si="295"/>
        <v>#DIV/0!</v>
      </c>
      <c r="Z717" s="179" t="e">
        <f t="shared" ca="1" si="295"/>
        <v>#DIV/0!</v>
      </c>
      <c r="AA717" s="179" t="e">
        <f t="shared" ca="1" si="295"/>
        <v>#DIV/0!</v>
      </c>
      <c r="AB717" s="179" t="e">
        <f t="shared" ca="1" si="295"/>
        <v>#DIV/0!</v>
      </c>
      <c r="AC717" s="179" t="e">
        <f t="shared" ca="1" si="295"/>
        <v>#DIV/0!</v>
      </c>
      <c r="AD717" s="179" t="e">
        <f t="shared" ca="1" si="295"/>
        <v>#DIV/0!</v>
      </c>
      <c r="AE717" s="179" t="e">
        <f t="shared" ca="1" si="295"/>
        <v>#DIV/0!</v>
      </c>
      <c r="AF717" s="179" t="e">
        <f t="shared" ca="1" si="295"/>
        <v>#DIV/0!</v>
      </c>
      <c r="AG717" s="179" t="e">
        <f t="shared" ca="1" si="295"/>
        <v>#DIV/0!</v>
      </c>
      <c r="AH717" s="179" t="e">
        <f t="shared" ca="1" si="295"/>
        <v>#DIV/0!</v>
      </c>
      <c r="AI717" s="179" t="e">
        <f t="shared" ca="1" si="295"/>
        <v>#DIV/0!</v>
      </c>
      <c r="AJ717" s="179" t="e">
        <f t="shared" ca="1" si="295"/>
        <v>#DIV/0!</v>
      </c>
      <c r="AK717" s="179" t="e">
        <f t="shared" ca="1" si="295"/>
        <v>#DIV/0!</v>
      </c>
      <c r="AL717" s="179" t="e">
        <f t="shared" ca="1" si="295"/>
        <v>#DIV/0!</v>
      </c>
      <c r="AM717" s="261" t="e">
        <f t="shared" ca="1" si="295"/>
        <v>#DIV/0!</v>
      </c>
      <c r="AN717" s="293" t="e">
        <f t="shared" ca="1" si="295"/>
        <v>#DIV/0!</v>
      </c>
      <c r="AO717" s="274" t="e">
        <f t="shared" ca="1" si="295"/>
        <v>#DIV/0!</v>
      </c>
      <c r="AP717" s="190" t="e">
        <f ca="1">SUM(R717:AO717)</f>
        <v>#DIV/0!</v>
      </c>
    </row>
    <row r="718" spans="1:81" ht="18.600000000000001" hidden="1" x14ac:dyDescent="0.4">
      <c r="A718" s="815"/>
      <c r="B718" s="8" t="s">
        <v>234</v>
      </c>
      <c r="C718" s="22" t="s">
        <v>947</v>
      </c>
      <c r="D718" s="13">
        <f t="shared" ref="D718:J718" ca="1" si="296">(D717+D719)/2</f>
        <v>60.15</v>
      </c>
      <c r="E718" s="13">
        <f t="shared" ca="1" si="296"/>
        <v>85.35</v>
      </c>
      <c r="F718" s="13">
        <f t="shared" ca="1" si="296"/>
        <v>86</v>
      </c>
      <c r="G718" s="13">
        <f t="shared" ca="1" si="296"/>
        <v>91.95</v>
      </c>
      <c r="H718" s="13">
        <f t="shared" ca="1" si="296"/>
        <v>96.25</v>
      </c>
      <c r="I718" s="13">
        <f t="shared" ca="1" si="296"/>
        <v>68.650000000000006</v>
      </c>
      <c r="J718" s="13">
        <f t="shared" ca="1" si="296"/>
        <v>54.55</v>
      </c>
      <c r="N718" s="829"/>
      <c r="O718" s="830"/>
      <c r="P718" s="177" t="s">
        <v>529</v>
      </c>
      <c r="Q718" s="178" t="s">
        <v>945</v>
      </c>
      <c r="R718" s="179">
        <f t="shared" ref="R718:AC718" si="297">IF($O$617=1,(1/1000)*(0.34*A$641)*($K$181-R711)*O$357*R714,0)</f>
        <v>0</v>
      </c>
      <c r="S718" s="179">
        <f t="shared" si="297"/>
        <v>0</v>
      </c>
      <c r="T718" s="179">
        <f t="shared" si="297"/>
        <v>0</v>
      </c>
      <c r="U718" s="179">
        <f t="shared" si="297"/>
        <v>0</v>
      </c>
      <c r="V718" s="179">
        <f t="shared" si="297"/>
        <v>0</v>
      </c>
      <c r="W718" s="179">
        <f t="shared" si="297"/>
        <v>0</v>
      </c>
      <c r="X718" s="179">
        <f t="shared" si="297"/>
        <v>0</v>
      </c>
      <c r="Y718" s="179">
        <f t="shared" si="297"/>
        <v>0</v>
      </c>
      <c r="Z718" s="179">
        <f t="shared" si="297"/>
        <v>0</v>
      </c>
      <c r="AA718" s="179">
        <f t="shared" si="297"/>
        <v>0</v>
      </c>
      <c r="AB718" s="179">
        <f t="shared" si="297"/>
        <v>0</v>
      </c>
      <c r="AC718" s="179">
        <f t="shared" si="297"/>
        <v>0</v>
      </c>
      <c r="AD718" s="179">
        <f t="shared" ref="AD718:AO718" si="298">IF($O$617=1,(1/1000)*(0.34*N$641)*($K$181-AD711)*AA$357*AD714,0)</f>
        <v>0</v>
      </c>
      <c r="AE718" s="179">
        <f t="shared" si="298"/>
        <v>0</v>
      </c>
      <c r="AF718" s="179">
        <f t="shared" si="298"/>
        <v>0</v>
      </c>
      <c r="AG718" s="179">
        <f t="shared" si="298"/>
        <v>0</v>
      </c>
      <c r="AH718" s="179">
        <f t="shared" si="298"/>
        <v>0</v>
      </c>
      <c r="AI718" s="179">
        <f t="shared" si="298"/>
        <v>0</v>
      </c>
      <c r="AJ718" s="179">
        <f t="shared" si="298"/>
        <v>0</v>
      </c>
      <c r="AK718" s="179">
        <f t="shared" si="298"/>
        <v>0</v>
      </c>
      <c r="AL718" s="179">
        <f t="shared" si="298"/>
        <v>0</v>
      </c>
      <c r="AM718" s="261">
        <f t="shared" si="298"/>
        <v>0</v>
      </c>
      <c r="AN718" s="293">
        <f t="shared" si="298"/>
        <v>0</v>
      </c>
      <c r="AO718" s="274">
        <f t="shared" si="298"/>
        <v>0</v>
      </c>
      <c r="AP718" s="190">
        <f>SUM(R718:AO718)</f>
        <v>0</v>
      </c>
    </row>
    <row r="719" spans="1:81" ht="18.600000000000001" hidden="1" x14ac:dyDescent="0.4">
      <c r="A719" s="815"/>
      <c r="B719" s="8" t="s">
        <v>944</v>
      </c>
      <c r="C719" s="22" t="s">
        <v>947</v>
      </c>
      <c r="D719" s="13">
        <f ca="1">'Климатични зони'!AD6</f>
        <v>77.3</v>
      </c>
      <c r="E719" s="13">
        <f ca="1">'Климатични зони'!AE6</f>
        <v>105.8</v>
      </c>
      <c r="F719" s="13">
        <f ca="1">'Климатични зони'!AF6</f>
        <v>97.1</v>
      </c>
      <c r="G719" s="13">
        <f ca="1">'Климатични зони'!AG6</f>
        <v>91.5</v>
      </c>
      <c r="H719" s="13">
        <f ca="1">'Климатични зони'!AH6</f>
        <v>117.4</v>
      </c>
      <c r="I719" s="13">
        <f ca="1">'Климатични зони'!AI6</f>
        <v>87.7</v>
      </c>
      <c r="J719" s="13">
        <f ca="1">'Климатични зони'!AJ6</f>
        <v>70.8</v>
      </c>
      <c r="N719" s="829"/>
      <c r="O719" s="830"/>
      <c r="P719" s="174" t="s">
        <v>530</v>
      </c>
      <c r="Q719" s="175" t="s">
        <v>945</v>
      </c>
      <c r="R719" s="176">
        <f t="shared" ref="R719:AO719" si="299">(1/1000)*($L$697+$L$698)*O$229</f>
        <v>25.984000000000002</v>
      </c>
      <c r="S719" s="176">
        <f t="shared" si="299"/>
        <v>25.984000000000002</v>
      </c>
      <c r="T719" s="176">
        <f t="shared" si="299"/>
        <v>25.984000000000002</v>
      </c>
      <c r="U719" s="176">
        <f t="shared" si="299"/>
        <v>25.984000000000002</v>
      </c>
      <c r="V719" s="176">
        <f t="shared" si="299"/>
        <v>25.984000000000002</v>
      </c>
      <c r="W719" s="176">
        <f t="shared" si="299"/>
        <v>25.984000000000002</v>
      </c>
      <c r="X719" s="176">
        <f t="shared" si="299"/>
        <v>25.984000000000002</v>
      </c>
      <c r="Y719" s="176">
        <f t="shared" si="299"/>
        <v>25.984000000000002</v>
      </c>
      <c r="Z719" s="176">
        <f t="shared" si="299"/>
        <v>25.984000000000002</v>
      </c>
      <c r="AA719" s="176">
        <f t="shared" si="299"/>
        <v>25.984000000000002</v>
      </c>
      <c r="AB719" s="176">
        <f t="shared" si="299"/>
        <v>25.984000000000002</v>
      </c>
      <c r="AC719" s="176">
        <f t="shared" si="299"/>
        <v>25.984000000000002</v>
      </c>
      <c r="AD719" s="176">
        <f t="shared" si="299"/>
        <v>25.984000000000002</v>
      </c>
      <c r="AE719" s="176">
        <f t="shared" si="299"/>
        <v>25.984000000000002</v>
      </c>
      <c r="AF719" s="176">
        <f t="shared" si="299"/>
        <v>25.984000000000002</v>
      </c>
      <c r="AG719" s="176">
        <f t="shared" si="299"/>
        <v>25.984000000000002</v>
      </c>
      <c r="AH719" s="176">
        <f t="shared" si="299"/>
        <v>25.984000000000002</v>
      </c>
      <c r="AI719" s="176">
        <f t="shared" si="299"/>
        <v>25.984000000000002</v>
      </c>
      <c r="AJ719" s="176">
        <f t="shared" si="299"/>
        <v>25.984000000000002</v>
      </c>
      <c r="AK719" s="176">
        <f t="shared" si="299"/>
        <v>25.984000000000002</v>
      </c>
      <c r="AL719" s="176">
        <f t="shared" si="299"/>
        <v>25.984000000000002</v>
      </c>
      <c r="AM719" s="260">
        <f t="shared" si="299"/>
        <v>25.984000000000002</v>
      </c>
      <c r="AN719" s="208">
        <f t="shared" si="299"/>
        <v>25.984000000000002</v>
      </c>
      <c r="AO719" s="273">
        <f t="shared" si="299"/>
        <v>25.984000000000002</v>
      </c>
      <c r="AP719" s="188">
        <f>SUM(R719:AO719)</f>
        <v>623.61599999999999</v>
      </c>
    </row>
    <row r="720" spans="1:81" ht="18.600000000000001" hidden="1" x14ac:dyDescent="0.4">
      <c r="A720" s="815"/>
      <c r="B720" s="8" t="s">
        <v>235</v>
      </c>
      <c r="C720" s="22" t="s">
        <v>947</v>
      </c>
      <c r="D720" s="13">
        <f t="shared" ref="D720:J720" ca="1" si="300">(D719+D721)/2</f>
        <v>60.15</v>
      </c>
      <c r="E720" s="13">
        <f t="shared" ca="1" si="300"/>
        <v>85.35</v>
      </c>
      <c r="F720" s="13">
        <f t="shared" ca="1" si="300"/>
        <v>86</v>
      </c>
      <c r="G720" s="13">
        <f t="shared" ca="1" si="300"/>
        <v>91.95</v>
      </c>
      <c r="H720" s="13">
        <f t="shared" ca="1" si="300"/>
        <v>96.25</v>
      </c>
      <c r="I720" s="13">
        <f t="shared" ca="1" si="300"/>
        <v>68.650000000000006</v>
      </c>
      <c r="J720" s="13">
        <f t="shared" ca="1" si="300"/>
        <v>54.55</v>
      </c>
      <c r="N720" s="829" t="s">
        <v>923</v>
      </c>
      <c r="O720" s="830">
        <v>3</v>
      </c>
      <c r="P720" s="170" t="s">
        <v>522</v>
      </c>
      <c r="Q720" s="172" t="s">
        <v>946</v>
      </c>
      <c r="R720" s="173">
        <f ca="1">'Климатични зони'!D6</f>
        <v>5.7</v>
      </c>
      <c r="S720" s="173">
        <f ca="1">'Климатични зони'!E6</f>
        <v>5.7</v>
      </c>
      <c r="T720" s="173">
        <f ca="1">'Климатични зони'!F6</f>
        <v>5.7</v>
      </c>
      <c r="U720" s="173">
        <f ca="1">'Климатични зони'!G6</f>
        <v>5.7</v>
      </c>
      <c r="V720" s="173">
        <f ca="1">'Климатични зони'!H6</f>
        <v>5.7</v>
      </c>
      <c r="W720" s="173">
        <f ca="1">'Климатични зони'!I6</f>
        <v>5.7</v>
      </c>
      <c r="X720" s="173">
        <f ca="1">'Климатични зони'!J6</f>
        <v>5.7</v>
      </c>
      <c r="Y720" s="173">
        <f ca="1">'Климатични зони'!K6</f>
        <v>5.7</v>
      </c>
      <c r="Z720" s="173">
        <f ca="1">'Климатични зони'!L6</f>
        <v>5.7</v>
      </c>
      <c r="AA720" s="173">
        <f ca="1">'Климатични зони'!M6</f>
        <v>5.7</v>
      </c>
      <c r="AB720" s="173">
        <f ca="1">'Климатични зони'!N6</f>
        <v>5.7</v>
      </c>
      <c r="AC720" s="173">
        <f ca="1">'Климатични зони'!O6</f>
        <v>5.7</v>
      </c>
      <c r="AD720" s="173">
        <f ca="1">'Климатични зони'!P6</f>
        <v>5.7</v>
      </c>
      <c r="AE720" s="173">
        <f ca="1">'Климатични зони'!Q6</f>
        <v>5.7</v>
      </c>
      <c r="AF720" s="173">
        <f ca="1">'Климатични зони'!R6</f>
        <v>5.7</v>
      </c>
      <c r="AG720" s="173">
        <f ca="1">'Климатични зони'!S6</f>
        <v>5.7</v>
      </c>
      <c r="AH720" s="173">
        <f ca="1">'Климатични зони'!T6</f>
        <v>5.7</v>
      </c>
      <c r="AI720" s="173">
        <f ca="1">'Климатични зони'!U6</f>
        <v>5.7</v>
      </c>
      <c r="AJ720" s="173">
        <f ca="1">'Климатични зони'!V6</f>
        <v>5.7</v>
      </c>
      <c r="AK720" s="173">
        <f ca="1">'Климатични зони'!W6</f>
        <v>5.7</v>
      </c>
      <c r="AL720" s="173">
        <f ca="1">'Климатични зони'!X6</f>
        <v>5.7</v>
      </c>
      <c r="AM720" s="259">
        <f ca="1">'Климатични зони'!Y6</f>
        <v>5.7</v>
      </c>
      <c r="AN720" s="207">
        <f ca="1">'Климатични зони'!Z6</f>
        <v>5.7</v>
      </c>
      <c r="AO720" s="254">
        <f ca="1">'Климатични зони'!AA6</f>
        <v>5.7</v>
      </c>
      <c r="AP720" s="189"/>
      <c r="AQ720" s="45" t="s">
        <v>406</v>
      </c>
      <c r="AR720" s="55">
        <f ca="1">'Климатични зони'!AF9</f>
        <v>5.7</v>
      </c>
      <c r="AS720" s="206" t="s">
        <v>594</v>
      </c>
      <c r="AT720" s="43">
        <f ca="1">1.006*($AR720)+$AR723*(1.805*($AR720)+2501)</f>
        <v>19.224287656348331</v>
      </c>
      <c r="AU720" s="43">
        <f t="shared" ref="AU720:BQ720" ca="1" si="301">1.006*($AR720)+$AR723*(1.805*($AR720)+2501)</f>
        <v>19.224287656348331</v>
      </c>
      <c r="AV720" s="43">
        <f t="shared" ca="1" si="301"/>
        <v>19.224287656348331</v>
      </c>
      <c r="AW720" s="43">
        <f t="shared" ca="1" si="301"/>
        <v>19.224287656348331</v>
      </c>
      <c r="AX720" s="43">
        <f t="shared" ca="1" si="301"/>
        <v>19.224287656348331</v>
      </c>
      <c r="AY720" s="43">
        <f t="shared" ca="1" si="301"/>
        <v>19.224287656348331</v>
      </c>
      <c r="AZ720" s="43">
        <f t="shared" ca="1" si="301"/>
        <v>19.224287656348331</v>
      </c>
      <c r="BA720" s="43">
        <f t="shared" ca="1" si="301"/>
        <v>19.224287656348331</v>
      </c>
      <c r="BB720" s="43">
        <f t="shared" ca="1" si="301"/>
        <v>19.224287656348331</v>
      </c>
      <c r="BC720" s="43">
        <f t="shared" ca="1" si="301"/>
        <v>19.224287656348331</v>
      </c>
      <c r="BD720" s="43">
        <f t="shared" ca="1" si="301"/>
        <v>19.224287656348331</v>
      </c>
      <c r="BE720" s="43">
        <f t="shared" ca="1" si="301"/>
        <v>19.224287656348331</v>
      </c>
      <c r="BF720" s="43">
        <f t="shared" ca="1" si="301"/>
        <v>19.224287656348331</v>
      </c>
      <c r="BG720" s="43">
        <f t="shared" ca="1" si="301"/>
        <v>19.224287656348331</v>
      </c>
      <c r="BH720" s="43">
        <f t="shared" ca="1" si="301"/>
        <v>19.224287656348331</v>
      </c>
      <c r="BI720" s="43">
        <f t="shared" ca="1" si="301"/>
        <v>19.224287656348331</v>
      </c>
      <c r="BJ720" s="43">
        <f t="shared" ca="1" si="301"/>
        <v>19.224287656348331</v>
      </c>
      <c r="BK720" s="43">
        <f t="shared" ca="1" si="301"/>
        <v>19.224287656348331</v>
      </c>
      <c r="BL720" s="43">
        <f t="shared" ca="1" si="301"/>
        <v>19.224287656348331</v>
      </c>
      <c r="BM720" s="43">
        <f t="shared" ca="1" si="301"/>
        <v>19.224287656348331</v>
      </c>
      <c r="BN720" s="43">
        <f t="shared" ca="1" si="301"/>
        <v>19.224287656348331</v>
      </c>
      <c r="BO720" s="43">
        <f t="shared" ca="1" si="301"/>
        <v>19.224287656348331</v>
      </c>
      <c r="BP720" s="43">
        <f t="shared" ca="1" si="301"/>
        <v>19.224287656348331</v>
      </c>
      <c r="BQ720" s="43">
        <f t="shared" ca="1" si="301"/>
        <v>19.224287656348331</v>
      </c>
    </row>
    <row r="721" spans="1:69" ht="18.600000000000001" hidden="1" x14ac:dyDescent="0.4">
      <c r="A721" s="815"/>
      <c r="B721" s="8" t="s">
        <v>941</v>
      </c>
      <c r="C721" s="22" t="s">
        <v>947</v>
      </c>
      <c r="D721" s="13">
        <f ca="1">'Климатични зони'!AD7</f>
        <v>43</v>
      </c>
      <c r="E721" s="13">
        <f ca="1">'Климатични зони'!AE7</f>
        <v>64.900000000000006</v>
      </c>
      <c r="F721" s="13">
        <f ca="1">'Климатични зони'!AF7</f>
        <v>74.900000000000006</v>
      </c>
      <c r="G721" s="13">
        <f ca="1">'Климатични зони'!AG7</f>
        <v>92.4</v>
      </c>
      <c r="H721" s="13">
        <f ca="1">'Климатични зони'!AH7</f>
        <v>75.099999999999994</v>
      </c>
      <c r="I721" s="13">
        <f ca="1">'Климатични зони'!AI7</f>
        <v>49.6</v>
      </c>
      <c r="J721" s="13">
        <f ca="1">'Климатични зони'!AJ7</f>
        <v>38.299999999999997</v>
      </c>
      <c r="N721" s="829"/>
      <c r="O721" s="830"/>
      <c r="P721" s="170" t="s">
        <v>523</v>
      </c>
      <c r="Q721" s="172" t="s">
        <v>948</v>
      </c>
      <c r="R721" s="173">
        <f t="shared" ref="R721:AO721" ca="1" si="302">((1/($K$181-R720))*(((-$E$614)*5*COS(2*3.14*(($O720-1)/12))+($F$614*7.5*COS(2*3.14*(($O720-1-1)/12))))))</f>
        <v>1.4301705032969224E-42</v>
      </c>
      <c r="S721" s="173">
        <f t="shared" ca="1" si="302"/>
        <v>1.4301705032969224E-42</v>
      </c>
      <c r="T721" s="173">
        <f t="shared" ca="1" si="302"/>
        <v>1.4301705032969224E-42</v>
      </c>
      <c r="U721" s="173">
        <f t="shared" ca="1" si="302"/>
        <v>1.4301705032969224E-42</v>
      </c>
      <c r="V721" s="173">
        <f t="shared" ca="1" si="302"/>
        <v>1.4301705032969224E-42</v>
      </c>
      <c r="W721" s="173">
        <f t="shared" ca="1" si="302"/>
        <v>1.4301705032969224E-42</v>
      </c>
      <c r="X721" s="173">
        <f t="shared" ca="1" si="302"/>
        <v>1.4301705032969224E-42</v>
      </c>
      <c r="Y721" s="173">
        <f t="shared" ca="1" si="302"/>
        <v>1.4301705032969224E-42</v>
      </c>
      <c r="Z721" s="173">
        <f t="shared" ca="1" si="302"/>
        <v>1.4301705032969224E-42</v>
      </c>
      <c r="AA721" s="173">
        <f t="shared" ca="1" si="302"/>
        <v>1.4301705032969224E-42</v>
      </c>
      <c r="AB721" s="173">
        <f t="shared" ca="1" si="302"/>
        <v>1.4301705032969224E-42</v>
      </c>
      <c r="AC721" s="173">
        <f t="shared" ca="1" si="302"/>
        <v>1.4301705032969224E-42</v>
      </c>
      <c r="AD721" s="173">
        <f t="shared" ca="1" si="302"/>
        <v>1.4301705032969224E-42</v>
      </c>
      <c r="AE721" s="173">
        <f t="shared" ca="1" si="302"/>
        <v>1.4301705032969224E-42</v>
      </c>
      <c r="AF721" s="173">
        <f t="shared" ca="1" si="302"/>
        <v>1.4301705032969224E-42</v>
      </c>
      <c r="AG721" s="173">
        <f t="shared" ca="1" si="302"/>
        <v>1.4301705032969224E-42</v>
      </c>
      <c r="AH721" s="173">
        <f t="shared" ca="1" si="302"/>
        <v>1.4301705032969224E-42</v>
      </c>
      <c r="AI721" s="173">
        <f t="shared" ca="1" si="302"/>
        <v>1.4301705032969224E-42</v>
      </c>
      <c r="AJ721" s="173">
        <f t="shared" ca="1" si="302"/>
        <v>1.4301705032969224E-42</v>
      </c>
      <c r="AK721" s="173">
        <f t="shared" ca="1" si="302"/>
        <v>1.4301705032969224E-42</v>
      </c>
      <c r="AL721" s="173">
        <f t="shared" ca="1" si="302"/>
        <v>1.4301705032969224E-42</v>
      </c>
      <c r="AM721" s="259">
        <f t="shared" ca="1" si="302"/>
        <v>1.4301705032969224E-42</v>
      </c>
      <c r="AN721" s="207">
        <f t="shared" ca="1" si="302"/>
        <v>1.4301705032969224E-42</v>
      </c>
      <c r="AO721" s="254">
        <f t="shared" ca="1" si="302"/>
        <v>1.4301705032969224E-42</v>
      </c>
      <c r="AP721" s="189"/>
      <c r="AQ721" s="183" t="s">
        <v>531</v>
      </c>
      <c r="AR721" s="43">
        <v>95</v>
      </c>
      <c r="AT721" s="43">
        <f t="shared" ref="AT721:BQ721" ca="1" si="303">(-$K$851*AT720+$K$852*$K$849)</f>
        <v>22.692442615469648</v>
      </c>
      <c r="AU721" s="43">
        <f t="shared" ca="1" si="303"/>
        <v>22.692442615469648</v>
      </c>
      <c r="AV721" s="43">
        <f t="shared" ca="1" si="303"/>
        <v>22.692442615469648</v>
      </c>
      <c r="AW721" s="43">
        <f t="shared" ca="1" si="303"/>
        <v>22.692442615469648</v>
      </c>
      <c r="AX721" s="43">
        <f t="shared" ca="1" si="303"/>
        <v>22.692442615469648</v>
      </c>
      <c r="AY721" s="43">
        <f t="shared" ca="1" si="303"/>
        <v>22.692442615469648</v>
      </c>
      <c r="AZ721" s="43">
        <f t="shared" ca="1" si="303"/>
        <v>22.692442615469648</v>
      </c>
      <c r="BA721" s="43">
        <f t="shared" ca="1" si="303"/>
        <v>22.692442615469648</v>
      </c>
      <c r="BB721" s="43">
        <f t="shared" ca="1" si="303"/>
        <v>22.692442615469648</v>
      </c>
      <c r="BC721" s="43">
        <f t="shared" ca="1" si="303"/>
        <v>22.692442615469648</v>
      </c>
      <c r="BD721" s="43">
        <f t="shared" ca="1" si="303"/>
        <v>22.692442615469648</v>
      </c>
      <c r="BE721" s="43">
        <f t="shared" ca="1" si="303"/>
        <v>22.692442615469648</v>
      </c>
      <c r="BF721" s="43">
        <f t="shared" ca="1" si="303"/>
        <v>22.692442615469648</v>
      </c>
      <c r="BG721" s="43">
        <f t="shared" ca="1" si="303"/>
        <v>22.692442615469648</v>
      </c>
      <c r="BH721" s="43">
        <f t="shared" ca="1" si="303"/>
        <v>22.692442615469648</v>
      </c>
      <c r="BI721" s="43">
        <f t="shared" ca="1" si="303"/>
        <v>22.692442615469648</v>
      </c>
      <c r="BJ721" s="43">
        <f t="shared" ca="1" si="303"/>
        <v>22.692442615469648</v>
      </c>
      <c r="BK721" s="43">
        <f t="shared" ca="1" si="303"/>
        <v>22.692442615469648</v>
      </c>
      <c r="BL721" s="43">
        <f t="shared" ca="1" si="303"/>
        <v>22.692442615469648</v>
      </c>
      <c r="BM721" s="43">
        <f t="shared" ca="1" si="303"/>
        <v>22.692442615469648</v>
      </c>
      <c r="BN721" s="43">
        <f t="shared" ca="1" si="303"/>
        <v>22.692442615469648</v>
      </c>
      <c r="BO721" s="43">
        <f t="shared" ca="1" si="303"/>
        <v>22.692442615469648</v>
      </c>
      <c r="BP721" s="43">
        <f t="shared" ca="1" si="303"/>
        <v>22.692442615469648</v>
      </c>
      <c r="BQ721" s="43">
        <f t="shared" ca="1" si="303"/>
        <v>22.692442615469648</v>
      </c>
    </row>
    <row r="722" spans="1:69" ht="18.600000000000001" hidden="1" x14ac:dyDescent="0.4">
      <c r="A722" s="815"/>
      <c r="B722" s="8" t="s">
        <v>236</v>
      </c>
      <c r="C722" s="22" t="s">
        <v>947</v>
      </c>
      <c r="D722" s="13">
        <f ca="1">(D715+D721)/2</f>
        <v>33.450000000000003</v>
      </c>
      <c r="E722" s="13">
        <f t="shared" ref="E722:J722" ca="1" si="304">(E715+E721)/2</f>
        <v>50.7</v>
      </c>
      <c r="F722" s="13">
        <f t="shared" ca="1" si="304"/>
        <v>62.25</v>
      </c>
      <c r="G722" s="13">
        <f t="shared" ca="1" si="304"/>
        <v>79</v>
      </c>
      <c r="H722" s="13">
        <f t="shared" ca="1" si="304"/>
        <v>58.449999999999996</v>
      </c>
      <c r="I722" s="13">
        <f t="shared" ca="1" si="304"/>
        <v>38.4</v>
      </c>
      <c r="J722" s="13">
        <f t="shared" ca="1" si="304"/>
        <v>29.65</v>
      </c>
      <c r="N722" s="829"/>
      <c r="O722" s="830"/>
      <c r="P722" s="174" t="s">
        <v>524</v>
      </c>
      <c r="Q722" s="175" t="s">
        <v>945</v>
      </c>
      <c r="R722" s="176" t="e">
        <f t="shared" ref="R722:AO722" ca="1" si="305">(1/1000)*(($K$455+R721)*($K$181-R720))*O$204</f>
        <v>#DIV/0!</v>
      </c>
      <c r="S722" s="176" t="e">
        <f t="shared" ca="1" si="305"/>
        <v>#DIV/0!</v>
      </c>
      <c r="T722" s="176" t="e">
        <f t="shared" ca="1" si="305"/>
        <v>#DIV/0!</v>
      </c>
      <c r="U722" s="176" t="e">
        <f t="shared" ca="1" si="305"/>
        <v>#DIV/0!</v>
      </c>
      <c r="V722" s="176" t="e">
        <f t="shared" ca="1" si="305"/>
        <v>#DIV/0!</v>
      </c>
      <c r="W722" s="176" t="e">
        <f t="shared" ca="1" si="305"/>
        <v>#DIV/0!</v>
      </c>
      <c r="X722" s="176" t="e">
        <f t="shared" ca="1" si="305"/>
        <v>#DIV/0!</v>
      </c>
      <c r="Y722" s="176" t="e">
        <f t="shared" ca="1" si="305"/>
        <v>#DIV/0!</v>
      </c>
      <c r="Z722" s="176" t="e">
        <f t="shared" ca="1" si="305"/>
        <v>#DIV/0!</v>
      </c>
      <c r="AA722" s="176" t="e">
        <f t="shared" ca="1" si="305"/>
        <v>#DIV/0!</v>
      </c>
      <c r="AB722" s="176" t="e">
        <f t="shared" ca="1" si="305"/>
        <v>#DIV/0!</v>
      </c>
      <c r="AC722" s="176" t="e">
        <f t="shared" ca="1" si="305"/>
        <v>#DIV/0!</v>
      </c>
      <c r="AD722" s="176" t="e">
        <f t="shared" ca="1" si="305"/>
        <v>#DIV/0!</v>
      </c>
      <c r="AE722" s="176" t="e">
        <f t="shared" ca="1" si="305"/>
        <v>#DIV/0!</v>
      </c>
      <c r="AF722" s="176" t="e">
        <f t="shared" ca="1" si="305"/>
        <v>#DIV/0!</v>
      </c>
      <c r="AG722" s="176" t="e">
        <f t="shared" ca="1" si="305"/>
        <v>#DIV/0!</v>
      </c>
      <c r="AH722" s="176" t="e">
        <f t="shared" ca="1" si="305"/>
        <v>#DIV/0!</v>
      </c>
      <c r="AI722" s="176" t="e">
        <f t="shared" ca="1" si="305"/>
        <v>#DIV/0!</v>
      </c>
      <c r="AJ722" s="176" t="e">
        <f t="shared" ca="1" si="305"/>
        <v>#DIV/0!</v>
      </c>
      <c r="AK722" s="176" t="e">
        <f t="shared" ca="1" si="305"/>
        <v>#DIV/0!</v>
      </c>
      <c r="AL722" s="176" t="e">
        <f t="shared" ca="1" si="305"/>
        <v>#DIV/0!</v>
      </c>
      <c r="AM722" s="260" t="e">
        <f t="shared" ca="1" si="305"/>
        <v>#DIV/0!</v>
      </c>
      <c r="AN722" s="208" t="e">
        <f t="shared" ca="1" si="305"/>
        <v>#DIV/0!</v>
      </c>
      <c r="AO722" s="273" t="e">
        <f t="shared" ca="1" si="305"/>
        <v>#DIV/0!</v>
      </c>
      <c r="AP722" s="188" t="e">
        <f ca="1">SUM(R722:AO722)</f>
        <v>#DIV/0!</v>
      </c>
      <c r="AQ722" s="173" t="s">
        <v>532</v>
      </c>
      <c r="AR722" s="196">
        <f ca="1">(2.71828^(77.345+0.0057*(273.15+AR720)-7235/(273.15+AR720)))/((273.15+AR720)^8.2)</f>
        <v>913.27177705090048</v>
      </c>
      <c r="AT722" s="43">
        <f t="shared" ref="AT722:BQ722" ca="1" si="306">IF(AT721*O358&lt;0,0,AT721*O358)</f>
        <v>0</v>
      </c>
      <c r="AU722" s="43">
        <f t="shared" ca="1" si="306"/>
        <v>0</v>
      </c>
      <c r="AV722" s="43">
        <f t="shared" ca="1" si="306"/>
        <v>0</v>
      </c>
      <c r="AW722" s="43">
        <f t="shared" ca="1" si="306"/>
        <v>0</v>
      </c>
      <c r="AX722" s="43">
        <f t="shared" ca="1" si="306"/>
        <v>0</v>
      </c>
      <c r="AY722" s="43">
        <f t="shared" ca="1" si="306"/>
        <v>0</v>
      </c>
      <c r="AZ722" s="43">
        <f t="shared" ca="1" si="306"/>
        <v>0</v>
      </c>
      <c r="BA722" s="43">
        <f t="shared" ca="1" si="306"/>
        <v>0</v>
      </c>
      <c r="BB722" s="43">
        <f t="shared" ca="1" si="306"/>
        <v>0</v>
      </c>
      <c r="BC722" s="43">
        <f t="shared" ca="1" si="306"/>
        <v>0</v>
      </c>
      <c r="BD722" s="43">
        <f t="shared" ca="1" si="306"/>
        <v>0</v>
      </c>
      <c r="BE722" s="43">
        <f t="shared" ca="1" si="306"/>
        <v>0</v>
      </c>
      <c r="BF722" s="43">
        <f t="shared" ca="1" si="306"/>
        <v>0</v>
      </c>
      <c r="BG722" s="43">
        <f t="shared" ca="1" si="306"/>
        <v>0</v>
      </c>
      <c r="BH722" s="43">
        <f t="shared" ca="1" si="306"/>
        <v>0</v>
      </c>
      <c r="BI722" s="43">
        <f t="shared" ca="1" si="306"/>
        <v>0</v>
      </c>
      <c r="BJ722" s="43">
        <f t="shared" ca="1" si="306"/>
        <v>0</v>
      </c>
      <c r="BK722" s="43">
        <f t="shared" ca="1" si="306"/>
        <v>0</v>
      </c>
      <c r="BL722" s="43">
        <f t="shared" ca="1" si="306"/>
        <v>0</v>
      </c>
      <c r="BM722" s="43">
        <f t="shared" ca="1" si="306"/>
        <v>0</v>
      </c>
      <c r="BN722" s="43">
        <f t="shared" ca="1" si="306"/>
        <v>0</v>
      </c>
      <c r="BO722" s="43">
        <f t="shared" ca="1" si="306"/>
        <v>0</v>
      </c>
      <c r="BP722" s="43">
        <f t="shared" ca="1" si="306"/>
        <v>0</v>
      </c>
      <c r="BQ722" s="43">
        <f t="shared" ca="1" si="306"/>
        <v>0</v>
      </c>
    </row>
    <row r="723" spans="1:69" ht="18.600000000000001" hidden="1" x14ac:dyDescent="0.4">
      <c r="A723" s="815"/>
      <c r="B723" s="8" t="s">
        <v>252</v>
      </c>
      <c r="C723" s="22" t="s">
        <v>947</v>
      </c>
      <c r="D723" s="13">
        <f ca="1">'Климатични зони'!AD8</f>
        <v>53.5</v>
      </c>
      <c r="E723" s="13">
        <f ca="1">'Климатични зони'!AE8</f>
        <v>88.5</v>
      </c>
      <c r="F723" s="13">
        <f ca="1">'Климатични зони'!AF8</f>
        <v>118.7</v>
      </c>
      <c r="G723" s="13">
        <f ca="1">'Климатични зони'!AG8</f>
        <v>116.4</v>
      </c>
      <c r="H723" s="13">
        <f ca="1">'Климатични зони'!AH8</f>
        <v>106</v>
      </c>
      <c r="I723" s="13">
        <f ca="1">'Климатични зони'!AI8</f>
        <v>62.8</v>
      </c>
      <c r="J723" s="13">
        <f ca="1">'Климатични зони'!AJ8</f>
        <v>46.3</v>
      </c>
      <c r="N723" s="829"/>
      <c r="O723" s="830"/>
      <c r="P723" s="170" t="s">
        <v>525</v>
      </c>
      <c r="Q723" s="172" t="s">
        <v>950</v>
      </c>
      <c r="R723" s="173">
        <f t="shared" ref="R723:AO723" ca="1" si="307">IF(($K$181-$L$647)/($K$181-R720)=0,1,($K$181-$L$647)/($K$181-R720))</f>
        <v>1</v>
      </c>
      <c r="S723" s="173">
        <f t="shared" ca="1" si="307"/>
        <v>1</v>
      </c>
      <c r="T723" s="173">
        <f t="shared" ca="1" si="307"/>
        <v>1</v>
      </c>
      <c r="U723" s="173">
        <f t="shared" ca="1" si="307"/>
        <v>1</v>
      </c>
      <c r="V723" s="173">
        <f t="shared" ca="1" si="307"/>
        <v>1</v>
      </c>
      <c r="W723" s="173">
        <f t="shared" ca="1" si="307"/>
        <v>1</v>
      </c>
      <c r="X723" s="173">
        <f t="shared" ca="1" si="307"/>
        <v>1</v>
      </c>
      <c r="Y723" s="173">
        <f t="shared" ca="1" si="307"/>
        <v>1</v>
      </c>
      <c r="Z723" s="173">
        <f t="shared" ca="1" si="307"/>
        <v>1</v>
      </c>
      <c r="AA723" s="173">
        <f t="shared" ca="1" si="307"/>
        <v>1</v>
      </c>
      <c r="AB723" s="173">
        <f t="shared" ca="1" si="307"/>
        <v>1</v>
      </c>
      <c r="AC723" s="173">
        <f t="shared" ca="1" si="307"/>
        <v>1</v>
      </c>
      <c r="AD723" s="173">
        <f t="shared" ca="1" si="307"/>
        <v>1</v>
      </c>
      <c r="AE723" s="173">
        <f t="shared" ca="1" si="307"/>
        <v>1</v>
      </c>
      <c r="AF723" s="173">
        <f t="shared" ca="1" si="307"/>
        <v>1</v>
      </c>
      <c r="AG723" s="173">
        <f t="shared" ca="1" si="307"/>
        <v>1</v>
      </c>
      <c r="AH723" s="173">
        <f t="shared" ca="1" si="307"/>
        <v>1</v>
      </c>
      <c r="AI723" s="173">
        <f t="shared" ca="1" si="307"/>
        <v>1</v>
      </c>
      <c r="AJ723" s="173">
        <f t="shared" ca="1" si="307"/>
        <v>1</v>
      </c>
      <c r="AK723" s="173">
        <f t="shared" ca="1" si="307"/>
        <v>1</v>
      </c>
      <c r="AL723" s="173">
        <f t="shared" ca="1" si="307"/>
        <v>1</v>
      </c>
      <c r="AM723" s="259">
        <f t="shared" ca="1" si="307"/>
        <v>1</v>
      </c>
      <c r="AN723" s="207">
        <f t="shared" ca="1" si="307"/>
        <v>1</v>
      </c>
      <c r="AO723" s="254">
        <f t="shared" ca="1" si="307"/>
        <v>1</v>
      </c>
      <c r="AP723" s="189"/>
      <c r="AQ723" s="45" t="s">
        <v>407</v>
      </c>
      <c r="AR723" s="196">
        <f ca="1">0.62198*(AR721*AR722/100)/(101325-(AR721*AR722/100))</f>
        <v>5.3717793301519632E-3</v>
      </c>
      <c r="AT723" s="43">
        <f ca="1">SUM(AT722:BQ722)</f>
        <v>0</v>
      </c>
    </row>
    <row r="724" spans="1:69" ht="18.600000000000001" hidden="1" x14ac:dyDescent="0.4">
      <c r="A724" s="815"/>
      <c r="B724" s="8" t="s">
        <v>936</v>
      </c>
      <c r="C724" s="22" t="s">
        <v>949</v>
      </c>
      <c r="D724" s="13" t="e">
        <f t="shared" ref="D724:J724" ca="1" si="308">$L$670*$D$685*D715-0.5*$D$686</f>
        <v>#DIV/0!</v>
      </c>
      <c r="E724" s="13" t="e">
        <f t="shared" ca="1" si="308"/>
        <v>#DIV/0!</v>
      </c>
      <c r="F724" s="13" t="e">
        <f t="shared" ca="1" si="308"/>
        <v>#DIV/0!</v>
      </c>
      <c r="G724" s="13" t="e">
        <f t="shared" ca="1" si="308"/>
        <v>#DIV/0!</v>
      </c>
      <c r="H724" s="13" t="e">
        <f t="shared" ca="1" si="308"/>
        <v>#DIV/0!</v>
      </c>
      <c r="I724" s="13" t="e">
        <f t="shared" ca="1" si="308"/>
        <v>#DIV/0!</v>
      </c>
      <c r="J724" s="13" t="e">
        <f t="shared" ca="1" si="308"/>
        <v>#DIV/0!</v>
      </c>
      <c r="N724" s="829"/>
      <c r="O724" s="830"/>
      <c r="P724" s="170" t="s">
        <v>526</v>
      </c>
      <c r="Q724" s="172" t="s">
        <v>948</v>
      </c>
      <c r="R724" s="173">
        <f t="shared" ref="R724:AO724" si="309">0.34*($K$186*(0.8*$F$25-$K$187))</f>
        <v>0</v>
      </c>
      <c r="S724" s="173">
        <f t="shared" si="309"/>
        <v>0</v>
      </c>
      <c r="T724" s="173">
        <f t="shared" si="309"/>
        <v>0</v>
      </c>
      <c r="U724" s="173">
        <f t="shared" si="309"/>
        <v>0</v>
      </c>
      <c r="V724" s="173">
        <f t="shared" si="309"/>
        <v>0</v>
      </c>
      <c r="W724" s="173">
        <f t="shared" si="309"/>
        <v>0</v>
      </c>
      <c r="X724" s="173">
        <f t="shared" si="309"/>
        <v>0</v>
      </c>
      <c r="Y724" s="173">
        <f t="shared" si="309"/>
        <v>0</v>
      </c>
      <c r="Z724" s="173">
        <f t="shared" si="309"/>
        <v>0</v>
      </c>
      <c r="AA724" s="173">
        <f t="shared" si="309"/>
        <v>0</v>
      </c>
      <c r="AB724" s="173">
        <f t="shared" si="309"/>
        <v>0</v>
      </c>
      <c r="AC724" s="173">
        <f t="shared" si="309"/>
        <v>0</v>
      </c>
      <c r="AD724" s="173">
        <f t="shared" si="309"/>
        <v>0</v>
      </c>
      <c r="AE724" s="173">
        <f t="shared" si="309"/>
        <v>0</v>
      </c>
      <c r="AF724" s="173">
        <f t="shared" si="309"/>
        <v>0</v>
      </c>
      <c r="AG724" s="173">
        <f t="shared" si="309"/>
        <v>0</v>
      </c>
      <c r="AH724" s="173">
        <f t="shared" si="309"/>
        <v>0</v>
      </c>
      <c r="AI724" s="173">
        <f t="shared" si="309"/>
        <v>0</v>
      </c>
      <c r="AJ724" s="173">
        <f t="shared" si="309"/>
        <v>0</v>
      </c>
      <c r="AK724" s="173">
        <f t="shared" si="309"/>
        <v>0</v>
      </c>
      <c r="AL724" s="173">
        <f t="shared" si="309"/>
        <v>0</v>
      </c>
      <c r="AM724" s="173">
        <f t="shared" si="309"/>
        <v>0</v>
      </c>
      <c r="AN724" s="173">
        <f t="shared" si="309"/>
        <v>0</v>
      </c>
      <c r="AO724" s="173">
        <f t="shared" si="309"/>
        <v>0</v>
      </c>
      <c r="AP724" s="189"/>
    </row>
    <row r="725" spans="1:69" ht="18.600000000000001" hidden="1" x14ac:dyDescent="0.4">
      <c r="A725" s="815"/>
      <c r="B725" s="8" t="s">
        <v>246</v>
      </c>
      <c r="C725" s="22" t="s">
        <v>949</v>
      </c>
      <c r="D725" s="13" t="e">
        <f t="shared" ref="D725:J725" ca="1" si="310">$L$670*$E$685*D716-0.5*$E$686</f>
        <v>#DIV/0!</v>
      </c>
      <c r="E725" s="13" t="e">
        <f t="shared" ca="1" si="310"/>
        <v>#DIV/0!</v>
      </c>
      <c r="F725" s="13" t="e">
        <f t="shared" ca="1" si="310"/>
        <v>#DIV/0!</v>
      </c>
      <c r="G725" s="13" t="e">
        <f t="shared" ca="1" si="310"/>
        <v>#DIV/0!</v>
      </c>
      <c r="H725" s="13" t="e">
        <f t="shared" ca="1" si="310"/>
        <v>#DIV/0!</v>
      </c>
      <c r="I725" s="13" t="e">
        <f t="shared" ca="1" si="310"/>
        <v>#DIV/0!</v>
      </c>
      <c r="J725" s="13" t="e">
        <f t="shared" ca="1" si="310"/>
        <v>#DIV/0!</v>
      </c>
      <c r="N725" s="829"/>
      <c r="O725" s="830"/>
      <c r="P725" s="174" t="s">
        <v>527</v>
      </c>
      <c r="Q725" s="175" t="s">
        <v>945</v>
      </c>
      <c r="R725" s="176">
        <f t="shared" ref="R725:AO725" ca="1" si="311">(1/1000)*(R724*($K$181-R720))*O$204</f>
        <v>0</v>
      </c>
      <c r="S725" s="176">
        <f t="shared" ca="1" si="311"/>
        <v>0</v>
      </c>
      <c r="T725" s="176">
        <f t="shared" ca="1" si="311"/>
        <v>0</v>
      </c>
      <c r="U725" s="176">
        <f t="shared" ca="1" si="311"/>
        <v>0</v>
      </c>
      <c r="V725" s="176">
        <f t="shared" ca="1" si="311"/>
        <v>0</v>
      </c>
      <c r="W725" s="176">
        <f t="shared" ca="1" si="311"/>
        <v>0</v>
      </c>
      <c r="X725" s="176">
        <f t="shared" ca="1" si="311"/>
        <v>0</v>
      </c>
      <c r="Y725" s="176">
        <f t="shared" ca="1" si="311"/>
        <v>0</v>
      </c>
      <c r="Z725" s="176">
        <f t="shared" ca="1" si="311"/>
        <v>0</v>
      </c>
      <c r="AA725" s="176">
        <f t="shared" ca="1" si="311"/>
        <v>0</v>
      </c>
      <c r="AB725" s="176">
        <f t="shared" ca="1" si="311"/>
        <v>0</v>
      </c>
      <c r="AC725" s="176">
        <f t="shared" ca="1" si="311"/>
        <v>0</v>
      </c>
      <c r="AD725" s="176">
        <f t="shared" ca="1" si="311"/>
        <v>0</v>
      </c>
      <c r="AE725" s="176">
        <f t="shared" ca="1" si="311"/>
        <v>0</v>
      </c>
      <c r="AF725" s="176">
        <f t="shared" ca="1" si="311"/>
        <v>0</v>
      </c>
      <c r="AG725" s="176">
        <f t="shared" ca="1" si="311"/>
        <v>0</v>
      </c>
      <c r="AH725" s="176">
        <f t="shared" ca="1" si="311"/>
        <v>0</v>
      </c>
      <c r="AI725" s="176">
        <f t="shared" ca="1" si="311"/>
        <v>0</v>
      </c>
      <c r="AJ725" s="176">
        <f t="shared" ca="1" si="311"/>
        <v>0</v>
      </c>
      <c r="AK725" s="176">
        <f t="shared" ca="1" si="311"/>
        <v>0</v>
      </c>
      <c r="AL725" s="176">
        <f t="shared" ca="1" si="311"/>
        <v>0</v>
      </c>
      <c r="AM725" s="260">
        <f t="shared" ca="1" si="311"/>
        <v>0</v>
      </c>
      <c r="AN725" s="208">
        <f t="shared" ca="1" si="311"/>
        <v>0</v>
      </c>
      <c r="AO725" s="273">
        <f t="shared" ca="1" si="311"/>
        <v>0</v>
      </c>
      <c r="AP725" s="188">
        <f ca="1">SUM(R725:AO725)</f>
        <v>0</v>
      </c>
    </row>
    <row r="726" spans="1:69" ht="18.600000000000001" hidden="1" x14ac:dyDescent="0.4">
      <c r="A726" s="815"/>
      <c r="B726" s="8" t="s">
        <v>934</v>
      </c>
      <c r="C726" s="22" t="s">
        <v>949</v>
      </c>
      <c r="D726" s="13" t="e">
        <f t="shared" ref="D726:J726" ca="1" si="312">$L$670*$F$685*D717-0.5*$F$686</f>
        <v>#DIV/0!</v>
      </c>
      <c r="E726" s="13" t="e">
        <f t="shared" ca="1" si="312"/>
        <v>#DIV/0!</v>
      </c>
      <c r="F726" s="13" t="e">
        <f t="shared" ca="1" si="312"/>
        <v>#DIV/0!</v>
      </c>
      <c r="G726" s="13" t="e">
        <f t="shared" ca="1" si="312"/>
        <v>#DIV/0!</v>
      </c>
      <c r="H726" s="13" t="e">
        <f t="shared" ca="1" si="312"/>
        <v>#DIV/0!</v>
      </c>
      <c r="I726" s="13" t="e">
        <f t="shared" ca="1" si="312"/>
        <v>#DIV/0!</v>
      </c>
      <c r="J726" s="13" t="e">
        <f t="shared" ca="1" si="312"/>
        <v>#DIV/0!</v>
      </c>
      <c r="N726" s="829"/>
      <c r="O726" s="830"/>
      <c r="P726" s="177" t="s">
        <v>528</v>
      </c>
      <c r="Q726" s="178" t="s">
        <v>945</v>
      </c>
      <c r="R726" s="179" t="e">
        <f t="shared" ref="R726:AO726" ca="1" si="313">R725+R722</f>
        <v>#DIV/0!</v>
      </c>
      <c r="S726" s="179" t="e">
        <f t="shared" ca="1" si="313"/>
        <v>#DIV/0!</v>
      </c>
      <c r="T726" s="179" t="e">
        <f t="shared" ca="1" si="313"/>
        <v>#DIV/0!</v>
      </c>
      <c r="U726" s="179" t="e">
        <f t="shared" ca="1" si="313"/>
        <v>#DIV/0!</v>
      </c>
      <c r="V726" s="179" t="e">
        <f t="shared" ca="1" si="313"/>
        <v>#DIV/0!</v>
      </c>
      <c r="W726" s="179" t="e">
        <f t="shared" ca="1" si="313"/>
        <v>#DIV/0!</v>
      </c>
      <c r="X726" s="179" t="e">
        <f t="shared" ca="1" si="313"/>
        <v>#DIV/0!</v>
      </c>
      <c r="Y726" s="179" t="e">
        <f t="shared" ca="1" si="313"/>
        <v>#DIV/0!</v>
      </c>
      <c r="Z726" s="179" t="e">
        <f t="shared" ca="1" si="313"/>
        <v>#DIV/0!</v>
      </c>
      <c r="AA726" s="179" t="e">
        <f t="shared" ca="1" si="313"/>
        <v>#DIV/0!</v>
      </c>
      <c r="AB726" s="179" t="e">
        <f t="shared" ca="1" si="313"/>
        <v>#DIV/0!</v>
      </c>
      <c r="AC726" s="179" t="e">
        <f t="shared" ca="1" si="313"/>
        <v>#DIV/0!</v>
      </c>
      <c r="AD726" s="179" t="e">
        <f t="shared" ca="1" si="313"/>
        <v>#DIV/0!</v>
      </c>
      <c r="AE726" s="179" t="e">
        <f t="shared" ca="1" si="313"/>
        <v>#DIV/0!</v>
      </c>
      <c r="AF726" s="179" t="e">
        <f t="shared" ca="1" si="313"/>
        <v>#DIV/0!</v>
      </c>
      <c r="AG726" s="179" t="e">
        <f t="shared" ca="1" si="313"/>
        <v>#DIV/0!</v>
      </c>
      <c r="AH726" s="179" t="e">
        <f t="shared" ca="1" si="313"/>
        <v>#DIV/0!</v>
      </c>
      <c r="AI726" s="179" t="e">
        <f t="shared" ca="1" si="313"/>
        <v>#DIV/0!</v>
      </c>
      <c r="AJ726" s="179" t="e">
        <f t="shared" ca="1" si="313"/>
        <v>#DIV/0!</v>
      </c>
      <c r="AK726" s="179" t="e">
        <f t="shared" ca="1" si="313"/>
        <v>#DIV/0!</v>
      </c>
      <c r="AL726" s="179" t="e">
        <f t="shared" ca="1" si="313"/>
        <v>#DIV/0!</v>
      </c>
      <c r="AM726" s="261" t="e">
        <f t="shared" ca="1" si="313"/>
        <v>#DIV/0!</v>
      </c>
      <c r="AN726" s="293" t="e">
        <f t="shared" ca="1" si="313"/>
        <v>#DIV/0!</v>
      </c>
      <c r="AO726" s="274" t="e">
        <f t="shared" ca="1" si="313"/>
        <v>#DIV/0!</v>
      </c>
      <c r="AP726" s="190" t="e">
        <f ca="1">SUM(R726:AO726)</f>
        <v>#DIV/0!</v>
      </c>
    </row>
    <row r="727" spans="1:69" ht="18.600000000000001" hidden="1" x14ac:dyDescent="0.4">
      <c r="A727" s="815"/>
      <c r="B727" s="8" t="s">
        <v>247</v>
      </c>
      <c r="C727" s="22" t="s">
        <v>949</v>
      </c>
      <c r="D727" s="13" t="e">
        <f t="shared" ref="D727:J727" ca="1" si="314">$L$670*$G$685*D718-0.5*$G$686</f>
        <v>#DIV/0!</v>
      </c>
      <c r="E727" s="13" t="e">
        <f t="shared" ca="1" si="314"/>
        <v>#DIV/0!</v>
      </c>
      <c r="F727" s="13" t="e">
        <f t="shared" ca="1" si="314"/>
        <v>#DIV/0!</v>
      </c>
      <c r="G727" s="13" t="e">
        <f t="shared" ca="1" si="314"/>
        <v>#DIV/0!</v>
      </c>
      <c r="H727" s="13" t="e">
        <f t="shared" ca="1" si="314"/>
        <v>#DIV/0!</v>
      </c>
      <c r="I727" s="13" t="e">
        <f t="shared" ca="1" si="314"/>
        <v>#DIV/0!</v>
      </c>
      <c r="J727" s="13" t="e">
        <f t="shared" ca="1" si="314"/>
        <v>#DIV/0!</v>
      </c>
      <c r="N727" s="829"/>
      <c r="O727" s="830"/>
      <c r="P727" s="177" t="s">
        <v>529</v>
      </c>
      <c r="Q727" s="178" t="s">
        <v>945</v>
      </c>
      <c r="R727" s="179">
        <f t="shared" ref="R727:AC727" si="315">IF($O$617=1,(1/1000)*(0.34*A$641)*($K$181-R720)*O$358*R723,0)</f>
        <v>0</v>
      </c>
      <c r="S727" s="179">
        <f t="shared" si="315"/>
        <v>0</v>
      </c>
      <c r="T727" s="179">
        <f t="shared" si="315"/>
        <v>0</v>
      </c>
      <c r="U727" s="179">
        <f t="shared" si="315"/>
        <v>0</v>
      </c>
      <c r="V727" s="179">
        <f t="shared" si="315"/>
        <v>0</v>
      </c>
      <c r="W727" s="179">
        <f t="shared" si="315"/>
        <v>0</v>
      </c>
      <c r="X727" s="179">
        <f t="shared" si="315"/>
        <v>0</v>
      </c>
      <c r="Y727" s="179">
        <f t="shared" si="315"/>
        <v>0</v>
      </c>
      <c r="Z727" s="179">
        <f t="shared" si="315"/>
        <v>0</v>
      </c>
      <c r="AA727" s="179">
        <f t="shared" si="315"/>
        <v>0</v>
      </c>
      <c r="AB727" s="179">
        <f t="shared" si="315"/>
        <v>0</v>
      </c>
      <c r="AC727" s="179">
        <f t="shared" si="315"/>
        <v>0</v>
      </c>
      <c r="AD727" s="179">
        <f t="shared" ref="AD727:AO727" si="316">IF($O$617=1,(1/1000)*(0.34*N$641)*($K$181-AD720)*AA$358*AD723,0)</f>
        <v>0</v>
      </c>
      <c r="AE727" s="179">
        <f t="shared" si="316"/>
        <v>0</v>
      </c>
      <c r="AF727" s="179">
        <f t="shared" si="316"/>
        <v>0</v>
      </c>
      <c r="AG727" s="179">
        <f t="shared" si="316"/>
        <v>0</v>
      </c>
      <c r="AH727" s="179">
        <f t="shared" si="316"/>
        <v>0</v>
      </c>
      <c r="AI727" s="179">
        <f t="shared" si="316"/>
        <v>0</v>
      </c>
      <c r="AJ727" s="179">
        <f t="shared" si="316"/>
        <v>0</v>
      </c>
      <c r="AK727" s="179">
        <f t="shared" si="316"/>
        <v>0</v>
      </c>
      <c r="AL727" s="179">
        <f t="shared" si="316"/>
        <v>0</v>
      </c>
      <c r="AM727" s="261">
        <f t="shared" si="316"/>
        <v>0</v>
      </c>
      <c r="AN727" s="293">
        <f t="shared" si="316"/>
        <v>0</v>
      </c>
      <c r="AO727" s="274">
        <f t="shared" si="316"/>
        <v>0</v>
      </c>
      <c r="AP727" s="190">
        <f>SUM(R727:AO727)</f>
        <v>0</v>
      </c>
    </row>
    <row r="728" spans="1:69" ht="18.600000000000001" hidden="1" x14ac:dyDescent="0.4">
      <c r="A728" s="815"/>
      <c r="B728" s="8" t="s">
        <v>937</v>
      </c>
      <c r="C728" s="22" t="s">
        <v>949</v>
      </c>
      <c r="D728" s="13" t="e">
        <f t="shared" ref="D728:J728" ca="1" si="317">$L$670*$H$685*D719-0.5*$H$686</f>
        <v>#DIV/0!</v>
      </c>
      <c r="E728" s="13" t="e">
        <f t="shared" ca="1" si="317"/>
        <v>#DIV/0!</v>
      </c>
      <c r="F728" s="13" t="e">
        <f t="shared" ca="1" si="317"/>
        <v>#DIV/0!</v>
      </c>
      <c r="G728" s="13" t="e">
        <f t="shared" ca="1" si="317"/>
        <v>#DIV/0!</v>
      </c>
      <c r="H728" s="13" t="e">
        <f t="shared" ca="1" si="317"/>
        <v>#DIV/0!</v>
      </c>
      <c r="I728" s="13" t="e">
        <f t="shared" ca="1" si="317"/>
        <v>#DIV/0!</v>
      </c>
      <c r="J728" s="13" t="e">
        <f t="shared" ca="1" si="317"/>
        <v>#DIV/0!</v>
      </c>
      <c r="N728" s="829"/>
      <c r="O728" s="830"/>
      <c r="P728" s="174" t="s">
        <v>530</v>
      </c>
      <c r="Q728" s="175" t="s">
        <v>945</v>
      </c>
      <c r="R728" s="176">
        <f t="shared" ref="R728:AO728" si="318">(1/1000)*($L$697+$L$698)*O$230</f>
        <v>28.768000000000001</v>
      </c>
      <c r="S728" s="176">
        <f t="shared" si="318"/>
        <v>28.768000000000001</v>
      </c>
      <c r="T728" s="176">
        <f t="shared" si="318"/>
        <v>28.768000000000001</v>
      </c>
      <c r="U728" s="176">
        <f t="shared" si="318"/>
        <v>28.768000000000001</v>
      </c>
      <c r="V728" s="176">
        <f t="shared" si="318"/>
        <v>28.768000000000001</v>
      </c>
      <c r="W728" s="176">
        <f t="shared" si="318"/>
        <v>28.768000000000001</v>
      </c>
      <c r="X728" s="176">
        <f t="shared" si="318"/>
        <v>28.768000000000001</v>
      </c>
      <c r="Y728" s="176">
        <f t="shared" si="318"/>
        <v>28.768000000000001</v>
      </c>
      <c r="Z728" s="176">
        <f t="shared" si="318"/>
        <v>28.768000000000001</v>
      </c>
      <c r="AA728" s="176">
        <f t="shared" si="318"/>
        <v>28.768000000000001</v>
      </c>
      <c r="AB728" s="176">
        <f t="shared" si="318"/>
        <v>28.768000000000001</v>
      </c>
      <c r="AC728" s="176">
        <f t="shared" si="318"/>
        <v>28.768000000000001</v>
      </c>
      <c r="AD728" s="176">
        <f t="shared" si="318"/>
        <v>28.768000000000001</v>
      </c>
      <c r="AE728" s="176">
        <f t="shared" si="318"/>
        <v>28.768000000000001</v>
      </c>
      <c r="AF728" s="176">
        <f t="shared" si="318"/>
        <v>28.768000000000001</v>
      </c>
      <c r="AG728" s="176">
        <f t="shared" si="318"/>
        <v>28.768000000000001</v>
      </c>
      <c r="AH728" s="176">
        <f t="shared" si="318"/>
        <v>28.768000000000001</v>
      </c>
      <c r="AI728" s="176">
        <f t="shared" si="318"/>
        <v>28.768000000000001</v>
      </c>
      <c r="AJ728" s="176">
        <f t="shared" si="318"/>
        <v>28.768000000000001</v>
      </c>
      <c r="AK728" s="176">
        <f t="shared" si="318"/>
        <v>28.768000000000001</v>
      </c>
      <c r="AL728" s="176">
        <f t="shared" si="318"/>
        <v>28.768000000000001</v>
      </c>
      <c r="AM728" s="260">
        <f t="shared" si="318"/>
        <v>28.768000000000001</v>
      </c>
      <c r="AN728" s="208">
        <f t="shared" si="318"/>
        <v>28.768000000000001</v>
      </c>
      <c r="AO728" s="273">
        <f t="shared" si="318"/>
        <v>28.768000000000001</v>
      </c>
      <c r="AP728" s="188">
        <f>SUM(R728:AO728)</f>
        <v>690.43200000000047</v>
      </c>
    </row>
    <row r="729" spans="1:69" ht="18.600000000000001" hidden="1" x14ac:dyDescent="0.4">
      <c r="A729" s="815"/>
      <c r="B729" s="8" t="s">
        <v>248</v>
      </c>
      <c r="C729" s="22" t="s">
        <v>949</v>
      </c>
      <c r="D729" s="13" t="e">
        <f t="shared" ref="D729:J729" ca="1" si="319">$L$670*$I$685*D720-0.5*$I$686</f>
        <v>#DIV/0!</v>
      </c>
      <c r="E729" s="13" t="e">
        <f t="shared" ca="1" si="319"/>
        <v>#DIV/0!</v>
      </c>
      <c r="F729" s="13" t="e">
        <f t="shared" ca="1" si="319"/>
        <v>#DIV/0!</v>
      </c>
      <c r="G729" s="13" t="e">
        <f t="shared" ca="1" si="319"/>
        <v>#DIV/0!</v>
      </c>
      <c r="H729" s="13" t="e">
        <f t="shared" ca="1" si="319"/>
        <v>#DIV/0!</v>
      </c>
      <c r="I729" s="13" t="e">
        <f t="shared" ca="1" si="319"/>
        <v>#DIV/0!</v>
      </c>
      <c r="J729" s="13" t="e">
        <f t="shared" ca="1" si="319"/>
        <v>#DIV/0!</v>
      </c>
      <c r="N729" s="829" t="s">
        <v>924</v>
      </c>
      <c r="O729" s="830">
        <v>4</v>
      </c>
      <c r="P729" s="170" t="s">
        <v>522</v>
      </c>
      <c r="Q729" s="172" t="s">
        <v>946</v>
      </c>
      <c r="R729" s="173">
        <f ca="1">'Климатични зони'!D7</f>
        <v>10.9</v>
      </c>
      <c r="S729" s="173">
        <f ca="1">'Климатични зони'!E7</f>
        <v>10.9</v>
      </c>
      <c r="T729" s="173">
        <f ca="1">'Климатични зони'!F7</f>
        <v>10.9</v>
      </c>
      <c r="U729" s="173">
        <f ca="1">'Климатични зони'!G7</f>
        <v>10.9</v>
      </c>
      <c r="V729" s="173">
        <f ca="1">'Климатични зони'!H7</f>
        <v>10.9</v>
      </c>
      <c r="W729" s="173">
        <f ca="1">'Климатични зони'!I7</f>
        <v>10.9</v>
      </c>
      <c r="X729" s="173">
        <f ca="1">'Климатични зони'!J7</f>
        <v>10.9</v>
      </c>
      <c r="Y729" s="173">
        <f ca="1">'Климатични зони'!K7</f>
        <v>10.9</v>
      </c>
      <c r="Z729" s="173">
        <f ca="1">'Климатични зони'!L7</f>
        <v>10.9</v>
      </c>
      <c r="AA729" s="173">
        <f ca="1">'Климатични зони'!M7</f>
        <v>10.9</v>
      </c>
      <c r="AB729" s="173">
        <f ca="1">'Климатични зони'!N7</f>
        <v>10.9</v>
      </c>
      <c r="AC729" s="173">
        <f ca="1">'Климатични зони'!O7</f>
        <v>10.9</v>
      </c>
      <c r="AD729" s="173">
        <f ca="1">'Климатични зони'!P7</f>
        <v>10.9</v>
      </c>
      <c r="AE729" s="173">
        <f ca="1">'Климатични зони'!Q7</f>
        <v>10.9</v>
      </c>
      <c r="AF729" s="173">
        <f ca="1">'Климатични зони'!R7</f>
        <v>10.9</v>
      </c>
      <c r="AG729" s="173">
        <f ca="1">'Климатични зони'!S7</f>
        <v>10.9</v>
      </c>
      <c r="AH729" s="173">
        <f ca="1">'Климатични зони'!T7</f>
        <v>10.9</v>
      </c>
      <c r="AI729" s="173">
        <f ca="1">'Климатични зони'!U7</f>
        <v>10.9</v>
      </c>
      <c r="AJ729" s="173">
        <f ca="1">'Климатични зони'!V7</f>
        <v>10.9</v>
      </c>
      <c r="AK729" s="173">
        <f ca="1">'Климатични зони'!W7</f>
        <v>10.9</v>
      </c>
      <c r="AL729" s="173">
        <f ca="1">'Климатични зони'!X7</f>
        <v>10.9</v>
      </c>
      <c r="AM729" s="259">
        <f ca="1">'Климатични зони'!Y7</f>
        <v>10.9</v>
      </c>
      <c r="AN729" s="207">
        <f ca="1">'Климатични зони'!Z7</f>
        <v>10.9</v>
      </c>
      <c r="AO729" s="254">
        <f ca="1">'Климатични зони'!AA7</f>
        <v>10.9</v>
      </c>
      <c r="AP729" s="189"/>
      <c r="AQ729" s="45" t="s">
        <v>406</v>
      </c>
      <c r="AR729" s="55">
        <f ca="1">'Климатични зони'!AG9</f>
        <v>10.9</v>
      </c>
      <c r="AS729" s="206" t="s">
        <v>594</v>
      </c>
      <c r="AT729" s="43">
        <f ca="1">1.006*($AR729)+$AR732*(1.805*($AR729)+2501)</f>
        <v>30.311007577171452</v>
      </c>
      <c r="AU729" s="43">
        <f t="shared" ref="AU729:BQ729" ca="1" si="320">1.006*($AR729)+$AR732*(1.805*($AR729)+2501)</f>
        <v>30.311007577171452</v>
      </c>
      <c r="AV729" s="43">
        <f t="shared" ca="1" si="320"/>
        <v>30.311007577171452</v>
      </c>
      <c r="AW729" s="43">
        <f t="shared" ca="1" si="320"/>
        <v>30.311007577171452</v>
      </c>
      <c r="AX729" s="43">
        <f t="shared" ca="1" si="320"/>
        <v>30.311007577171452</v>
      </c>
      <c r="AY729" s="43">
        <f t="shared" ca="1" si="320"/>
        <v>30.311007577171452</v>
      </c>
      <c r="AZ729" s="43">
        <f t="shared" ca="1" si="320"/>
        <v>30.311007577171452</v>
      </c>
      <c r="BA729" s="43">
        <f t="shared" ca="1" si="320"/>
        <v>30.311007577171452</v>
      </c>
      <c r="BB729" s="43">
        <f t="shared" ca="1" si="320"/>
        <v>30.311007577171452</v>
      </c>
      <c r="BC729" s="43">
        <f t="shared" ca="1" si="320"/>
        <v>30.311007577171452</v>
      </c>
      <c r="BD729" s="43">
        <f t="shared" ca="1" si="320"/>
        <v>30.311007577171452</v>
      </c>
      <c r="BE729" s="43">
        <f t="shared" ca="1" si="320"/>
        <v>30.311007577171452</v>
      </c>
      <c r="BF729" s="43">
        <f t="shared" ca="1" si="320"/>
        <v>30.311007577171452</v>
      </c>
      <c r="BG729" s="43">
        <f t="shared" ca="1" si="320"/>
        <v>30.311007577171452</v>
      </c>
      <c r="BH729" s="43">
        <f t="shared" ca="1" si="320"/>
        <v>30.311007577171452</v>
      </c>
      <c r="BI729" s="43">
        <f t="shared" ca="1" si="320"/>
        <v>30.311007577171452</v>
      </c>
      <c r="BJ729" s="43">
        <f t="shared" ca="1" si="320"/>
        <v>30.311007577171452</v>
      </c>
      <c r="BK729" s="43">
        <f t="shared" ca="1" si="320"/>
        <v>30.311007577171452</v>
      </c>
      <c r="BL729" s="43">
        <f t="shared" ca="1" si="320"/>
        <v>30.311007577171452</v>
      </c>
      <c r="BM729" s="43">
        <f t="shared" ca="1" si="320"/>
        <v>30.311007577171452</v>
      </c>
      <c r="BN729" s="43">
        <f t="shared" ca="1" si="320"/>
        <v>30.311007577171452</v>
      </c>
      <c r="BO729" s="43">
        <f t="shared" ca="1" si="320"/>
        <v>30.311007577171452</v>
      </c>
      <c r="BP729" s="43">
        <f t="shared" ca="1" si="320"/>
        <v>30.311007577171452</v>
      </c>
      <c r="BQ729" s="43">
        <f t="shared" ca="1" si="320"/>
        <v>30.311007577171452</v>
      </c>
    </row>
    <row r="730" spans="1:69" ht="18.600000000000001" hidden="1" x14ac:dyDescent="0.4">
      <c r="A730" s="815"/>
      <c r="B730" s="8" t="s">
        <v>935</v>
      </c>
      <c r="C730" s="22" t="s">
        <v>949</v>
      </c>
      <c r="D730" s="13" t="e">
        <f t="shared" ref="D730:J730" ca="1" si="321">$L$670*$J$685*D721-0.5*$J$686</f>
        <v>#DIV/0!</v>
      </c>
      <c r="E730" s="13" t="e">
        <f t="shared" ca="1" si="321"/>
        <v>#DIV/0!</v>
      </c>
      <c r="F730" s="13" t="e">
        <f t="shared" ca="1" si="321"/>
        <v>#DIV/0!</v>
      </c>
      <c r="G730" s="13" t="e">
        <f t="shared" ca="1" si="321"/>
        <v>#DIV/0!</v>
      </c>
      <c r="H730" s="13" t="e">
        <f t="shared" ca="1" si="321"/>
        <v>#DIV/0!</v>
      </c>
      <c r="I730" s="13" t="e">
        <f t="shared" ca="1" si="321"/>
        <v>#DIV/0!</v>
      </c>
      <c r="J730" s="13" t="e">
        <f t="shared" ca="1" si="321"/>
        <v>#DIV/0!</v>
      </c>
      <c r="N730" s="829"/>
      <c r="O730" s="830"/>
      <c r="P730" s="170" t="s">
        <v>523</v>
      </c>
      <c r="Q730" s="172" t="s">
        <v>948</v>
      </c>
      <c r="R730" s="173">
        <f t="shared" ref="R730:AO730" ca="1" si="322">((1/($K$181-R729))*(((-$E$614)*5*COS(2*3.14*(($O729-1)/12))+($F$614*7.5*COS(2*3.14*(($O729-1-1)/12))))))</f>
        <v>1.9070660008734388E-42</v>
      </c>
      <c r="S730" s="173">
        <f t="shared" ca="1" si="322"/>
        <v>1.9070660008734388E-42</v>
      </c>
      <c r="T730" s="173">
        <f t="shared" ca="1" si="322"/>
        <v>1.9070660008734388E-42</v>
      </c>
      <c r="U730" s="173">
        <f t="shared" ca="1" si="322"/>
        <v>1.9070660008734388E-42</v>
      </c>
      <c r="V730" s="173">
        <f t="shared" ca="1" si="322"/>
        <v>1.9070660008734388E-42</v>
      </c>
      <c r="W730" s="173">
        <f t="shared" ca="1" si="322"/>
        <v>1.9070660008734388E-42</v>
      </c>
      <c r="X730" s="173">
        <f t="shared" ca="1" si="322"/>
        <v>1.9070660008734388E-42</v>
      </c>
      <c r="Y730" s="173">
        <f t="shared" ca="1" si="322"/>
        <v>1.9070660008734388E-42</v>
      </c>
      <c r="Z730" s="173">
        <f t="shared" ca="1" si="322"/>
        <v>1.9070660008734388E-42</v>
      </c>
      <c r="AA730" s="173">
        <f t="shared" ca="1" si="322"/>
        <v>1.9070660008734388E-42</v>
      </c>
      <c r="AB730" s="173">
        <f t="shared" ca="1" si="322"/>
        <v>1.9070660008734388E-42</v>
      </c>
      <c r="AC730" s="173">
        <f t="shared" ca="1" si="322"/>
        <v>1.9070660008734388E-42</v>
      </c>
      <c r="AD730" s="173">
        <f t="shared" ca="1" si="322"/>
        <v>1.9070660008734388E-42</v>
      </c>
      <c r="AE730" s="173">
        <f t="shared" ca="1" si="322"/>
        <v>1.9070660008734388E-42</v>
      </c>
      <c r="AF730" s="173">
        <f t="shared" ca="1" si="322"/>
        <v>1.9070660008734388E-42</v>
      </c>
      <c r="AG730" s="173">
        <f t="shared" ca="1" si="322"/>
        <v>1.9070660008734388E-42</v>
      </c>
      <c r="AH730" s="173">
        <f t="shared" ca="1" si="322"/>
        <v>1.9070660008734388E-42</v>
      </c>
      <c r="AI730" s="173">
        <f t="shared" ca="1" si="322"/>
        <v>1.9070660008734388E-42</v>
      </c>
      <c r="AJ730" s="173">
        <f t="shared" ca="1" si="322"/>
        <v>1.9070660008734388E-42</v>
      </c>
      <c r="AK730" s="173">
        <f t="shared" ca="1" si="322"/>
        <v>1.9070660008734388E-42</v>
      </c>
      <c r="AL730" s="173">
        <f t="shared" ca="1" si="322"/>
        <v>1.9070660008734388E-42</v>
      </c>
      <c r="AM730" s="259">
        <f t="shared" ca="1" si="322"/>
        <v>1.9070660008734388E-42</v>
      </c>
      <c r="AN730" s="207">
        <f t="shared" ca="1" si="322"/>
        <v>1.9070660008734388E-42</v>
      </c>
      <c r="AO730" s="254">
        <f t="shared" ca="1" si="322"/>
        <v>1.9070660008734388E-42</v>
      </c>
      <c r="AP730" s="189"/>
      <c r="AQ730" s="183" t="s">
        <v>531</v>
      </c>
      <c r="AR730" s="43">
        <v>95</v>
      </c>
      <c r="AT730" s="43">
        <f t="shared" ref="AT730:BQ730" ca="1" si="323">(-$K$851*AT729+$K$852*$K$849)</f>
        <v>7.7960326364662222</v>
      </c>
      <c r="AU730" s="43">
        <f t="shared" ca="1" si="323"/>
        <v>7.7960326364662222</v>
      </c>
      <c r="AV730" s="43">
        <f t="shared" ca="1" si="323"/>
        <v>7.7960326364662222</v>
      </c>
      <c r="AW730" s="43">
        <f t="shared" ca="1" si="323"/>
        <v>7.7960326364662222</v>
      </c>
      <c r="AX730" s="43">
        <f t="shared" ca="1" si="323"/>
        <v>7.7960326364662222</v>
      </c>
      <c r="AY730" s="43">
        <f t="shared" ca="1" si="323"/>
        <v>7.7960326364662222</v>
      </c>
      <c r="AZ730" s="43">
        <f t="shared" ca="1" si="323"/>
        <v>7.7960326364662222</v>
      </c>
      <c r="BA730" s="43">
        <f t="shared" ca="1" si="323"/>
        <v>7.7960326364662222</v>
      </c>
      <c r="BB730" s="43">
        <f t="shared" ca="1" si="323"/>
        <v>7.7960326364662222</v>
      </c>
      <c r="BC730" s="43">
        <f t="shared" ca="1" si="323"/>
        <v>7.7960326364662222</v>
      </c>
      <c r="BD730" s="43">
        <f t="shared" ca="1" si="323"/>
        <v>7.7960326364662222</v>
      </c>
      <c r="BE730" s="43">
        <f t="shared" ca="1" si="323"/>
        <v>7.7960326364662222</v>
      </c>
      <c r="BF730" s="43">
        <f t="shared" ca="1" si="323"/>
        <v>7.7960326364662222</v>
      </c>
      <c r="BG730" s="43">
        <f t="shared" ca="1" si="323"/>
        <v>7.7960326364662222</v>
      </c>
      <c r="BH730" s="43">
        <f t="shared" ca="1" si="323"/>
        <v>7.7960326364662222</v>
      </c>
      <c r="BI730" s="43">
        <f t="shared" ca="1" si="323"/>
        <v>7.7960326364662222</v>
      </c>
      <c r="BJ730" s="43">
        <f t="shared" ca="1" si="323"/>
        <v>7.7960326364662222</v>
      </c>
      <c r="BK730" s="43">
        <f t="shared" ca="1" si="323"/>
        <v>7.7960326364662222</v>
      </c>
      <c r="BL730" s="43">
        <f t="shared" ca="1" si="323"/>
        <v>7.7960326364662222</v>
      </c>
      <c r="BM730" s="43">
        <f t="shared" ca="1" si="323"/>
        <v>7.7960326364662222</v>
      </c>
      <c r="BN730" s="43">
        <f t="shared" ca="1" si="323"/>
        <v>7.7960326364662222</v>
      </c>
      <c r="BO730" s="43">
        <f t="shared" ca="1" si="323"/>
        <v>7.7960326364662222</v>
      </c>
      <c r="BP730" s="43">
        <f t="shared" ca="1" si="323"/>
        <v>7.7960326364662222</v>
      </c>
      <c r="BQ730" s="43">
        <f t="shared" ca="1" si="323"/>
        <v>7.7960326364662222</v>
      </c>
    </row>
    <row r="731" spans="1:69" ht="18.600000000000001" hidden="1" x14ac:dyDescent="0.4">
      <c r="A731" s="815"/>
      <c r="B731" s="8" t="s">
        <v>249</v>
      </c>
      <c r="C731" s="22" t="s">
        <v>949</v>
      </c>
      <c r="D731" s="13" t="e">
        <f t="shared" ref="D731:J731" ca="1" si="324">$L$670*$K$685*D722-0.5*$K$686</f>
        <v>#DIV/0!</v>
      </c>
      <c r="E731" s="13" t="e">
        <f t="shared" ca="1" si="324"/>
        <v>#DIV/0!</v>
      </c>
      <c r="F731" s="13" t="e">
        <f t="shared" ca="1" si="324"/>
        <v>#DIV/0!</v>
      </c>
      <c r="G731" s="13" t="e">
        <f t="shared" ca="1" si="324"/>
        <v>#DIV/0!</v>
      </c>
      <c r="H731" s="13" t="e">
        <f t="shared" ca="1" si="324"/>
        <v>#DIV/0!</v>
      </c>
      <c r="I731" s="13" t="e">
        <f t="shared" ca="1" si="324"/>
        <v>#DIV/0!</v>
      </c>
      <c r="J731" s="13" t="e">
        <f t="shared" ca="1" si="324"/>
        <v>#DIV/0!</v>
      </c>
      <c r="N731" s="829"/>
      <c r="O731" s="830"/>
      <c r="P731" s="174" t="s">
        <v>524</v>
      </c>
      <c r="Q731" s="175" t="s">
        <v>945</v>
      </c>
      <c r="R731" s="176" t="e">
        <f t="shared" ref="R731:AO731" ca="1" si="325">(1/1000)*(($K$455+R730)*($K$181-R729))*O$205</f>
        <v>#DIV/0!</v>
      </c>
      <c r="S731" s="176" t="e">
        <f t="shared" ca="1" si="325"/>
        <v>#DIV/0!</v>
      </c>
      <c r="T731" s="176" t="e">
        <f t="shared" ca="1" si="325"/>
        <v>#DIV/0!</v>
      </c>
      <c r="U731" s="176" t="e">
        <f t="shared" ca="1" si="325"/>
        <v>#DIV/0!</v>
      </c>
      <c r="V731" s="176" t="e">
        <f t="shared" ca="1" si="325"/>
        <v>#DIV/0!</v>
      </c>
      <c r="W731" s="176" t="e">
        <f t="shared" ca="1" si="325"/>
        <v>#DIV/0!</v>
      </c>
      <c r="X731" s="176" t="e">
        <f t="shared" ca="1" si="325"/>
        <v>#DIV/0!</v>
      </c>
      <c r="Y731" s="176" t="e">
        <f t="shared" ca="1" si="325"/>
        <v>#DIV/0!</v>
      </c>
      <c r="Z731" s="176" t="e">
        <f t="shared" ca="1" si="325"/>
        <v>#DIV/0!</v>
      </c>
      <c r="AA731" s="176" t="e">
        <f t="shared" ca="1" si="325"/>
        <v>#DIV/0!</v>
      </c>
      <c r="AB731" s="176" t="e">
        <f t="shared" ca="1" si="325"/>
        <v>#DIV/0!</v>
      </c>
      <c r="AC731" s="176" t="e">
        <f t="shared" ca="1" si="325"/>
        <v>#DIV/0!</v>
      </c>
      <c r="AD731" s="176" t="e">
        <f t="shared" ca="1" si="325"/>
        <v>#DIV/0!</v>
      </c>
      <c r="AE731" s="176" t="e">
        <f t="shared" ca="1" si="325"/>
        <v>#DIV/0!</v>
      </c>
      <c r="AF731" s="176" t="e">
        <f t="shared" ca="1" si="325"/>
        <v>#DIV/0!</v>
      </c>
      <c r="AG731" s="176" t="e">
        <f t="shared" ca="1" si="325"/>
        <v>#DIV/0!</v>
      </c>
      <c r="AH731" s="176" t="e">
        <f t="shared" ca="1" si="325"/>
        <v>#DIV/0!</v>
      </c>
      <c r="AI731" s="176" t="e">
        <f t="shared" ca="1" si="325"/>
        <v>#DIV/0!</v>
      </c>
      <c r="AJ731" s="176" t="e">
        <f t="shared" ca="1" si="325"/>
        <v>#DIV/0!</v>
      </c>
      <c r="AK731" s="176" t="e">
        <f t="shared" ca="1" si="325"/>
        <v>#DIV/0!</v>
      </c>
      <c r="AL731" s="176" t="e">
        <f t="shared" ca="1" si="325"/>
        <v>#DIV/0!</v>
      </c>
      <c r="AM731" s="260" t="e">
        <f t="shared" ca="1" si="325"/>
        <v>#DIV/0!</v>
      </c>
      <c r="AN731" s="208" t="e">
        <f t="shared" ca="1" si="325"/>
        <v>#DIV/0!</v>
      </c>
      <c r="AO731" s="273" t="e">
        <f t="shared" ca="1" si="325"/>
        <v>#DIV/0!</v>
      </c>
      <c r="AP731" s="188" t="e">
        <f ca="1">SUM(R731:AO731)</f>
        <v>#DIV/0!</v>
      </c>
      <c r="AQ731" s="173" t="s">
        <v>532</v>
      </c>
      <c r="AR731" s="196">
        <f ca="1">(2.71828^(77.345+0.0057*(273.15+AR729)-7235/(273.15+AR729)))/((273.15+AR729)^8.2)</f>
        <v>1300.0381963847765</v>
      </c>
      <c r="AT731" s="43">
        <f t="shared" ref="AT731:BQ731" ca="1" si="326">IF(AT730*O359&lt;0,0,AT730*O359)</f>
        <v>0</v>
      </c>
      <c r="AU731" s="43">
        <f t="shared" ca="1" si="326"/>
        <v>0</v>
      </c>
      <c r="AV731" s="43">
        <f t="shared" ca="1" si="326"/>
        <v>0</v>
      </c>
      <c r="AW731" s="43">
        <f t="shared" ca="1" si="326"/>
        <v>0</v>
      </c>
      <c r="AX731" s="43">
        <f t="shared" ca="1" si="326"/>
        <v>0</v>
      </c>
      <c r="AY731" s="43">
        <f t="shared" ca="1" si="326"/>
        <v>0</v>
      </c>
      <c r="AZ731" s="43">
        <f t="shared" ca="1" si="326"/>
        <v>0</v>
      </c>
      <c r="BA731" s="43">
        <f t="shared" ca="1" si="326"/>
        <v>0</v>
      </c>
      <c r="BB731" s="43">
        <f t="shared" ca="1" si="326"/>
        <v>0</v>
      </c>
      <c r="BC731" s="43">
        <f t="shared" ca="1" si="326"/>
        <v>0</v>
      </c>
      <c r="BD731" s="43">
        <f t="shared" ca="1" si="326"/>
        <v>0</v>
      </c>
      <c r="BE731" s="43">
        <f t="shared" ca="1" si="326"/>
        <v>0</v>
      </c>
      <c r="BF731" s="43">
        <f t="shared" ca="1" si="326"/>
        <v>0</v>
      </c>
      <c r="BG731" s="43">
        <f t="shared" ca="1" si="326"/>
        <v>0</v>
      </c>
      <c r="BH731" s="43">
        <f t="shared" ca="1" si="326"/>
        <v>0</v>
      </c>
      <c r="BI731" s="43">
        <f t="shared" ca="1" si="326"/>
        <v>0</v>
      </c>
      <c r="BJ731" s="43">
        <f t="shared" ca="1" si="326"/>
        <v>0</v>
      </c>
      <c r="BK731" s="43">
        <f t="shared" ca="1" si="326"/>
        <v>0</v>
      </c>
      <c r="BL731" s="43">
        <f t="shared" ca="1" si="326"/>
        <v>0</v>
      </c>
      <c r="BM731" s="43">
        <f t="shared" ca="1" si="326"/>
        <v>0</v>
      </c>
      <c r="BN731" s="43">
        <f t="shared" ca="1" si="326"/>
        <v>0</v>
      </c>
      <c r="BO731" s="43">
        <f t="shared" ca="1" si="326"/>
        <v>0</v>
      </c>
      <c r="BP731" s="43">
        <f t="shared" ca="1" si="326"/>
        <v>0</v>
      </c>
      <c r="BQ731" s="43">
        <f t="shared" ca="1" si="326"/>
        <v>0</v>
      </c>
    </row>
    <row r="732" spans="1:69" ht="18.600000000000001" hidden="1" x14ac:dyDescent="0.4">
      <c r="A732" s="815"/>
      <c r="B732" s="8" t="s">
        <v>253</v>
      </c>
      <c r="C732" s="22" t="s">
        <v>949</v>
      </c>
      <c r="D732" s="13" t="e">
        <f t="shared" ref="D732:J732" ca="1" si="327">$L$670*$L$685*D723-0.5*$L$686</f>
        <v>#DIV/0!</v>
      </c>
      <c r="E732" s="13" t="e">
        <f t="shared" ca="1" si="327"/>
        <v>#DIV/0!</v>
      </c>
      <c r="F732" s="13" t="e">
        <f t="shared" ca="1" si="327"/>
        <v>#DIV/0!</v>
      </c>
      <c r="G732" s="13" t="e">
        <f t="shared" ca="1" si="327"/>
        <v>#DIV/0!</v>
      </c>
      <c r="H732" s="13" t="e">
        <f t="shared" ca="1" si="327"/>
        <v>#DIV/0!</v>
      </c>
      <c r="I732" s="13" t="e">
        <f t="shared" ca="1" si="327"/>
        <v>#DIV/0!</v>
      </c>
      <c r="J732" s="13" t="e">
        <f t="shared" ca="1" si="327"/>
        <v>#DIV/0!</v>
      </c>
      <c r="N732" s="829"/>
      <c r="O732" s="830"/>
      <c r="P732" s="170" t="s">
        <v>525</v>
      </c>
      <c r="Q732" s="172" t="s">
        <v>950</v>
      </c>
      <c r="R732" s="173">
        <f t="shared" ref="R732:AO732" ca="1" si="328">IF(($K$181-$L$647)/($K$181-R729)=0,1,($K$181-$L$647)/($K$181-R729))</f>
        <v>1</v>
      </c>
      <c r="S732" s="173">
        <f t="shared" ca="1" si="328"/>
        <v>1</v>
      </c>
      <c r="T732" s="173">
        <f t="shared" ca="1" si="328"/>
        <v>1</v>
      </c>
      <c r="U732" s="173">
        <f t="shared" ca="1" si="328"/>
        <v>1</v>
      </c>
      <c r="V732" s="173">
        <f t="shared" ca="1" si="328"/>
        <v>1</v>
      </c>
      <c r="W732" s="173">
        <f t="shared" ca="1" si="328"/>
        <v>1</v>
      </c>
      <c r="X732" s="173">
        <f t="shared" ca="1" si="328"/>
        <v>1</v>
      </c>
      <c r="Y732" s="173">
        <f t="shared" ca="1" si="328"/>
        <v>1</v>
      </c>
      <c r="Z732" s="173">
        <f t="shared" ca="1" si="328"/>
        <v>1</v>
      </c>
      <c r="AA732" s="173">
        <f t="shared" ca="1" si="328"/>
        <v>1</v>
      </c>
      <c r="AB732" s="173">
        <f t="shared" ca="1" si="328"/>
        <v>1</v>
      </c>
      <c r="AC732" s="173">
        <f t="shared" ca="1" si="328"/>
        <v>1</v>
      </c>
      <c r="AD732" s="173">
        <f t="shared" ca="1" si="328"/>
        <v>1</v>
      </c>
      <c r="AE732" s="173">
        <f t="shared" ca="1" si="328"/>
        <v>1</v>
      </c>
      <c r="AF732" s="173">
        <f t="shared" ca="1" si="328"/>
        <v>1</v>
      </c>
      <c r="AG732" s="173">
        <f t="shared" ca="1" si="328"/>
        <v>1</v>
      </c>
      <c r="AH732" s="173">
        <f t="shared" ca="1" si="328"/>
        <v>1</v>
      </c>
      <c r="AI732" s="173">
        <f t="shared" ca="1" si="328"/>
        <v>1</v>
      </c>
      <c r="AJ732" s="173">
        <f t="shared" ca="1" si="328"/>
        <v>1</v>
      </c>
      <c r="AK732" s="173">
        <f t="shared" ca="1" si="328"/>
        <v>1</v>
      </c>
      <c r="AL732" s="173">
        <f t="shared" ca="1" si="328"/>
        <v>1</v>
      </c>
      <c r="AM732" s="259">
        <f t="shared" ca="1" si="328"/>
        <v>1</v>
      </c>
      <c r="AN732" s="207">
        <f t="shared" ca="1" si="328"/>
        <v>1</v>
      </c>
      <c r="AO732" s="254">
        <f t="shared" ca="1" si="328"/>
        <v>1</v>
      </c>
      <c r="AP732" s="189"/>
      <c r="AQ732" s="45" t="s">
        <v>407</v>
      </c>
      <c r="AR732" s="196">
        <f ca="1">0.62198*(AR730*AR731/100)/(101325-(AR730*AR731/100))</f>
        <v>7.6747741833272992E-3</v>
      </c>
      <c r="AT732" s="43">
        <f ca="1">SUM(AT731:BQ731)</f>
        <v>0</v>
      </c>
    </row>
    <row r="733" spans="1:69" ht="18.600000000000001" x14ac:dyDescent="0.4">
      <c r="A733" s="815"/>
      <c r="B733" s="121" t="s">
        <v>938</v>
      </c>
      <c r="C733" s="122" t="s">
        <v>945</v>
      </c>
      <c r="D733" s="529" t="e">
        <f ca="1">(1/1000)*SUM(D724:D732)*AN202</f>
        <v>#DIV/0!</v>
      </c>
      <c r="E733" s="529" t="e">
        <f ca="1">(1/1000)*SUM(E724:E732)*AN203</f>
        <v>#DIV/0!</v>
      </c>
      <c r="F733" s="529" t="e">
        <f ca="1">(1/1000)*SUM(F724:F732)*AN204</f>
        <v>#DIV/0!</v>
      </c>
      <c r="G733" s="529" t="e">
        <f ca="1">(1/1000)*SUM(G724:G732)*AN205</f>
        <v>#DIV/0!</v>
      </c>
      <c r="H733" s="529" t="e">
        <f ca="1">(1/1000)*SUM(H724:H732)*AN211</f>
        <v>#DIV/0!</v>
      </c>
      <c r="I733" s="529" t="e">
        <f ca="1">(1/1000)*SUM(I724:I732)*AN212</f>
        <v>#DIV/0!</v>
      </c>
      <c r="J733" s="529" t="e">
        <f ca="1">(1/1000)*SUM(J724:J732)*AN213</f>
        <v>#DIV/0!</v>
      </c>
      <c r="N733" s="829"/>
      <c r="O733" s="830"/>
      <c r="P733" s="170" t="s">
        <v>526</v>
      </c>
      <c r="Q733" s="172" t="s">
        <v>948</v>
      </c>
      <c r="R733" s="173">
        <f t="shared" ref="R733:AO733" si="329">0.34*($K$186*(0.8*$F$25-$K$187))</f>
        <v>0</v>
      </c>
      <c r="S733" s="173">
        <f t="shared" si="329"/>
        <v>0</v>
      </c>
      <c r="T733" s="173">
        <f t="shared" si="329"/>
        <v>0</v>
      </c>
      <c r="U733" s="173">
        <f t="shared" si="329"/>
        <v>0</v>
      </c>
      <c r="V733" s="173">
        <f t="shared" si="329"/>
        <v>0</v>
      </c>
      <c r="W733" s="173">
        <f t="shared" si="329"/>
        <v>0</v>
      </c>
      <c r="X733" s="173">
        <f t="shared" si="329"/>
        <v>0</v>
      </c>
      <c r="Y733" s="173">
        <f t="shared" si="329"/>
        <v>0</v>
      </c>
      <c r="Z733" s="173">
        <f t="shared" si="329"/>
        <v>0</v>
      </c>
      <c r="AA733" s="173">
        <f t="shared" si="329"/>
        <v>0</v>
      </c>
      <c r="AB733" s="173">
        <f t="shared" si="329"/>
        <v>0</v>
      </c>
      <c r="AC733" s="173">
        <f t="shared" si="329"/>
        <v>0</v>
      </c>
      <c r="AD733" s="173">
        <f t="shared" si="329"/>
        <v>0</v>
      </c>
      <c r="AE733" s="173">
        <f t="shared" si="329"/>
        <v>0</v>
      </c>
      <c r="AF733" s="173">
        <f t="shared" si="329"/>
        <v>0</v>
      </c>
      <c r="AG733" s="173">
        <f t="shared" si="329"/>
        <v>0</v>
      </c>
      <c r="AH733" s="173">
        <f t="shared" si="329"/>
        <v>0</v>
      </c>
      <c r="AI733" s="173">
        <f t="shared" si="329"/>
        <v>0</v>
      </c>
      <c r="AJ733" s="173">
        <f t="shared" si="329"/>
        <v>0</v>
      </c>
      <c r="AK733" s="173">
        <f t="shared" si="329"/>
        <v>0</v>
      </c>
      <c r="AL733" s="173">
        <f t="shared" si="329"/>
        <v>0</v>
      </c>
      <c r="AM733" s="173">
        <f t="shared" si="329"/>
        <v>0</v>
      </c>
      <c r="AN733" s="173">
        <f t="shared" si="329"/>
        <v>0</v>
      </c>
      <c r="AO733" s="173">
        <f t="shared" si="329"/>
        <v>0</v>
      </c>
      <c r="AP733" s="189"/>
    </row>
    <row r="734" spans="1:69" ht="18.600000000000001" hidden="1" x14ac:dyDescent="0.4">
      <c r="A734" s="815"/>
      <c r="B734" s="8" t="s">
        <v>85</v>
      </c>
      <c r="C734" s="22" t="s">
        <v>948</v>
      </c>
      <c r="D734" s="530">
        <f>$R$688</f>
        <v>0</v>
      </c>
      <c r="E734" s="530">
        <f t="shared" ref="E734:J734" si="330">$R$688</f>
        <v>0</v>
      </c>
      <c r="F734" s="530">
        <f t="shared" si="330"/>
        <v>0</v>
      </c>
      <c r="G734" s="530">
        <f t="shared" si="330"/>
        <v>0</v>
      </c>
      <c r="H734" s="530">
        <f t="shared" si="330"/>
        <v>0</v>
      </c>
      <c r="I734" s="530">
        <f t="shared" si="330"/>
        <v>0</v>
      </c>
      <c r="J734" s="530">
        <f t="shared" si="330"/>
        <v>0</v>
      </c>
      <c r="N734" s="829"/>
      <c r="O734" s="830"/>
      <c r="P734" s="174" t="s">
        <v>527</v>
      </c>
      <c r="Q734" s="175" t="s">
        <v>945</v>
      </c>
      <c r="R734" s="176">
        <f t="shared" ref="R734:AO734" ca="1" si="331">(1/1000)*(R733*($K$181-R729))*O$205</f>
        <v>0</v>
      </c>
      <c r="S734" s="176">
        <f t="shared" ca="1" si="331"/>
        <v>0</v>
      </c>
      <c r="T734" s="176">
        <f t="shared" ca="1" si="331"/>
        <v>0</v>
      </c>
      <c r="U734" s="176">
        <f t="shared" ca="1" si="331"/>
        <v>0</v>
      </c>
      <c r="V734" s="176">
        <f t="shared" ca="1" si="331"/>
        <v>0</v>
      </c>
      <c r="W734" s="176">
        <f t="shared" ca="1" si="331"/>
        <v>0</v>
      </c>
      <c r="X734" s="176">
        <f t="shared" ca="1" si="331"/>
        <v>0</v>
      </c>
      <c r="Y734" s="176">
        <f t="shared" ca="1" si="331"/>
        <v>0</v>
      </c>
      <c r="Z734" s="176">
        <f t="shared" ca="1" si="331"/>
        <v>0</v>
      </c>
      <c r="AA734" s="176">
        <f t="shared" ca="1" si="331"/>
        <v>0</v>
      </c>
      <c r="AB734" s="176">
        <f t="shared" ca="1" si="331"/>
        <v>0</v>
      </c>
      <c r="AC734" s="176">
        <f t="shared" ca="1" si="331"/>
        <v>0</v>
      </c>
      <c r="AD734" s="176">
        <f t="shared" ca="1" si="331"/>
        <v>0</v>
      </c>
      <c r="AE734" s="176">
        <f t="shared" ca="1" si="331"/>
        <v>0</v>
      </c>
      <c r="AF734" s="176">
        <f t="shared" ca="1" si="331"/>
        <v>0</v>
      </c>
      <c r="AG734" s="176">
        <f t="shared" ca="1" si="331"/>
        <v>0</v>
      </c>
      <c r="AH734" s="176">
        <f t="shared" ca="1" si="331"/>
        <v>0</v>
      </c>
      <c r="AI734" s="176">
        <f t="shared" ca="1" si="331"/>
        <v>0</v>
      </c>
      <c r="AJ734" s="176">
        <f t="shared" ca="1" si="331"/>
        <v>0</v>
      </c>
      <c r="AK734" s="176">
        <f t="shared" ca="1" si="331"/>
        <v>0</v>
      </c>
      <c r="AL734" s="176">
        <f t="shared" ca="1" si="331"/>
        <v>0</v>
      </c>
      <c r="AM734" s="260">
        <f t="shared" ca="1" si="331"/>
        <v>0</v>
      </c>
      <c r="AN734" s="208">
        <f t="shared" ca="1" si="331"/>
        <v>0</v>
      </c>
      <c r="AO734" s="273">
        <f t="shared" ca="1" si="331"/>
        <v>0</v>
      </c>
      <c r="AP734" s="188">
        <f ca="1">SUM(R734:AO734)</f>
        <v>0</v>
      </c>
    </row>
    <row r="735" spans="1:69" ht="18.600000000000001" x14ac:dyDescent="0.4">
      <c r="A735" s="815"/>
      <c r="B735" s="121" t="s">
        <v>933</v>
      </c>
      <c r="C735" s="122" t="s">
        <v>945</v>
      </c>
      <c r="D735" s="529">
        <f>AP692</f>
        <v>690.43200000000047</v>
      </c>
      <c r="E735" s="529">
        <f>AP719</f>
        <v>623.61599999999999</v>
      </c>
      <c r="F735" s="529">
        <f>AP728</f>
        <v>690.43200000000047</v>
      </c>
      <c r="G735" s="529">
        <f ca="1">AP737</f>
        <v>423.16800000000006</v>
      </c>
      <c r="H735" s="529">
        <f ca="1">AP750</f>
        <v>155.904</v>
      </c>
      <c r="I735" s="529">
        <f>AP759</f>
        <v>668.16</v>
      </c>
      <c r="J735" s="529">
        <f>AP768</f>
        <v>690.43200000000047</v>
      </c>
      <c r="N735" s="829"/>
      <c r="O735" s="830"/>
      <c r="P735" s="177" t="s">
        <v>528</v>
      </c>
      <c r="Q735" s="178" t="s">
        <v>945</v>
      </c>
      <c r="R735" s="179" t="e">
        <f t="shared" ref="R735:AO735" ca="1" si="332">R734+R731</f>
        <v>#DIV/0!</v>
      </c>
      <c r="S735" s="179" t="e">
        <f t="shared" ca="1" si="332"/>
        <v>#DIV/0!</v>
      </c>
      <c r="T735" s="179" t="e">
        <f t="shared" ca="1" si="332"/>
        <v>#DIV/0!</v>
      </c>
      <c r="U735" s="179" t="e">
        <f t="shared" ca="1" si="332"/>
        <v>#DIV/0!</v>
      </c>
      <c r="V735" s="179" t="e">
        <f t="shared" ca="1" si="332"/>
        <v>#DIV/0!</v>
      </c>
      <c r="W735" s="179" t="e">
        <f t="shared" ca="1" si="332"/>
        <v>#DIV/0!</v>
      </c>
      <c r="X735" s="179" t="e">
        <f t="shared" ca="1" si="332"/>
        <v>#DIV/0!</v>
      </c>
      <c r="Y735" s="179" t="e">
        <f t="shared" ca="1" si="332"/>
        <v>#DIV/0!</v>
      </c>
      <c r="Z735" s="179" t="e">
        <f t="shared" ca="1" si="332"/>
        <v>#DIV/0!</v>
      </c>
      <c r="AA735" s="179" t="e">
        <f t="shared" ca="1" si="332"/>
        <v>#DIV/0!</v>
      </c>
      <c r="AB735" s="179" t="e">
        <f t="shared" ca="1" si="332"/>
        <v>#DIV/0!</v>
      </c>
      <c r="AC735" s="179" t="e">
        <f t="shared" ca="1" si="332"/>
        <v>#DIV/0!</v>
      </c>
      <c r="AD735" s="179" t="e">
        <f t="shared" ca="1" si="332"/>
        <v>#DIV/0!</v>
      </c>
      <c r="AE735" s="179" t="e">
        <f t="shared" ca="1" si="332"/>
        <v>#DIV/0!</v>
      </c>
      <c r="AF735" s="179" t="e">
        <f t="shared" ca="1" si="332"/>
        <v>#DIV/0!</v>
      </c>
      <c r="AG735" s="179" t="e">
        <f t="shared" ca="1" si="332"/>
        <v>#DIV/0!</v>
      </c>
      <c r="AH735" s="179" t="e">
        <f t="shared" ca="1" si="332"/>
        <v>#DIV/0!</v>
      </c>
      <c r="AI735" s="179" t="e">
        <f t="shared" ca="1" si="332"/>
        <v>#DIV/0!</v>
      </c>
      <c r="AJ735" s="179" t="e">
        <f t="shared" ca="1" si="332"/>
        <v>#DIV/0!</v>
      </c>
      <c r="AK735" s="179" t="e">
        <f t="shared" ca="1" si="332"/>
        <v>#DIV/0!</v>
      </c>
      <c r="AL735" s="179" t="e">
        <f t="shared" ca="1" si="332"/>
        <v>#DIV/0!</v>
      </c>
      <c r="AM735" s="261" t="e">
        <f t="shared" ca="1" si="332"/>
        <v>#DIV/0!</v>
      </c>
      <c r="AN735" s="293" t="e">
        <f t="shared" ca="1" si="332"/>
        <v>#DIV/0!</v>
      </c>
      <c r="AO735" s="274" t="e">
        <f t="shared" ca="1" si="332"/>
        <v>#DIV/0!</v>
      </c>
      <c r="AP735" s="190" t="e">
        <f ca="1">SUM(R735:AO735)</f>
        <v>#DIV/0!</v>
      </c>
    </row>
    <row r="736" spans="1:69" ht="18.600000000000001" x14ac:dyDescent="0.4">
      <c r="A736" s="815"/>
      <c r="B736" s="121" t="s">
        <v>929</v>
      </c>
      <c r="C736" s="122" t="s">
        <v>945</v>
      </c>
      <c r="D736" s="529" t="e">
        <f ca="1">AP686</f>
        <v>#DIV/0!</v>
      </c>
      <c r="E736" s="529" t="e">
        <f ca="1">AP713</f>
        <v>#DIV/0!</v>
      </c>
      <c r="F736" s="529" t="e">
        <f ca="1">AP722</f>
        <v>#DIV/0!</v>
      </c>
      <c r="G736" s="529" t="e">
        <f ca="1">AP731</f>
        <v>#DIV/0!</v>
      </c>
      <c r="H736" s="529" t="e">
        <f ca="1">AP741</f>
        <v>#DIV/0!</v>
      </c>
      <c r="I736" s="529" t="e">
        <f ca="1">AP753</f>
        <v>#DIV/0!</v>
      </c>
      <c r="J736" s="529" t="e">
        <f ca="1">AP762</f>
        <v>#DIV/0!</v>
      </c>
      <c r="N736" s="829"/>
      <c r="O736" s="830"/>
      <c r="P736" s="177" t="s">
        <v>529</v>
      </c>
      <c r="Q736" s="178" t="s">
        <v>945</v>
      </c>
      <c r="R736" s="179">
        <f t="shared" ref="R736:AC736" si="333">IF($O$617=1,(1/1000)*(0.34*A$641)*($K$181-R729)*O$359*R732,0)</f>
        <v>0</v>
      </c>
      <c r="S736" s="179">
        <f t="shared" si="333"/>
        <v>0</v>
      </c>
      <c r="T736" s="179">
        <f t="shared" si="333"/>
        <v>0</v>
      </c>
      <c r="U736" s="179">
        <f t="shared" si="333"/>
        <v>0</v>
      </c>
      <c r="V736" s="179">
        <f t="shared" si="333"/>
        <v>0</v>
      </c>
      <c r="W736" s="179">
        <f t="shared" si="333"/>
        <v>0</v>
      </c>
      <c r="X736" s="179">
        <f t="shared" si="333"/>
        <v>0</v>
      </c>
      <c r="Y736" s="179">
        <f t="shared" si="333"/>
        <v>0</v>
      </c>
      <c r="Z736" s="179">
        <f t="shared" si="333"/>
        <v>0</v>
      </c>
      <c r="AA736" s="179">
        <f t="shared" si="333"/>
        <v>0</v>
      </c>
      <c r="AB736" s="179">
        <f t="shared" si="333"/>
        <v>0</v>
      </c>
      <c r="AC736" s="179">
        <f t="shared" si="333"/>
        <v>0</v>
      </c>
      <c r="AD736" s="179">
        <f t="shared" ref="AD736:AO736" si="334">IF($O$617=1,(1/1000)*(0.34*N$641)*($K$181-AD729)*AA$359*AD732,0)</f>
        <v>0</v>
      </c>
      <c r="AE736" s="179">
        <f t="shared" si="334"/>
        <v>0</v>
      </c>
      <c r="AF736" s="179">
        <f t="shared" si="334"/>
        <v>0</v>
      </c>
      <c r="AG736" s="179">
        <f t="shared" si="334"/>
        <v>0</v>
      </c>
      <c r="AH736" s="179">
        <f t="shared" si="334"/>
        <v>0</v>
      </c>
      <c r="AI736" s="179">
        <f t="shared" si="334"/>
        <v>0</v>
      </c>
      <c r="AJ736" s="179">
        <f t="shared" si="334"/>
        <v>0</v>
      </c>
      <c r="AK736" s="179">
        <f t="shared" si="334"/>
        <v>0</v>
      </c>
      <c r="AL736" s="179">
        <f t="shared" si="334"/>
        <v>0</v>
      </c>
      <c r="AM736" s="261">
        <f t="shared" si="334"/>
        <v>0</v>
      </c>
      <c r="AN736" s="293">
        <f t="shared" si="334"/>
        <v>0</v>
      </c>
      <c r="AO736" s="274">
        <f t="shared" si="334"/>
        <v>0</v>
      </c>
      <c r="AP736" s="190">
        <f>SUM(R736:AO736)</f>
        <v>0</v>
      </c>
    </row>
    <row r="737" spans="1:69" ht="18.600000000000001" x14ac:dyDescent="0.4">
      <c r="A737" s="815"/>
      <c r="B737" s="121" t="s">
        <v>932</v>
      </c>
      <c r="C737" s="122" t="s">
        <v>945</v>
      </c>
      <c r="D737" s="529">
        <f ca="1">AP689</f>
        <v>0</v>
      </c>
      <c r="E737" s="529">
        <f ca="1">AP716</f>
        <v>0</v>
      </c>
      <c r="F737" s="529">
        <f ca="1">AP725</f>
        <v>0</v>
      </c>
      <c r="G737" s="529">
        <f ca="1">AP734</f>
        <v>0</v>
      </c>
      <c r="H737" s="529">
        <f ca="1">AP744</f>
        <v>0</v>
      </c>
      <c r="I737" s="529">
        <f ca="1">AP756</f>
        <v>0</v>
      </c>
      <c r="J737" s="529">
        <f ca="1">AP765</f>
        <v>0</v>
      </c>
      <c r="N737" s="829"/>
      <c r="O737" s="830"/>
      <c r="P737" s="174" t="s">
        <v>530</v>
      </c>
      <c r="Q737" s="175" t="s">
        <v>945</v>
      </c>
      <c r="R737" s="176">
        <f t="shared" ref="R737:AO737" ca="1" si="335">(1/1000)*($L$697+$L$698)*O$231</f>
        <v>17.632000000000001</v>
      </c>
      <c r="S737" s="176">
        <f t="shared" ca="1" si="335"/>
        <v>17.632000000000001</v>
      </c>
      <c r="T737" s="176">
        <f t="shared" ca="1" si="335"/>
        <v>17.632000000000001</v>
      </c>
      <c r="U737" s="176">
        <f t="shared" ca="1" si="335"/>
        <v>17.632000000000001</v>
      </c>
      <c r="V737" s="176">
        <f t="shared" ca="1" si="335"/>
        <v>17.632000000000001</v>
      </c>
      <c r="W737" s="176">
        <f t="shared" ca="1" si="335"/>
        <v>17.632000000000001</v>
      </c>
      <c r="X737" s="176">
        <f t="shared" ca="1" si="335"/>
        <v>17.632000000000001</v>
      </c>
      <c r="Y737" s="176">
        <f t="shared" ca="1" si="335"/>
        <v>17.632000000000001</v>
      </c>
      <c r="Z737" s="176">
        <f t="shared" ca="1" si="335"/>
        <v>17.632000000000001</v>
      </c>
      <c r="AA737" s="176">
        <f t="shared" ca="1" si="335"/>
        <v>17.632000000000001</v>
      </c>
      <c r="AB737" s="176">
        <f t="shared" ca="1" si="335"/>
        <v>17.632000000000001</v>
      </c>
      <c r="AC737" s="176">
        <f t="shared" ca="1" si="335"/>
        <v>17.632000000000001</v>
      </c>
      <c r="AD737" s="176">
        <f t="shared" ca="1" si="335"/>
        <v>17.632000000000001</v>
      </c>
      <c r="AE737" s="176">
        <f t="shared" ca="1" si="335"/>
        <v>17.632000000000001</v>
      </c>
      <c r="AF737" s="176">
        <f t="shared" ca="1" si="335"/>
        <v>17.632000000000001</v>
      </c>
      <c r="AG737" s="176">
        <f t="shared" ca="1" si="335"/>
        <v>17.632000000000001</v>
      </c>
      <c r="AH737" s="176">
        <f t="shared" ca="1" si="335"/>
        <v>17.632000000000001</v>
      </c>
      <c r="AI737" s="176">
        <f t="shared" ca="1" si="335"/>
        <v>17.632000000000001</v>
      </c>
      <c r="AJ737" s="176">
        <f t="shared" ca="1" si="335"/>
        <v>17.632000000000001</v>
      </c>
      <c r="AK737" s="176">
        <f t="shared" ca="1" si="335"/>
        <v>17.632000000000001</v>
      </c>
      <c r="AL737" s="176">
        <f t="shared" ca="1" si="335"/>
        <v>17.632000000000001</v>
      </c>
      <c r="AM737" s="260">
        <f t="shared" ca="1" si="335"/>
        <v>17.632000000000001</v>
      </c>
      <c r="AN737" s="208">
        <f t="shared" ca="1" si="335"/>
        <v>17.632000000000001</v>
      </c>
      <c r="AO737" s="273">
        <f t="shared" ca="1" si="335"/>
        <v>17.632000000000001</v>
      </c>
      <c r="AP737" s="188">
        <f ca="1">SUM(R737:AO737)</f>
        <v>423.16800000000006</v>
      </c>
    </row>
    <row r="738" spans="1:69" ht="18.600000000000001" x14ac:dyDescent="0.4">
      <c r="A738" s="815"/>
      <c r="B738" s="117" t="s">
        <v>262</v>
      </c>
      <c r="C738" s="118" t="s">
        <v>945</v>
      </c>
      <c r="D738" s="531" t="e">
        <f ca="1">AP690</f>
        <v>#DIV/0!</v>
      </c>
      <c r="E738" s="531" t="e">
        <f ca="1">AP717</f>
        <v>#DIV/0!</v>
      </c>
      <c r="F738" s="531" t="e">
        <f ca="1">AP726</f>
        <v>#DIV/0!</v>
      </c>
      <c r="G738" s="531" t="e">
        <f ca="1">AP735</f>
        <v>#DIV/0!</v>
      </c>
      <c r="H738" s="531" t="e">
        <f ca="1">AP745</f>
        <v>#DIV/0!</v>
      </c>
      <c r="I738" s="531" t="e">
        <f ca="1">AP757</f>
        <v>#DIV/0!</v>
      </c>
      <c r="J738" s="531" t="e">
        <f ca="1">AP766</f>
        <v>#DIV/0!</v>
      </c>
      <c r="N738" s="829" t="s">
        <v>174</v>
      </c>
      <c r="O738" s="830">
        <v>10</v>
      </c>
      <c r="P738" s="170" t="s">
        <v>522</v>
      </c>
      <c r="Q738" s="172" t="s">
        <v>946</v>
      </c>
      <c r="R738" s="173">
        <f ca="1">'Климатични зони'!D18</f>
        <v>14.5</v>
      </c>
      <c r="S738" s="173">
        <f ca="1">'Климатични зони'!E18</f>
        <v>14.5</v>
      </c>
      <c r="T738" s="173">
        <f ca="1">'Климатични зони'!F18</f>
        <v>14.5</v>
      </c>
      <c r="U738" s="173">
        <f ca="1">'Климатични зони'!G18</f>
        <v>14.5</v>
      </c>
      <c r="V738" s="173">
        <f ca="1">'Климатични зони'!H18</f>
        <v>14.5</v>
      </c>
      <c r="W738" s="173">
        <f ca="1">'Климатични зони'!I18</f>
        <v>14.5</v>
      </c>
      <c r="X738" s="173">
        <f ca="1">'Климатични зони'!J18</f>
        <v>14.5</v>
      </c>
      <c r="Y738" s="173">
        <f ca="1">'Климатични зони'!K18</f>
        <v>14.5</v>
      </c>
      <c r="Z738" s="173">
        <f ca="1">'Климатични зони'!L18</f>
        <v>14.5</v>
      </c>
      <c r="AA738" s="173">
        <f ca="1">'Климатични зони'!M18</f>
        <v>14.5</v>
      </c>
      <c r="AB738" s="173">
        <f ca="1">'Климатични зони'!N18</f>
        <v>14.5</v>
      </c>
      <c r="AC738" s="173">
        <f ca="1">'Климатични зони'!O18</f>
        <v>14.5</v>
      </c>
      <c r="AD738" s="173">
        <f ca="1">'Климатични зони'!P18</f>
        <v>14.5</v>
      </c>
      <c r="AE738" s="173">
        <f ca="1">'Климатични зони'!Q18</f>
        <v>14.5</v>
      </c>
      <c r="AF738" s="173">
        <f ca="1">'Климатични зони'!R18</f>
        <v>14.5</v>
      </c>
      <c r="AG738" s="173">
        <f ca="1">'Климатични зони'!S18</f>
        <v>14.5</v>
      </c>
      <c r="AH738" s="173">
        <f ca="1">'Климатични зони'!T18</f>
        <v>14.5</v>
      </c>
      <c r="AI738" s="173">
        <f ca="1">'Климатични зони'!U18</f>
        <v>14.5</v>
      </c>
      <c r="AJ738" s="173">
        <f ca="1">'Климатични зони'!V18</f>
        <v>14.5</v>
      </c>
      <c r="AK738" s="173">
        <f ca="1">'Климатични зони'!W18</f>
        <v>14.5</v>
      </c>
      <c r="AL738" s="173">
        <f ca="1">'Климатични зони'!X18</f>
        <v>14.5</v>
      </c>
      <c r="AM738" s="259">
        <f ca="1">'Климатични зони'!Y18</f>
        <v>14.5</v>
      </c>
      <c r="AN738" s="207">
        <f ca="1">'Климатични зони'!Z18</f>
        <v>14.5</v>
      </c>
      <c r="AO738" s="254">
        <f ca="1">'Климатични зони'!AA18</f>
        <v>14.5</v>
      </c>
      <c r="AP738" s="189"/>
      <c r="AQ738" s="45" t="s">
        <v>406</v>
      </c>
      <c r="AR738" s="55">
        <f ca="1">'Климатични зони'!AH9</f>
        <v>14.5</v>
      </c>
      <c r="AS738" s="206" t="s">
        <v>594</v>
      </c>
      <c r="AT738" s="43">
        <f ca="1">1.006*($AR738)+$AR741*(1.805*($AR738)+2501)</f>
        <v>39.22649861810379</v>
      </c>
      <c r="AU738" s="43">
        <f t="shared" ref="AU738:BQ738" ca="1" si="336">1.006*($AR738)+$AR741*(1.805*($AR738)+2501)</f>
        <v>39.22649861810379</v>
      </c>
      <c r="AV738" s="43">
        <f t="shared" ca="1" si="336"/>
        <v>39.22649861810379</v>
      </c>
      <c r="AW738" s="43">
        <f t="shared" ca="1" si="336"/>
        <v>39.22649861810379</v>
      </c>
      <c r="AX738" s="43">
        <f t="shared" ca="1" si="336"/>
        <v>39.22649861810379</v>
      </c>
      <c r="AY738" s="43">
        <f t="shared" ca="1" si="336"/>
        <v>39.22649861810379</v>
      </c>
      <c r="AZ738" s="43">
        <f t="shared" ca="1" si="336"/>
        <v>39.22649861810379</v>
      </c>
      <c r="BA738" s="43">
        <f t="shared" ca="1" si="336"/>
        <v>39.22649861810379</v>
      </c>
      <c r="BB738" s="43">
        <f t="shared" ca="1" si="336"/>
        <v>39.22649861810379</v>
      </c>
      <c r="BC738" s="43">
        <f t="shared" ca="1" si="336"/>
        <v>39.22649861810379</v>
      </c>
      <c r="BD738" s="43">
        <f t="shared" ca="1" si="336"/>
        <v>39.22649861810379</v>
      </c>
      <c r="BE738" s="43">
        <f t="shared" ca="1" si="336"/>
        <v>39.22649861810379</v>
      </c>
      <c r="BF738" s="43">
        <f t="shared" ca="1" si="336"/>
        <v>39.22649861810379</v>
      </c>
      <c r="BG738" s="43">
        <f t="shared" ca="1" si="336"/>
        <v>39.22649861810379</v>
      </c>
      <c r="BH738" s="43">
        <f t="shared" ca="1" si="336"/>
        <v>39.22649861810379</v>
      </c>
      <c r="BI738" s="43">
        <f t="shared" ca="1" si="336"/>
        <v>39.22649861810379</v>
      </c>
      <c r="BJ738" s="43">
        <f t="shared" ca="1" si="336"/>
        <v>39.22649861810379</v>
      </c>
      <c r="BK738" s="43">
        <f t="shared" ca="1" si="336"/>
        <v>39.22649861810379</v>
      </c>
      <c r="BL738" s="43">
        <f t="shared" ca="1" si="336"/>
        <v>39.22649861810379</v>
      </c>
      <c r="BM738" s="43">
        <f t="shared" ca="1" si="336"/>
        <v>39.22649861810379</v>
      </c>
      <c r="BN738" s="43">
        <f t="shared" ca="1" si="336"/>
        <v>39.22649861810379</v>
      </c>
      <c r="BO738" s="43">
        <f t="shared" ca="1" si="336"/>
        <v>39.22649861810379</v>
      </c>
      <c r="BP738" s="43">
        <f t="shared" ca="1" si="336"/>
        <v>39.22649861810379</v>
      </c>
      <c r="BQ738" s="43">
        <f t="shared" ca="1" si="336"/>
        <v>39.22649861810379</v>
      </c>
    </row>
    <row r="739" spans="1:69" ht="18.600000000000001" x14ac:dyDescent="0.4">
      <c r="A739" s="815"/>
      <c r="B739" s="117" t="s">
        <v>858</v>
      </c>
      <c r="C739" s="118" t="s">
        <v>945</v>
      </c>
      <c r="D739" s="531" t="e">
        <f ca="1">D733</f>
        <v>#DIV/0!</v>
      </c>
      <c r="E739" s="531" t="e">
        <f t="shared" ref="E739:J739" ca="1" si="337">E733</f>
        <v>#DIV/0!</v>
      </c>
      <c r="F739" s="531" t="e">
        <f t="shared" ca="1" si="337"/>
        <v>#DIV/0!</v>
      </c>
      <c r="G739" s="531" t="e">
        <f t="shared" ca="1" si="337"/>
        <v>#DIV/0!</v>
      </c>
      <c r="H739" s="531" t="e">
        <f t="shared" ca="1" si="337"/>
        <v>#DIV/0!</v>
      </c>
      <c r="I739" s="531" t="e">
        <f t="shared" ca="1" si="337"/>
        <v>#DIV/0!</v>
      </c>
      <c r="J739" s="531" t="e">
        <f t="shared" ca="1" si="337"/>
        <v>#DIV/0!</v>
      </c>
      <c r="N739" s="829"/>
      <c r="O739" s="830"/>
      <c r="P739" s="170"/>
      <c r="Q739" s="172"/>
      <c r="R739" s="173"/>
      <c r="S739" s="173"/>
      <c r="T739" s="173"/>
      <c r="U739" s="173"/>
      <c r="V739" s="173"/>
      <c r="W739" s="173"/>
      <c r="X739" s="173"/>
      <c r="Y739" s="173"/>
      <c r="Z739" s="173"/>
      <c r="AA739" s="173"/>
      <c r="AB739" s="173"/>
      <c r="AC739" s="173"/>
      <c r="AD739" s="173"/>
      <c r="AE739" s="173"/>
      <c r="AF739" s="173"/>
      <c r="AG739" s="173"/>
      <c r="AH739" s="173"/>
      <c r="AI739" s="173"/>
      <c r="AJ739" s="173"/>
      <c r="AK739" s="173"/>
      <c r="AL739" s="173"/>
      <c r="AM739" s="259"/>
      <c r="AN739" s="207"/>
      <c r="AO739" s="254"/>
      <c r="AP739" s="189"/>
      <c r="AQ739" s="183" t="s">
        <v>531</v>
      </c>
      <c r="AR739" s="43">
        <v>95</v>
      </c>
      <c r="AT739" s="43">
        <f t="shared" ref="AT739:BQ739" ca="1" si="338">(-$K$851*AT738+$K$852*$K$849)</f>
        <v>-4.1830568199579474</v>
      </c>
      <c r="AU739" s="43">
        <f t="shared" ca="1" si="338"/>
        <v>-4.1830568199579474</v>
      </c>
      <c r="AV739" s="43">
        <f t="shared" ca="1" si="338"/>
        <v>-4.1830568199579474</v>
      </c>
      <c r="AW739" s="43">
        <f t="shared" ca="1" si="338"/>
        <v>-4.1830568199579474</v>
      </c>
      <c r="AX739" s="43">
        <f t="shared" ca="1" si="338"/>
        <v>-4.1830568199579474</v>
      </c>
      <c r="AY739" s="43">
        <f t="shared" ca="1" si="338"/>
        <v>-4.1830568199579474</v>
      </c>
      <c r="AZ739" s="43">
        <f t="shared" ca="1" si="338"/>
        <v>-4.1830568199579474</v>
      </c>
      <c r="BA739" s="43">
        <f t="shared" ca="1" si="338"/>
        <v>-4.1830568199579474</v>
      </c>
      <c r="BB739" s="43">
        <f t="shared" ca="1" si="338"/>
        <v>-4.1830568199579474</v>
      </c>
      <c r="BC739" s="43">
        <f t="shared" ca="1" si="338"/>
        <v>-4.1830568199579474</v>
      </c>
      <c r="BD739" s="43">
        <f t="shared" ca="1" si="338"/>
        <v>-4.1830568199579474</v>
      </c>
      <c r="BE739" s="43">
        <f t="shared" ca="1" si="338"/>
        <v>-4.1830568199579474</v>
      </c>
      <c r="BF739" s="43">
        <f t="shared" ca="1" si="338"/>
        <v>-4.1830568199579474</v>
      </c>
      <c r="BG739" s="43">
        <f t="shared" ca="1" si="338"/>
        <v>-4.1830568199579474</v>
      </c>
      <c r="BH739" s="43">
        <f t="shared" ca="1" si="338"/>
        <v>-4.1830568199579474</v>
      </c>
      <c r="BI739" s="43">
        <f t="shared" ca="1" si="338"/>
        <v>-4.1830568199579474</v>
      </c>
      <c r="BJ739" s="43">
        <f t="shared" ca="1" si="338"/>
        <v>-4.1830568199579474</v>
      </c>
      <c r="BK739" s="43">
        <f t="shared" ca="1" si="338"/>
        <v>-4.1830568199579474</v>
      </c>
      <c r="BL739" s="43">
        <f t="shared" ca="1" si="338"/>
        <v>-4.1830568199579474</v>
      </c>
      <c r="BM739" s="43">
        <f t="shared" ca="1" si="338"/>
        <v>-4.1830568199579474</v>
      </c>
      <c r="BN739" s="43">
        <f t="shared" ca="1" si="338"/>
        <v>-4.1830568199579474</v>
      </c>
      <c r="BO739" s="43">
        <f t="shared" ca="1" si="338"/>
        <v>-4.1830568199579474</v>
      </c>
      <c r="BP739" s="43">
        <f t="shared" ca="1" si="338"/>
        <v>-4.1830568199579474</v>
      </c>
      <c r="BQ739" s="43">
        <f t="shared" ca="1" si="338"/>
        <v>-4.1830568199579474</v>
      </c>
    </row>
    <row r="740" spans="1:69" ht="18.600000000000001" x14ac:dyDescent="0.4">
      <c r="A740" s="815"/>
      <c r="B740" s="117" t="s">
        <v>261</v>
      </c>
      <c r="C740" s="118" t="s">
        <v>945</v>
      </c>
      <c r="D740" s="531" t="e">
        <f ca="1">D733+D735</f>
        <v>#DIV/0!</v>
      </c>
      <c r="E740" s="531" t="e">
        <f t="shared" ref="E740:J740" ca="1" si="339">E733+E735</f>
        <v>#DIV/0!</v>
      </c>
      <c r="F740" s="531" t="e">
        <f t="shared" ca="1" si="339"/>
        <v>#DIV/0!</v>
      </c>
      <c r="G740" s="531" t="e">
        <f t="shared" ca="1" si="339"/>
        <v>#DIV/0!</v>
      </c>
      <c r="H740" s="531" t="e">
        <f t="shared" ca="1" si="339"/>
        <v>#DIV/0!</v>
      </c>
      <c r="I740" s="531" t="e">
        <f t="shared" ca="1" si="339"/>
        <v>#DIV/0!</v>
      </c>
      <c r="J740" s="531" t="e">
        <f t="shared" ca="1" si="339"/>
        <v>#DIV/0!</v>
      </c>
      <c r="N740" s="829"/>
      <c r="O740" s="830"/>
      <c r="P740" s="170" t="s">
        <v>523</v>
      </c>
      <c r="Q740" s="172" t="s">
        <v>948</v>
      </c>
      <c r="R740" s="173">
        <f t="shared" ref="R740:AO740" ca="1" si="340">((1/($K$181-R738))*(((-$E$614)*5*COS(2*3.14*(($O738-1)/12))+($F$614*7.5*COS(2*3.14*(($O738-1-1)/12))))))</f>
        <v>-3.4367096110923017E-42</v>
      </c>
      <c r="S740" s="173">
        <f t="shared" ca="1" si="340"/>
        <v>-3.4367096110923017E-42</v>
      </c>
      <c r="T740" s="173">
        <f t="shared" ca="1" si="340"/>
        <v>-3.4367096110923017E-42</v>
      </c>
      <c r="U740" s="173">
        <f t="shared" ca="1" si="340"/>
        <v>-3.4367096110923017E-42</v>
      </c>
      <c r="V740" s="173">
        <f t="shared" ca="1" si="340"/>
        <v>-3.4367096110923017E-42</v>
      </c>
      <c r="W740" s="173">
        <f t="shared" ca="1" si="340"/>
        <v>-3.4367096110923017E-42</v>
      </c>
      <c r="X740" s="173">
        <f t="shared" ca="1" si="340"/>
        <v>-3.4367096110923017E-42</v>
      </c>
      <c r="Y740" s="173">
        <f t="shared" ca="1" si="340"/>
        <v>-3.4367096110923017E-42</v>
      </c>
      <c r="Z740" s="173">
        <f t="shared" ca="1" si="340"/>
        <v>-3.4367096110923017E-42</v>
      </c>
      <c r="AA740" s="173">
        <f t="shared" ca="1" si="340"/>
        <v>-3.4367096110923017E-42</v>
      </c>
      <c r="AB740" s="173">
        <f t="shared" ca="1" si="340"/>
        <v>-3.4367096110923017E-42</v>
      </c>
      <c r="AC740" s="173">
        <f t="shared" ca="1" si="340"/>
        <v>-3.4367096110923017E-42</v>
      </c>
      <c r="AD740" s="173">
        <f t="shared" ca="1" si="340"/>
        <v>-3.4367096110923017E-42</v>
      </c>
      <c r="AE740" s="173">
        <f t="shared" ca="1" si="340"/>
        <v>-3.4367096110923017E-42</v>
      </c>
      <c r="AF740" s="173">
        <f t="shared" ca="1" si="340"/>
        <v>-3.4367096110923017E-42</v>
      </c>
      <c r="AG740" s="173">
        <f t="shared" ca="1" si="340"/>
        <v>-3.4367096110923017E-42</v>
      </c>
      <c r="AH740" s="173">
        <f t="shared" ca="1" si="340"/>
        <v>-3.4367096110923017E-42</v>
      </c>
      <c r="AI740" s="173">
        <f t="shared" ca="1" si="340"/>
        <v>-3.4367096110923017E-42</v>
      </c>
      <c r="AJ740" s="173">
        <f t="shared" ca="1" si="340"/>
        <v>-3.4367096110923017E-42</v>
      </c>
      <c r="AK740" s="173">
        <f t="shared" ca="1" si="340"/>
        <v>-3.4367096110923017E-42</v>
      </c>
      <c r="AL740" s="173">
        <f t="shared" ca="1" si="340"/>
        <v>-3.4367096110923017E-42</v>
      </c>
      <c r="AM740" s="259">
        <f t="shared" ca="1" si="340"/>
        <v>-3.4367096110923017E-42</v>
      </c>
      <c r="AN740" s="207">
        <f t="shared" ca="1" si="340"/>
        <v>-3.4367096110923017E-42</v>
      </c>
      <c r="AO740" s="254">
        <f t="shared" ca="1" si="340"/>
        <v>-3.4367096110923017E-42</v>
      </c>
      <c r="AP740" s="189"/>
      <c r="AQ740" s="173" t="s">
        <v>532</v>
      </c>
      <c r="AR740" s="196">
        <f ca="1">(2.71828^(77.345+0.0057*(273.15+AR738)-7235/(273.15+AR738)))/((273.15+AR738)^8.2)</f>
        <v>1646.1090505886664</v>
      </c>
      <c r="AT740" s="43">
        <f t="shared" ref="AT740:BQ740" ca="1" si="341">IF(AT739*O367&lt;0,0,AT739*O367)</f>
        <v>0</v>
      </c>
      <c r="AU740" s="43">
        <f t="shared" ca="1" si="341"/>
        <v>0</v>
      </c>
      <c r="AV740" s="43">
        <f t="shared" ca="1" si="341"/>
        <v>0</v>
      </c>
      <c r="AW740" s="43">
        <f t="shared" ca="1" si="341"/>
        <v>0</v>
      </c>
      <c r="AX740" s="43">
        <f t="shared" ca="1" si="341"/>
        <v>0</v>
      </c>
      <c r="AY740" s="43">
        <f t="shared" ca="1" si="341"/>
        <v>0</v>
      </c>
      <c r="AZ740" s="43">
        <f t="shared" ca="1" si="341"/>
        <v>0</v>
      </c>
      <c r="BA740" s="43">
        <f t="shared" ca="1" si="341"/>
        <v>0</v>
      </c>
      <c r="BB740" s="43">
        <f t="shared" ca="1" si="341"/>
        <v>0</v>
      </c>
      <c r="BC740" s="43">
        <f t="shared" ca="1" si="341"/>
        <v>0</v>
      </c>
      <c r="BD740" s="43">
        <f t="shared" ca="1" si="341"/>
        <v>0</v>
      </c>
      <c r="BE740" s="43">
        <f t="shared" ca="1" si="341"/>
        <v>0</v>
      </c>
      <c r="BF740" s="43">
        <f t="shared" ca="1" si="341"/>
        <v>0</v>
      </c>
      <c r="BG740" s="43">
        <f t="shared" ca="1" si="341"/>
        <v>0</v>
      </c>
      <c r="BH740" s="43">
        <f t="shared" ca="1" si="341"/>
        <v>0</v>
      </c>
      <c r="BI740" s="43">
        <f t="shared" ca="1" si="341"/>
        <v>0</v>
      </c>
      <c r="BJ740" s="43">
        <f t="shared" ca="1" si="341"/>
        <v>0</v>
      </c>
      <c r="BK740" s="43">
        <f t="shared" ca="1" si="341"/>
        <v>0</v>
      </c>
      <c r="BL740" s="43">
        <f t="shared" ca="1" si="341"/>
        <v>0</v>
      </c>
      <c r="BM740" s="43">
        <f t="shared" ca="1" si="341"/>
        <v>0</v>
      </c>
      <c r="BN740" s="43">
        <f t="shared" ca="1" si="341"/>
        <v>0</v>
      </c>
      <c r="BO740" s="43">
        <f t="shared" ca="1" si="341"/>
        <v>0</v>
      </c>
      <c r="BP740" s="43">
        <f t="shared" ca="1" si="341"/>
        <v>0</v>
      </c>
      <c r="BQ740" s="43">
        <f t="shared" ca="1" si="341"/>
        <v>0</v>
      </c>
    </row>
    <row r="741" spans="1:69" ht="18.600000000000001" hidden="1" x14ac:dyDescent="0.4">
      <c r="A741" s="815"/>
      <c r="B741" s="117" t="s">
        <v>415</v>
      </c>
      <c r="C741" s="118" t="s">
        <v>945</v>
      </c>
      <c r="D741" s="163">
        <f>IF(A282=1,AP691,0)</f>
        <v>0</v>
      </c>
      <c r="E741" s="163">
        <f>IF(B282=1,AP718,0)</f>
        <v>0</v>
      </c>
      <c r="F741" s="163">
        <f>IF(C282=1,AP727,0)</f>
        <v>0</v>
      </c>
      <c r="G741" s="163">
        <f>IF(D282=1,AP736,0)</f>
        <v>0</v>
      </c>
      <c r="H741" s="163">
        <f>IF(J282=1,AP747,0)</f>
        <v>0</v>
      </c>
      <c r="I741" s="163">
        <f>IF(K282=1,AP758,0)</f>
        <v>0</v>
      </c>
      <c r="J741" s="163">
        <f>IF(L282=1,AP767,0)</f>
        <v>0</v>
      </c>
      <c r="N741" s="829"/>
      <c r="O741" s="830"/>
      <c r="P741" s="174" t="s">
        <v>524</v>
      </c>
      <c r="Q741" s="175" t="s">
        <v>945</v>
      </c>
      <c r="R741" s="176" t="e">
        <f t="shared" ref="R741:AO741" ca="1" si="342">(1/1000)*(($K$455+R740)*($K$181-R738))*O$211</f>
        <v>#DIV/0!</v>
      </c>
      <c r="S741" s="176" t="e">
        <f t="shared" ca="1" si="342"/>
        <v>#DIV/0!</v>
      </c>
      <c r="T741" s="176" t="e">
        <f t="shared" ca="1" si="342"/>
        <v>#DIV/0!</v>
      </c>
      <c r="U741" s="176" t="e">
        <f t="shared" ca="1" si="342"/>
        <v>#DIV/0!</v>
      </c>
      <c r="V741" s="176" t="e">
        <f t="shared" ca="1" si="342"/>
        <v>#DIV/0!</v>
      </c>
      <c r="W741" s="176" t="e">
        <f t="shared" ca="1" si="342"/>
        <v>#DIV/0!</v>
      </c>
      <c r="X741" s="176" t="e">
        <f t="shared" ca="1" si="342"/>
        <v>#DIV/0!</v>
      </c>
      <c r="Y741" s="176" t="e">
        <f t="shared" ca="1" si="342"/>
        <v>#DIV/0!</v>
      </c>
      <c r="Z741" s="176" t="e">
        <f t="shared" ca="1" si="342"/>
        <v>#DIV/0!</v>
      </c>
      <c r="AA741" s="176" t="e">
        <f t="shared" ca="1" si="342"/>
        <v>#DIV/0!</v>
      </c>
      <c r="AB741" s="176" t="e">
        <f t="shared" ca="1" si="342"/>
        <v>#DIV/0!</v>
      </c>
      <c r="AC741" s="176" t="e">
        <f t="shared" ca="1" si="342"/>
        <v>#DIV/0!</v>
      </c>
      <c r="AD741" s="176" t="e">
        <f t="shared" ca="1" si="342"/>
        <v>#DIV/0!</v>
      </c>
      <c r="AE741" s="176" t="e">
        <f t="shared" ca="1" si="342"/>
        <v>#DIV/0!</v>
      </c>
      <c r="AF741" s="176" t="e">
        <f t="shared" ca="1" si="342"/>
        <v>#DIV/0!</v>
      </c>
      <c r="AG741" s="176" t="e">
        <f t="shared" ca="1" si="342"/>
        <v>#DIV/0!</v>
      </c>
      <c r="AH741" s="176" t="e">
        <f t="shared" ca="1" si="342"/>
        <v>#DIV/0!</v>
      </c>
      <c r="AI741" s="176" t="e">
        <f t="shared" ca="1" si="342"/>
        <v>#DIV/0!</v>
      </c>
      <c r="AJ741" s="176" t="e">
        <f t="shared" ca="1" si="342"/>
        <v>#DIV/0!</v>
      </c>
      <c r="AK741" s="176" t="e">
        <f t="shared" ca="1" si="342"/>
        <v>#DIV/0!</v>
      </c>
      <c r="AL741" s="176" t="e">
        <f t="shared" ca="1" si="342"/>
        <v>#DIV/0!</v>
      </c>
      <c r="AM741" s="260" t="e">
        <f t="shared" ca="1" si="342"/>
        <v>#DIV/0!</v>
      </c>
      <c r="AN741" s="208" t="e">
        <f t="shared" ca="1" si="342"/>
        <v>#DIV/0!</v>
      </c>
      <c r="AO741" s="273" t="e">
        <f t="shared" ca="1" si="342"/>
        <v>#DIV/0!</v>
      </c>
      <c r="AP741" s="188" t="e">
        <f ca="1">SUM(R741:AO741)</f>
        <v>#DIV/0!</v>
      </c>
      <c r="AQ741" s="45" t="s">
        <v>407</v>
      </c>
      <c r="AR741" s="196">
        <f ca="1">0.62198*(AR739*AR740/100)/(101325-(AR739*AR740/100))</f>
        <v>9.7498285606161771E-3</v>
      </c>
      <c r="AT741" s="43">
        <f ca="1">SUM(AT740:BQ740)</f>
        <v>0</v>
      </c>
    </row>
    <row r="742" spans="1:69" ht="18" hidden="1" x14ac:dyDescent="0.35">
      <c r="A742" s="815"/>
      <c r="B742" s="8" t="s">
        <v>970</v>
      </c>
      <c r="C742" s="22" t="s">
        <v>950</v>
      </c>
      <c r="D742" s="13" t="e">
        <f t="shared" ref="D742:J742" si="343">$J$704/($K$455+D734)</f>
        <v>#DIV/0!</v>
      </c>
      <c r="E742" s="13" t="e">
        <f t="shared" si="343"/>
        <v>#DIV/0!</v>
      </c>
      <c r="F742" s="13" t="e">
        <f t="shared" si="343"/>
        <v>#DIV/0!</v>
      </c>
      <c r="G742" s="13" t="e">
        <f t="shared" si="343"/>
        <v>#DIV/0!</v>
      </c>
      <c r="H742" s="13" t="e">
        <f t="shared" si="343"/>
        <v>#DIV/0!</v>
      </c>
      <c r="I742" s="13" t="e">
        <f t="shared" si="343"/>
        <v>#DIV/0!</v>
      </c>
      <c r="J742" s="13" t="e">
        <f t="shared" si="343"/>
        <v>#DIV/0!</v>
      </c>
      <c r="N742" s="829"/>
      <c r="O742" s="830"/>
      <c r="P742" s="170" t="s">
        <v>525</v>
      </c>
      <c r="Q742" s="172" t="s">
        <v>950</v>
      </c>
      <c r="R742" s="173">
        <f t="shared" ref="R742:AO742" ca="1" si="344">IF(($K$181-$L$647)/($K$181-R738)=0,1,($K$181-$L$647)/($K$181-R738))</f>
        <v>1</v>
      </c>
      <c r="S742" s="173">
        <f t="shared" ca="1" si="344"/>
        <v>1</v>
      </c>
      <c r="T742" s="173">
        <f t="shared" ca="1" si="344"/>
        <v>1</v>
      </c>
      <c r="U742" s="173">
        <f t="shared" ca="1" si="344"/>
        <v>1</v>
      </c>
      <c r="V742" s="173">
        <f t="shared" ca="1" si="344"/>
        <v>1</v>
      </c>
      <c r="W742" s="173">
        <f t="shared" ca="1" si="344"/>
        <v>1</v>
      </c>
      <c r="X742" s="173">
        <f t="shared" ca="1" si="344"/>
        <v>1</v>
      </c>
      <c r="Y742" s="173">
        <f t="shared" ca="1" si="344"/>
        <v>1</v>
      </c>
      <c r="Z742" s="173">
        <f t="shared" ca="1" si="344"/>
        <v>1</v>
      </c>
      <c r="AA742" s="173">
        <f t="shared" ca="1" si="344"/>
        <v>1</v>
      </c>
      <c r="AB742" s="173">
        <f t="shared" ca="1" si="344"/>
        <v>1</v>
      </c>
      <c r="AC742" s="173">
        <f t="shared" ca="1" si="344"/>
        <v>1</v>
      </c>
      <c r="AD742" s="173">
        <f t="shared" ca="1" si="344"/>
        <v>1</v>
      </c>
      <c r="AE742" s="173">
        <f t="shared" ca="1" si="344"/>
        <v>1</v>
      </c>
      <c r="AF742" s="173">
        <f t="shared" ca="1" si="344"/>
        <v>1</v>
      </c>
      <c r="AG742" s="173">
        <f t="shared" ca="1" si="344"/>
        <v>1</v>
      </c>
      <c r="AH742" s="173">
        <f t="shared" ca="1" si="344"/>
        <v>1</v>
      </c>
      <c r="AI742" s="173">
        <f t="shared" ca="1" si="344"/>
        <v>1</v>
      </c>
      <c r="AJ742" s="173">
        <f t="shared" ca="1" si="344"/>
        <v>1</v>
      </c>
      <c r="AK742" s="173">
        <f t="shared" ca="1" si="344"/>
        <v>1</v>
      </c>
      <c r="AL742" s="173">
        <f t="shared" ca="1" si="344"/>
        <v>1</v>
      </c>
      <c r="AM742" s="259">
        <f t="shared" ca="1" si="344"/>
        <v>1</v>
      </c>
      <c r="AN742" s="207">
        <f t="shared" ca="1" si="344"/>
        <v>1</v>
      </c>
      <c r="AO742" s="254">
        <f t="shared" ca="1" si="344"/>
        <v>1</v>
      </c>
      <c r="AP742" s="189"/>
    </row>
    <row r="743" spans="1:69" ht="18.600000000000001" hidden="1" x14ac:dyDescent="0.4">
      <c r="A743" s="815"/>
      <c r="B743" s="8" t="s">
        <v>969</v>
      </c>
      <c r="C743" s="22" t="s">
        <v>950</v>
      </c>
      <c r="D743" s="9" t="e">
        <f>1+D742/15</f>
        <v>#DIV/0!</v>
      </c>
      <c r="E743" s="9" t="e">
        <f t="shared" ref="E743:J743" si="345">1+E742/15</f>
        <v>#DIV/0!</v>
      </c>
      <c r="F743" s="9" t="e">
        <f t="shared" si="345"/>
        <v>#DIV/0!</v>
      </c>
      <c r="G743" s="9" t="e">
        <f t="shared" si="345"/>
        <v>#DIV/0!</v>
      </c>
      <c r="H743" s="9" t="e">
        <f t="shared" si="345"/>
        <v>#DIV/0!</v>
      </c>
      <c r="I743" s="9" t="e">
        <f t="shared" si="345"/>
        <v>#DIV/0!</v>
      </c>
      <c r="J743" s="9" t="e">
        <f t="shared" si="345"/>
        <v>#DIV/0!</v>
      </c>
      <c r="N743" s="829"/>
      <c r="O743" s="830"/>
      <c r="P743" s="170" t="s">
        <v>526</v>
      </c>
      <c r="Q743" s="172" t="s">
        <v>948</v>
      </c>
      <c r="R743" s="173">
        <f t="shared" ref="R743:AO743" si="346">0.34*($K$186*(0.8*$F$25-$K$187))</f>
        <v>0</v>
      </c>
      <c r="S743" s="173">
        <f t="shared" si="346"/>
        <v>0</v>
      </c>
      <c r="T743" s="173">
        <f t="shared" si="346"/>
        <v>0</v>
      </c>
      <c r="U743" s="173">
        <f t="shared" si="346"/>
        <v>0</v>
      </c>
      <c r="V743" s="173">
        <f t="shared" si="346"/>
        <v>0</v>
      </c>
      <c r="W743" s="173">
        <f t="shared" si="346"/>
        <v>0</v>
      </c>
      <c r="X743" s="173">
        <f t="shared" si="346"/>
        <v>0</v>
      </c>
      <c r="Y743" s="173">
        <f t="shared" si="346"/>
        <v>0</v>
      </c>
      <c r="Z743" s="173">
        <f t="shared" si="346"/>
        <v>0</v>
      </c>
      <c r="AA743" s="173">
        <f t="shared" si="346"/>
        <v>0</v>
      </c>
      <c r="AB743" s="173">
        <f t="shared" si="346"/>
        <v>0</v>
      </c>
      <c r="AC743" s="173">
        <f t="shared" si="346"/>
        <v>0</v>
      </c>
      <c r="AD743" s="173">
        <f t="shared" si="346"/>
        <v>0</v>
      </c>
      <c r="AE743" s="173">
        <f t="shared" si="346"/>
        <v>0</v>
      </c>
      <c r="AF743" s="173">
        <f t="shared" si="346"/>
        <v>0</v>
      </c>
      <c r="AG743" s="173">
        <f t="shared" si="346"/>
        <v>0</v>
      </c>
      <c r="AH743" s="173">
        <f t="shared" si="346"/>
        <v>0</v>
      </c>
      <c r="AI743" s="173">
        <f t="shared" si="346"/>
        <v>0</v>
      </c>
      <c r="AJ743" s="173">
        <f t="shared" si="346"/>
        <v>0</v>
      </c>
      <c r="AK743" s="173">
        <f t="shared" si="346"/>
        <v>0</v>
      </c>
      <c r="AL743" s="173">
        <f t="shared" si="346"/>
        <v>0</v>
      </c>
      <c r="AM743" s="173">
        <f t="shared" si="346"/>
        <v>0</v>
      </c>
      <c r="AN743" s="173">
        <f t="shared" si="346"/>
        <v>0</v>
      </c>
      <c r="AO743" s="173">
        <f t="shared" si="346"/>
        <v>0</v>
      </c>
      <c r="AP743" s="189"/>
    </row>
    <row r="744" spans="1:69" ht="18.600000000000001" hidden="1" x14ac:dyDescent="0.4">
      <c r="A744" s="815"/>
      <c r="B744" s="8" t="s">
        <v>263</v>
      </c>
      <c r="C744" s="13" t="s">
        <v>950</v>
      </c>
      <c r="D744" s="9" t="e">
        <f ca="1">D740/D738</f>
        <v>#DIV/0!</v>
      </c>
      <c r="E744" s="9" t="e">
        <f t="shared" ref="E744:J744" ca="1" si="347">E740/E738</f>
        <v>#DIV/0!</v>
      </c>
      <c r="F744" s="9" t="e">
        <f t="shared" ca="1" si="347"/>
        <v>#DIV/0!</v>
      </c>
      <c r="G744" s="9" t="e">
        <f t="shared" ca="1" si="347"/>
        <v>#DIV/0!</v>
      </c>
      <c r="H744" s="9" t="e">
        <f t="shared" ca="1" si="347"/>
        <v>#DIV/0!</v>
      </c>
      <c r="I744" s="9" t="e">
        <f t="shared" ca="1" si="347"/>
        <v>#DIV/0!</v>
      </c>
      <c r="J744" s="9" t="e">
        <f t="shared" ca="1" si="347"/>
        <v>#DIV/0!</v>
      </c>
      <c r="N744" s="829"/>
      <c r="O744" s="830"/>
      <c r="P744" s="174" t="s">
        <v>527</v>
      </c>
      <c r="Q744" s="175" t="s">
        <v>945</v>
      </c>
      <c r="R744" s="176">
        <f t="shared" ref="R744:AO744" ca="1" si="348">(1/1000)*(R743*($K$181-R738))*O$211</f>
        <v>0</v>
      </c>
      <c r="S744" s="176">
        <f t="shared" ca="1" si="348"/>
        <v>0</v>
      </c>
      <c r="T744" s="176">
        <f t="shared" ca="1" si="348"/>
        <v>0</v>
      </c>
      <c r="U744" s="176">
        <f t="shared" ca="1" si="348"/>
        <v>0</v>
      </c>
      <c r="V744" s="176">
        <f t="shared" ca="1" si="348"/>
        <v>0</v>
      </c>
      <c r="W744" s="176">
        <f t="shared" ca="1" si="348"/>
        <v>0</v>
      </c>
      <c r="X744" s="176">
        <f t="shared" ca="1" si="348"/>
        <v>0</v>
      </c>
      <c r="Y744" s="176">
        <f t="shared" ca="1" si="348"/>
        <v>0</v>
      </c>
      <c r="Z744" s="176">
        <f t="shared" ca="1" si="348"/>
        <v>0</v>
      </c>
      <c r="AA744" s="176">
        <f t="shared" ca="1" si="348"/>
        <v>0</v>
      </c>
      <c r="AB744" s="176">
        <f t="shared" ca="1" si="348"/>
        <v>0</v>
      </c>
      <c r="AC744" s="176">
        <f t="shared" ca="1" si="348"/>
        <v>0</v>
      </c>
      <c r="AD744" s="176">
        <f t="shared" ca="1" si="348"/>
        <v>0</v>
      </c>
      <c r="AE744" s="176">
        <f t="shared" ca="1" si="348"/>
        <v>0</v>
      </c>
      <c r="AF744" s="176">
        <f t="shared" ca="1" si="348"/>
        <v>0</v>
      </c>
      <c r="AG744" s="176">
        <f t="shared" ca="1" si="348"/>
        <v>0</v>
      </c>
      <c r="AH744" s="176">
        <f t="shared" ca="1" si="348"/>
        <v>0</v>
      </c>
      <c r="AI744" s="176">
        <f t="shared" ca="1" si="348"/>
        <v>0</v>
      </c>
      <c r="AJ744" s="176">
        <f t="shared" ca="1" si="348"/>
        <v>0</v>
      </c>
      <c r="AK744" s="176">
        <f t="shared" ca="1" si="348"/>
        <v>0</v>
      </c>
      <c r="AL744" s="176">
        <f t="shared" ca="1" si="348"/>
        <v>0</v>
      </c>
      <c r="AM744" s="260">
        <f t="shared" ca="1" si="348"/>
        <v>0</v>
      </c>
      <c r="AN744" s="208">
        <f t="shared" ca="1" si="348"/>
        <v>0</v>
      </c>
      <c r="AO744" s="273">
        <f t="shared" ca="1" si="348"/>
        <v>0</v>
      </c>
      <c r="AP744" s="188">
        <f ca="1">SUM(R744:AO744)</f>
        <v>0</v>
      </c>
    </row>
    <row r="745" spans="1:69" ht="18" hidden="1" x14ac:dyDescent="0.35">
      <c r="A745" s="815"/>
      <c r="B745" s="8" t="s">
        <v>939</v>
      </c>
      <c r="C745" s="13" t="s">
        <v>950</v>
      </c>
      <c r="D745" s="9" t="e">
        <f ca="1">IF(D744=1,D743/(D743+1),IF(D744&gt;0,(1-D744^D743)/(1-D744^(D743+1)),1/D744))</f>
        <v>#DIV/0!</v>
      </c>
      <c r="E745" s="9" t="e">
        <f t="shared" ref="E745:J745" ca="1" si="349">IF(E744=1,E743/(E743+1),IF(E744&gt;0,(1-E744^E743)/(1-E744^(E743+1)),1/E744))</f>
        <v>#DIV/0!</v>
      </c>
      <c r="F745" s="9" t="e">
        <f t="shared" ca="1" si="349"/>
        <v>#DIV/0!</v>
      </c>
      <c r="G745" s="9" t="e">
        <f t="shared" ca="1" si="349"/>
        <v>#DIV/0!</v>
      </c>
      <c r="H745" s="9" t="e">
        <f t="shared" ca="1" si="349"/>
        <v>#DIV/0!</v>
      </c>
      <c r="I745" s="9" t="e">
        <f t="shared" ca="1" si="349"/>
        <v>#DIV/0!</v>
      </c>
      <c r="J745" s="9" t="e">
        <f t="shared" ca="1" si="349"/>
        <v>#DIV/0!</v>
      </c>
      <c r="N745" s="829"/>
      <c r="O745" s="830"/>
      <c r="P745" s="177" t="s">
        <v>528</v>
      </c>
      <c r="Q745" s="178" t="s">
        <v>945</v>
      </c>
      <c r="R745" s="179" t="e">
        <f t="shared" ref="R745:AO745" ca="1" si="350">R744+R741</f>
        <v>#DIV/0!</v>
      </c>
      <c r="S745" s="179" t="e">
        <f t="shared" ca="1" si="350"/>
        <v>#DIV/0!</v>
      </c>
      <c r="T745" s="179" t="e">
        <f t="shared" ca="1" si="350"/>
        <v>#DIV/0!</v>
      </c>
      <c r="U745" s="179" t="e">
        <f t="shared" ca="1" si="350"/>
        <v>#DIV/0!</v>
      </c>
      <c r="V745" s="179" t="e">
        <f t="shared" ca="1" si="350"/>
        <v>#DIV/0!</v>
      </c>
      <c r="W745" s="179" t="e">
        <f t="shared" ca="1" si="350"/>
        <v>#DIV/0!</v>
      </c>
      <c r="X745" s="179" t="e">
        <f t="shared" ca="1" si="350"/>
        <v>#DIV/0!</v>
      </c>
      <c r="Y745" s="179" t="e">
        <f t="shared" ca="1" si="350"/>
        <v>#DIV/0!</v>
      </c>
      <c r="Z745" s="179" t="e">
        <f t="shared" ca="1" si="350"/>
        <v>#DIV/0!</v>
      </c>
      <c r="AA745" s="179" t="e">
        <f t="shared" ca="1" si="350"/>
        <v>#DIV/0!</v>
      </c>
      <c r="AB745" s="179" t="e">
        <f t="shared" ca="1" si="350"/>
        <v>#DIV/0!</v>
      </c>
      <c r="AC745" s="179" t="e">
        <f t="shared" ca="1" si="350"/>
        <v>#DIV/0!</v>
      </c>
      <c r="AD745" s="179" t="e">
        <f t="shared" ca="1" si="350"/>
        <v>#DIV/0!</v>
      </c>
      <c r="AE745" s="179" t="e">
        <f t="shared" ca="1" si="350"/>
        <v>#DIV/0!</v>
      </c>
      <c r="AF745" s="179" t="e">
        <f t="shared" ca="1" si="350"/>
        <v>#DIV/0!</v>
      </c>
      <c r="AG745" s="179" t="e">
        <f t="shared" ca="1" si="350"/>
        <v>#DIV/0!</v>
      </c>
      <c r="AH745" s="179" t="e">
        <f t="shared" ca="1" si="350"/>
        <v>#DIV/0!</v>
      </c>
      <c r="AI745" s="179" t="e">
        <f t="shared" ca="1" si="350"/>
        <v>#DIV/0!</v>
      </c>
      <c r="AJ745" s="179" t="e">
        <f t="shared" ca="1" si="350"/>
        <v>#DIV/0!</v>
      </c>
      <c r="AK745" s="179" t="e">
        <f t="shared" ca="1" si="350"/>
        <v>#DIV/0!</v>
      </c>
      <c r="AL745" s="179" t="e">
        <f t="shared" ca="1" si="350"/>
        <v>#DIV/0!</v>
      </c>
      <c r="AM745" s="261" t="e">
        <f t="shared" ca="1" si="350"/>
        <v>#DIV/0!</v>
      </c>
      <c r="AN745" s="293" t="e">
        <f t="shared" ca="1" si="350"/>
        <v>#DIV/0!</v>
      </c>
      <c r="AO745" s="274" t="e">
        <f t="shared" ca="1" si="350"/>
        <v>#DIV/0!</v>
      </c>
      <c r="AP745" s="190" t="e">
        <f ca="1">SUM(R745:AO745)</f>
        <v>#DIV/0!</v>
      </c>
    </row>
    <row r="746" spans="1:69" ht="18.600000000000001" hidden="1" x14ac:dyDescent="0.4">
      <c r="A746" s="815"/>
      <c r="B746" s="8" t="s">
        <v>857</v>
      </c>
      <c r="C746" s="22" t="s">
        <v>945</v>
      </c>
      <c r="D746" s="9" t="e">
        <f ca="1">D738-D745*D739</f>
        <v>#DIV/0!</v>
      </c>
      <c r="E746" s="9" t="e">
        <f t="shared" ref="E746:J746" ca="1" si="351">E738-E745*E739</f>
        <v>#DIV/0!</v>
      </c>
      <c r="F746" s="9" t="e">
        <f t="shared" ca="1" si="351"/>
        <v>#DIV/0!</v>
      </c>
      <c r="G746" s="9" t="e">
        <f t="shared" ca="1" si="351"/>
        <v>#DIV/0!</v>
      </c>
      <c r="H746" s="9" t="e">
        <f t="shared" ca="1" si="351"/>
        <v>#DIV/0!</v>
      </c>
      <c r="I746" s="9" t="e">
        <f t="shared" ca="1" si="351"/>
        <v>#DIV/0!</v>
      </c>
      <c r="J746" s="9" t="e">
        <f t="shared" ca="1" si="351"/>
        <v>#DIV/0!</v>
      </c>
      <c r="N746" s="829"/>
      <c r="O746" s="830"/>
      <c r="P746" s="177"/>
      <c r="Q746" s="178"/>
      <c r="R746" s="179"/>
      <c r="S746" s="179"/>
      <c r="T746" s="179"/>
      <c r="U746" s="179"/>
      <c r="V746" s="179"/>
      <c r="W746" s="179"/>
      <c r="X746" s="179"/>
      <c r="Y746" s="179"/>
      <c r="Z746" s="179"/>
      <c r="AA746" s="179"/>
      <c r="AB746" s="179"/>
      <c r="AC746" s="179"/>
      <c r="AD746" s="179"/>
      <c r="AE746" s="179"/>
      <c r="AF746" s="179"/>
      <c r="AG746" s="179"/>
      <c r="AH746" s="179"/>
      <c r="AI746" s="179"/>
      <c r="AJ746" s="179"/>
      <c r="AK746" s="179"/>
      <c r="AL746" s="179"/>
      <c r="AM746" s="261"/>
      <c r="AN746" s="293"/>
      <c r="AO746" s="274"/>
      <c r="AP746" s="190"/>
    </row>
    <row r="747" spans="1:69" ht="18.600000000000001" hidden="1" x14ac:dyDescent="0.4">
      <c r="A747" s="815"/>
      <c r="B747" s="8" t="s">
        <v>260</v>
      </c>
      <c r="C747" s="22" t="s">
        <v>945</v>
      </c>
      <c r="D747" s="9" t="e">
        <f ca="1">D738-D745*D740</f>
        <v>#DIV/0!</v>
      </c>
      <c r="E747" s="9" t="e">
        <f t="shared" ref="E747:J747" ca="1" si="352">E738-E745*E740</f>
        <v>#DIV/0!</v>
      </c>
      <c r="F747" s="9" t="e">
        <f t="shared" ca="1" si="352"/>
        <v>#DIV/0!</v>
      </c>
      <c r="G747" s="9" t="e">
        <f t="shared" ca="1" si="352"/>
        <v>#DIV/0!</v>
      </c>
      <c r="H747" s="9" t="e">
        <f t="shared" ca="1" si="352"/>
        <v>#DIV/0!</v>
      </c>
      <c r="I747" s="9" t="e">
        <f t="shared" ca="1" si="352"/>
        <v>#DIV/0!</v>
      </c>
      <c r="J747" s="9" t="e">
        <f t="shared" ca="1" si="352"/>
        <v>#DIV/0!</v>
      </c>
      <c r="N747" s="829"/>
      <c r="O747" s="830"/>
      <c r="P747" s="177" t="s">
        <v>529</v>
      </c>
      <c r="Q747" s="178" t="s">
        <v>945</v>
      </c>
      <c r="R747" s="179">
        <f t="shared" ref="R747:AC747" si="353">IF($O$617=1,(1/1000)*(0.34*A$641)*($K$181-R738)*O$367*R742,0)</f>
        <v>0</v>
      </c>
      <c r="S747" s="179">
        <f t="shared" si="353"/>
        <v>0</v>
      </c>
      <c r="T747" s="179">
        <f t="shared" si="353"/>
        <v>0</v>
      </c>
      <c r="U747" s="179">
        <f t="shared" si="353"/>
        <v>0</v>
      </c>
      <c r="V747" s="179">
        <f t="shared" si="353"/>
        <v>0</v>
      </c>
      <c r="W747" s="179">
        <f t="shared" si="353"/>
        <v>0</v>
      </c>
      <c r="X747" s="179">
        <f t="shared" si="353"/>
        <v>0</v>
      </c>
      <c r="Y747" s="179">
        <f t="shared" si="353"/>
        <v>0</v>
      </c>
      <c r="Z747" s="179">
        <f t="shared" si="353"/>
        <v>0</v>
      </c>
      <c r="AA747" s="179">
        <f t="shared" si="353"/>
        <v>0</v>
      </c>
      <c r="AB747" s="179">
        <f t="shared" si="353"/>
        <v>0</v>
      </c>
      <c r="AC747" s="179">
        <f t="shared" si="353"/>
        <v>0</v>
      </c>
      <c r="AD747" s="179">
        <f t="shared" ref="AD747:AO747" si="354">IF($O$617=1,(1/1000)*(0.34*N$641)*($K$181-AD738)*AA$367*AD742,0)</f>
        <v>0</v>
      </c>
      <c r="AE747" s="179">
        <f t="shared" si="354"/>
        <v>0</v>
      </c>
      <c r="AF747" s="179">
        <f t="shared" si="354"/>
        <v>0</v>
      </c>
      <c r="AG747" s="179">
        <f t="shared" si="354"/>
        <v>0</v>
      </c>
      <c r="AH747" s="179">
        <f t="shared" si="354"/>
        <v>0</v>
      </c>
      <c r="AI747" s="179">
        <f t="shared" si="354"/>
        <v>0</v>
      </c>
      <c r="AJ747" s="179">
        <f t="shared" si="354"/>
        <v>0</v>
      </c>
      <c r="AK747" s="179">
        <f t="shared" si="354"/>
        <v>0</v>
      </c>
      <c r="AL747" s="179">
        <f t="shared" si="354"/>
        <v>0</v>
      </c>
      <c r="AM747" s="261">
        <f t="shared" si="354"/>
        <v>0</v>
      </c>
      <c r="AN747" s="293">
        <f t="shared" si="354"/>
        <v>0</v>
      </c>
      <c r="AO747" s="274">
        <f t="shared" si="354"/>
        <v>0</v>
      </c>
      <c r="AP747" s="190">
        <f>SUM(R747:AO747)</f>
        <v>0</v>
      </c>
    </row>
    <row r="748" spans="1:69" ht="19.5" hidden="1" customHeight="1" x14ac:dyDescent="0.4">
      <c r="A748" s="815"/>
      <c r="B748" s="8" t="s">
        <v>855</v>
      </c>
      <c r="C748" s="22" t="s">
        <v>945</v>
      </c>
      <c r="D748" s="813" t="e">
        <f ca="1">SUM(D746:J746)*K195</f>
        <v>#DIV/0!</v>
      </c>
      <c r="E748" s="813"/>
      <c r="F748" s="813"/>
      <c r="G748" s="813"/>
      <c r="H748" s="813"/>
      <c r="I748" s="813"/>
      <c r="J748" s="813"/>
      <c r="N748" s="829"/>
      <c r="O748" s="830"/>
      <c r="P748" s="177"/>
      <c r="Q748" s="178"/>
      <c r="R748" s="179"/>
      <c r="S748" s="179"/>
      <c r="T748" s="179"/>
      <c r="U748" s="179"/>
      <c r="V748" s="179"/>
      <c r="W748" s="179"/>
      <c r="X748" s="179"/>
      <c r="Y748" s="179"/>
      <c r="Z748" s="179"/>
      <c r="AA748" s="179"/>
      <c r="AB748" s="179"/>
      <c r="AC748" s="179"/>
      <c r="AD748" s="179"/>
      <c r="AE748" s="179"/>
      <c r="AF748" s="179"/>
      <c r="AG748" s="179"/>
      <c r="AH748" s="179"/>
      <c r="AI748" s="179"/>
      <c r="AJ748" s="179"/>
      <c r="AK748" s="179"/>
      <c r="AL748" s="179"/>
      <c r="AM748" s="261"/>
      <c r="AN748" s="293"/>
      <c r="AO748" s="274"/>
      <c r="AP748" s="190"/>
    </row>
    <row r="749" spans="1:69" ht="19.5" hidden="1" customHeight="1" x14ac:dyDescent="0.4">
      <c r="A749" s="815"/>
      <c r="B749" s="8" t="s">
        <v>856</v>
      </c>
      <c r="C749" s="22" t="s">
        <v>945</v>
      </c>
      <c r="D749" s="813" t="e">
        <f ca="1">(K$190/K$189)*D748</f>
        <v>#DIV/0!</v>
      </c>
      <c r="E749" s="813"/>
      <c r="F749" s="813"/>
      <c r="G749" s="813"/>
      <c r="H749" s="813"/>
      <c r="I749" s="813"/>
      <c r="J749" s="813"/>
      <c r="N749" s="829"/>
      <c r="O749" s="830"/>
      <c r="P749" s="177"/>
      <c r="Q749" s="178"/>
      <c r="R749" s="179"/>
      <c r="S749" s="179"/>
      <c r="T749" s="179"/>
      <c r="U749" s="179"/>
      <c r="V749" s="179"/>
      <c r="W749" s="179"/>
      <c r="X749" s="179"/>
      <c r="Y749" s="179"/>
      <c r="Z749" s="179"/>
      <c r="AA749" s="179"/>
      <c r="AB749" s="179"/>
      <c r="AC749" s="179"/>
      <c r="AD749" s="179"/>
      <c r="AE749" s="179"/>
      <c r="AF749" s="179"/>
      <c r="AG749" s="179"/>
      <c r="AH749" s="179"/>
      <c r="AI749" s="179"/>
      <c r="AJ749" s="179"/>
      <c r="AK749" s="179"/>
      <c r="AL749" s="179"/>
      <c r="AM749" s="261"/>
      <c r="AN749" s="293"/>
      <c r="AO749" s="274"/>
      <c r="AP749" s="190"/>
    </row>
    <row r="750" spans="1:69" ht="18.600000000000001" x14ac:dyDescent="0.4">
      <c r="A750" s="815"/>
      <c r="B750" s="8" t="s">
        <v>267</v>
      </c>
      <c r="C750" s="22" t="s">
        <v>945</v>
      </c>
      <c r="D750" s="807" t="e">
        <f ca="1">SUM(D747:J747)*K195</f>
        <v>#DIV/0!</v>
      </c>
      <c r="E750" s="807"/>
      <c r="F750" s="807"/>
      <c r="G750" s="807"/>
      <c r="H750" s="807"/>
      <c r="I750" s="807"/>
      <c r="J750" s="807"/>
      <c r="N750" s="829"/>
      <c r="O750" s="830"/>
      <c r="P750" s="174" t="s">
        <v>530</v>
      </c>
      <c r="Q750" s="175" t="s">
        <v>945</v>
      </c>
      <c r="R750" s="176">
        <f t="shared" ref="R750:AO750" ca="1" si="355">(1/1000)*($L$697+$L$698)*O$237</f>
        <v>6.4960000000000004</v>
      </c>
      <c r="S750" s="176">
        <f t="shared" ca="1" si="355"/>
        <v>6.4960000000000004</v>
      </c>
      <c r="T750" s="176">
        <f t="shared" ca="1" si="355"/>
        <v>6.4960000000000004</v>
      </c>
      <c r="U750" s="176">
        <f t="shared" ca="1" si="355"/>
        <v>6.4960000000000004</v>
      </c>
      <c r="V750" s="176">
        <f t="shared" ca="1" si="355"/>
        <v>6.4960000000000004</v>
      </c>
      <c r="W750" s="176">
        <f t="shared" ca="1" si="355"/>
        <v>6.4960000000000004</v>
      </c>
      <c r="X750" s="176">
        <f t="shared" ca="1" si="355"/>
        <v>6.4960000000000004</v>
      </c>
      <c r="Y750" s="176">
        <f t="shared" ca="1" si="355"/>
        <v>6.4960000000000004</v>
      </c>
      <c r="Z750" s="176">
        <f t="shared" ca="1" si="355"/>
        <v>6.4960000000000004</v>
      </c>
      <c r="AA750" s="176">
        <f t="shared" ca="1" si="355"/>
        <v>6.4960000000000004</v>
      </c>
      <c r="AB750" s="176">
        <f t="shared" ca="1" si="355"/>
        <v>6.4960000000000004</v>
      </c>
      <c r="AC750" s="176">
        <f t="shared" ca="1" si="355"/>
        <v>6.4960000000000004</v>
      </c>
      <c r="AD750" s="176">
        <f t="shared" ca="1" si="355"/>
        <v>6.4960000000000004</v>
      </c>
      <c r="AE750" s="176">
        <f t="shared" ca="1" si="355"/>
        <v>6.4960000000000004</v>
      </c>
      <c r="AF750" s="176">
        <f t="shared" ca="1" si="355"/>
        <v>6.4960000000000004</v>
      </c>
      <c r="AG750" s="176">
        <f t="shared" ca="1" si="355"/>
        <v>6.4960000000000004</v>
      </c>
      <c r="AH750" s="176">
        <f t="shared" ca="1" si="355"/>
        <v>6.4960000000000004</v>
      </c>
      <c r="AI750" s="176">
        <f t="shared" ca="1" si="355"/>
        <v>6.4960000000000004</v>
      </c>
      <c r="AJ750" s="176">
        <f t="shared" ca="1" si="355"/>
        <v>6.4960000000000004</v>
      </c>
      <c r="AK750" s="176">
        <f t="shared" ca="1" si="355"/>
        <v>6.4960000000000004</v>
      </c>
      <c r="AL750" s="176">
        <f t="shared" ca="1" si="355"/>
        <v>6.4960000000000004</v>
      </c>
      <c r="AM750" s="260">
        <f t="shared" ca="1" si="355"/>
        <v>6.4960000000000004</v>
      </c>
      <c r="AN750" s="208">
        <f t="shared" ca="1" si="355"/>
        <v>6.4960000000000004</v>
      </c>
      <c r="AO750" s="273">
        <f t="shared" ca="1" si="355"/>
        <v>6.4960000000000004</v>
      </c>
      <c r="AP750" s="188">
        <f ca="1">SUM(R750:AO750)</f>
        <v>155.904</v>
      </c>
    </row>
    <row r="751" spans="1:69" ht="18.600000000000001" x14ac:dyDescent="0.4">
      <c r="A751" s="815"/>
      <c r="B751" s="8" t="s">
        <v>282</v>
      </c>
      <c r="C751" s="22" t="s">
        <v>945</v>
      </c>
      <c r="D751" s="807" t="e">
        <f ca="1">(K$190/K$189)*D750</f>
        <v>#DIV/0!</v>
      </c>
      <c r="E751" s="807"/>
      <c r="F751" s="807"/>
      <c r="G751" s="807"/>
      <c r="H751" s="807"/>
      <c r="I751" s="807"/>
      <c r="J751" s="807"/>
      <c r="N751" s="829" t="s">
        <v>175</v>
      </c>
      <c r="O751" s="830">
        <v>11</v>
      </c>
      <c r="P751" s="170" t="s">
        <v>522</v>
      </c>
      <c r="Q751" s="172" t="s">
        <v>946</v>
      </c>
      <c r="R751" s="173">
        <f ca="1">'Климатични зони'!D19</f>
        <v>9.4</v>
      </c>
      <c r="S751" s="173">
        <f ca="1">'Климатични зони'!E19</f>
        <v>9.4</v>
      </c>
      <c r="T751" s="173">
        <f ca="1">'Климатични зони'!F19</f>
        <v>9.4</v>
      </c>
      <c r="U751" s="173">
        <f ca="1">'Климатични зони'!G19</f>
        <v>9.4</v>
      </c>
      <c r="V751" s="173">
        <f ca="1">'Климатични зони'!H19</f>
        <v>9.4</v>
      </c>
      <c r="W751" s="173">
        <f ca="1">'Климатични зони'!I19</f>
        <v>9.4</v>
      </c>
      <c r="X751" s="173">
        <f ca="1">'Климатични зони'!J19</f>
        <v>9.4</v>
      </c>
      <c r="Y751" s="173">
        <f ca="1">'Климатични зони'!K19</f>
        <v>9.4</v>
      </c>
      <c r="Z751" s="173">
        <f ca="1">'Климатични зони'!L19</f>
        <v>9.4</v>
      </c>
      <c r="AA751" s="173">
        <f ca="1">'Климатични зони'!M19</f>
        <v>9.4</v>
      </c>
      <c r="AB751" s="173">
        <f ca="1">'Климатични зони'!N19</f>
        <v>9.4</v>
      </c>
      <c r="AC751" s="173">
        <f ca="1">'Климатични зони'!O19</f>
        <v>9.4</v>
      </c>
      <c r="AD751" s="173">
        <f ca="1">'Климатични зони'!P19</f>
        <v>9.4</v>
      </c>
      <c r="AE751" s="173">
        <f ca="1">'Климатични зони'!Q19</f>
        <v>9.4</v>
      </c>
      <c r="AF751" s="173">
        <f ca="1">'Климатични зони'!R19</f>
        <v>9.4</v>
      </c>
      <c r="AG751" s="173">
        <f ca="1">'Климатични зони'!S19</f>
        <v>9.4</v>
      </c>
      <c r="AH751" s="173">
        <f ca="1">'Климатични зони'!T19</f>
        <v>9.4</v>
      </c>
      <c r="AI751" s="173">
        <f ca="1">'Климатични зони'!U19</f>
        <v>9.4</v>
      </c>
      <c r="AJ751" s="173">
        <f ca="1">'Климатични зони'!V19</f>
        <v>9.4</v>
      </c>
      <c r="AK751" s="173">
        <f ca="1">'Климатични зони'!W19</f>
        <v>9.4</v>
      </c>
      <c r="AL751" s="173">
        <f ca="1">'Климатични зони'!X19</f>
        <v>9.4</v>
      </c>
      <c r="AM751" s="259">
        <f ca="1">'Климатични зони'!Y19</f>
        <v>9.4</v>
      </c>
      <c r="AN751" s="207">
        <f ca="1">'Климатични зони'!Z19</f>
        <v>9.4</v>
      </c>
      <c r="AO751" s="254">
        <f ca="1">'Климатични зони'!AA19</f>
        <v>9.4</v>
      </c>
      <c r="AP751" s="189"/>
      <c r="AQ751" s="45" t="s">
        <v>406</v>
      </c>
      <c r="AR751" s="55">
        <f ca="1">'Климатични зони'!AI9</f>
        <v>9.4</v>
      </c>
      <c r="AS751" s="206" t="s">
        <v>594</v>
      </c>
      <c r="AT751" s="43">
        <f ca="1">1.006*($AR751)+$AR754*(1.805*($AR751)+2501)</f>
        <v>26.915494367904074</v>
      </c>
      <c r="AU751" s="43">
        <f t="shared" ref="AU751:BQ751" ca="1" si="356">1.006*($AR751)+$AR754*(1.805*($AR751)+2501)</f>
        <v>26.915494367904074</v>
      </c>
      <c r="AV751" s="43">
        <f t="shared" ca="1" si="356"/>
        <v>26.915494367904074</v>
      </c>
      <c r="AW751" s="43">
        <f t="shared" ca="1" si="356"/>
        <v>26.915494367904074</v>
      </c>
      <c r="AX751" s="43">
        <f t="shared" ca="1" si="356"/>
        <v>26.915494367904074</v>
      </c>
      <c r="AY751" s="43">
        <f t="shared" ca="1" si="356"/>
        <v>26.915494367904074</v>
      </c>
      <c r="AZ751" s="43">
        <f t="shared" ca="1" si="356"/>
        <v>26.915494367904074</v>
      </c>
      <c r="BA751" s="43">
        <f t="shared" ca="1" si="356"/>
        <v>26.915494367904074</v>
      </c>
      <c r="BB751" s="43">
        <f t="shared" ca="1" si="356"/>
        <v>26.915494367904074</v>
      </c>
      <c r="BC751" s="43">
        <f t="shared" ca="1" si="356"/>
        <v>26.915494367904074</v>
      </c>
      <c r="BD751" s="43">
        <f t="shared" ca="1" si="356"/>
        <v>26.915494367904074</v>
      </c>
      <c r="BE751" s="43">
        <f t="shared" ca="1" si="356"/>
        <v>26.915494367904074</v>
      </c>
      <c r="BF751" s="43">
        <f t="shared" ca="1" si="356"/>
        <v>26.915494367904074</v>
      </c>
      <c r="BG751" s="43">
        <f t="shared" ca="1" si="356"/>
        <v>26.915494367904074</v>
      </c>
      <c r="BH751" s="43">
        <f t="shared" ca="1" si="356"/>
        <v>26.915494367904074</v>
      </c>
      <c r="BI751" s="43">
        <f t="shared" ca="1" si="356"/>
        <v>26.915494367904074</v>
      </c>
      <c r="BJ751" s="43">
        <f t="shared" ca="1" si="356"/>
        <v>26.915494367904074</v>
      </c>
      <c r="BK751" s="43">
        <f t="shared" ca="1" si="356"/>
        <v>26.915494367904074</v>
      </c>
      <c r="BL751" s="43">
        <f t="shared" ca="1" si="356"/>
        <v>26.915494367904074</v>
      </c>
      <c r="BM751" s="43">
        <f t="shared" ca="1" si="356"/>
        <v>26.915494367904074</v>
      </c>
      <c r="BN751" s="43">
        <f t="shared" ca="1" si="356"/>
        <v>26.915494367904074</v>
      </c>
      <c r="BO751" s="43">
        <f t="shared" ca="1" si="356"/>
        <v>26.915494367904074</v>
      </c>
      <c r="BP751" s="43">
        <f t="shared" ca="1" si="356"/>
        <v>26.915494367904074</v>
      </c>
      <c r="BQ751" s="43">
        <f t="shared" ca="1" si="356"/>
        <v>26.915494367904074</v>
      </c>
    </row>
    <row r="752" spans="1:69" ht="18" x14ac:dyDescent="0.35">
      <c r="N752" s="829"/>
      <c r="O752" s="830"/>
      <c r="P752" s="170" t="s">
        <v>523</v>
      </c>
      <c r="Q752" s="172" t="s">
        <v>948</v>
      </c>
      <c r="R752" s="173">
        <f t="shared" ref="R752:AO752" ca="1" si="357">((1/($K$181-R751))*(((-$E$614)*5*COS(2*3.14*(($O751-1)/12))+($F$614*7.5*COS(2*3.14*(($O751-1-1)/12))))))</f>
        <v>-8.0896713050659167E-43</v>
      </c>
      <c r="S752" s="173">
        <f t="shared" ca="1" si="357"/>
        <v>-8.0896713050659167E-43</v>
      </c>
      <c r="T752" s="173">
        <f t="shared" ca="1" si="357"/>
        <v>-8.0896713050659167E-43</v>
      </c>
      <c r="U752" s="173">
        <f t="shared" ca="1" si="357"/>
        <v>-8.0896713050659167E-43</v>
      </c>
      <c r="V752" s="173">
        <f t="shared" ca="1" si="357"/>
        <v>-8.0896713050659167E-43</v>
      </c>
      <c r="W752" s="173">
        <f t="shared" ca="1" si="357"/>
        <v>-8.0896713050659167E-43</v>
      </c>
      <c r="X752" s="173">
        <f t="shared" ca="1" si="357"/>
        <v>-8.0896713050659167E-43</v>
      </c>
      <c r="Y752" s="173">
        <f t="shared" ca="1" si="357"/>
        <v>-8.0896713050659167E-43</v>
      </c>
      <c r="Z752" s="173">
        <f t="shared" ca="1" si="357"/>
        <v>-8.0896713050659167E-43</v>
      </c>
      <c r="AA752" s="173">
        <f t="shared" ca="1" si="357"/>
        <v>-8.0896713050659167E-43</v>
      </c>
      <c r="AB752" s="173">
        <f t="shared" ca="1" si="357"/>
        <v>-8.0896713050659167E-43</v>
      </c>
      <c r="AC752" s="173">
        <f t="shared" ca="1" si="357"/>
        <v>-8.0896713050659167E-43</v>
      </c>
      <c r="AD752" s="173">
        <f t="shared" ca="1" si="357"/>
        <v>-8.0896713050659167E-43</v>
      </c>
      <c r="AE752" s="173">
        <f t="shared" ca="1" si="357"/>
        <v>-8.0896713050659167E-43</v>
      </c>
      <c r="AF752" s="173">
        <f t="shared" ca="1" si="357"/>
        <v>-8.0896713050659167E-43</v>
      </c>
      <c r="AG752" s="173">
        <f t="shared" ca="1" si="357"/>
        <v>-8.0896713050659167E-43</v>
      </c>
      <c r="AH752" s="173">
        <f t="shared" ca="1" si="357"/>
        <v>-8.0896713050659167E-43</v>
      </c>
      <c r="AI752" s="173">
        <f t="shared" ca="1" si="357"/>
        <v>-8.0896713050659167E-43</v>
      </c>
      <c r="AJ752" s="173">
        <f t="shared" ca="1" si="357"/>
        <v>-8.0896713050659167E-43</v>
      </c>
      <c r="AK752" s="173">
        <f t="shared" ca="1" si="357"/>
        <v>-8.0896713050659167E-43</v>
      </c>
      <c r="AL752" s="173">
        <f t="shared" ca="1" si="357"/>
        <v>-8.0896713050659167E-43</v>
      </c>
      <c r="AM752" s="259">
        <f t="shared" ca="1" si="357"/>
        <v>-8.0896713050659167E-43</v>
      </c>
      <c r="AN752" s="207">
        <f t="shared" ca="1" si="357"/>
        <v>-8.0896713050659167E-43</v>
      </c>
      <c r="AO752" s="254">
        <f t="shared" ca="1" si="357"/>
        <v>-8.0896713050659167E-43</v>
      </c>
      <c r="AP752" s="189"/>
      <c r="AQ752" s="183" t="s">
        <v>531</v>
      </c>
      <c r="AR752" s="43">
        <v>95</v>
      </c>
      <c r="AT752" s="43">
        <f t="shared" ref="AT752:BQ752" ca="1" si="358">(-$K$851*AT751+$K$852*$K$849)</f>
        <v>12.358333949712822</v>
      </c>
      <c r="AU752" s="43">
        <f t="shared" ca="1" si="358"/>
        <v>12.358333949712822</v>
      </c>
      <c r="AV752" s="43">
        <f t="shared" ca="1" si="358"/>
        <v>12.358333949712822</v>
      </c>
      <c r="AW752" s="43">
        <f t="shared" ca="1" si="358"/>
        <v>12.358333949712822</v>
      </c>
      <c r="AX752" s="43">
        <f t="shared" ca="1" si="358"/>
        <v>12.358333949712822</v>
      </c>
      <c r="AY752" s="43">
        <f t="shared" ca="1" si="358"/>
        <v>12.358333949712822</v>
      </c>
      <c r="AZ752" s="43">
        <f t="shared" ca="1" si="358"/>
        <v>12.358333949712822</v>
      </c>
      <c r="BA752" s="43">
        <f t="shared" ca="1" si="358"/>
        <v>12.358333949712822</v>
      </c>
      <c r="BB752" s="43">
        <f t="shared" ca="1" si="358"/>
        <v>12.358333949712822</v>
      </c>
      <c r="BC752" s="43">
        <f t="shared" ca="1" si="358"/>
        <v>12.358333949712822</v>
      </c>
      <c r="BD752" s="43">
        <f t="shared" ca="1" si="358"/>
        <v>12.358333949712822</v>
      </c>
      <c r="BE752" s="43">
        <f t="shared" ca="1" si="358"/>
        <v>12.358333949712822</v>
      </c>
      <c r="BF752" s="43">
        <f t="shared" ca="1" si="358"/>
        <v>12.358333949712822</v>
      </c>
      <c r="BG752" s="43">
        <f t="shared" ca="1" si="358"/>
        <v>12.358333949712822</v>
      </c>
      <c r="BH752" s="43">
        <f t="shared" ca="1" si="358"/>
        <v>12.358333949712822</v>
      </c>
      <c r="BI752" s="43">
        <f t="shared" ca="1" si="358"/>
        <v>12.358333949712822</v>
      </c>
      <c r="BJ752" s="43">
        <f t="shared" ca="1" si="358"/>
        <v>12.358333949712822</v>
      </c>
      <c r="BK752" s="43">
        <f t="shared" ca="1" si="358"/>
        <v>12.358333949712822</v>
      </c>
      <c r="BL752" s="43">
        <f t="shared" ca="1" si="358"/>
        <v>12.358333949712822</v>
      </c>
      <c r="BM752" s="43">
        <f t="shared" ca="1" si="358"/>
        <v>12.358333949712822</v>
      </c>
      <c r="BN752" s="43">
        <f t="shared" ca="1" si="358"/>
        <v>12.358333949712822</v>
      </c>
      <c r="BO752" s="43">
        <f t="shared" ca="1" si="358"/>
        <v>12.358333949712822</v>
      </c>
      <c r="BP752" s="43">
        <f t="shared" ca="1" si="358"/>
        <v>12.358333949712822</v>
      </c>
      <c r="BQ752" s="43">
        <f t="shared" ca="1" si="358"/>
        <v>12.358333949712822</v>
      </c>
    </row>
    <row r="753" spans="1:69" ht="20.399999999999999" x14ac:dyDescent="0.45">
      <c r="A753" s="667" t="s">
        <v>622</v>
      </c>
      <c r="B753" s="667"/>
      <c r="C753" s="667"/>
      <c r="D753" s="667"/>
      <c r="E753" s="667"/>
      <c r="F753" s="667"/>
      <c r="G753" s="667"/>
      <c r="H753" s="782"/>
      <c r="I753" s="589"/>
      <c r="J753" s="589"/>
      <c r="K753" s="589"/>
      <c r="L753" s="589"/>
      <c r="N753" s="829"/>
      <c r="O753" s="830"/>
      <c r="P753" s="174" t="s">
        <v>524</v>
      </c>
      <c r="Q753" s="175" t="s">
        <v>945</v>
      </c>
      <c r="R753" s="176" t="e">
        <f t="shared" ref="R753:AO753" ca="1" si="359">(1/1000)*(($K$455+R752)*($K$181-R751))*O$212</f>
        <v>#DIV/0!</v>
      </c>
      <c r="S753" s="176" t="e">
        <f t="shared" ca="1" si="359"/>
        <v>#DIV/0!</v>
      </c>
      <c r="T753" s="176" t="e">
        <f t="shared" ca="1" si="359"/>
        <v>#DIV/0!</v>
      </c>
      <c r="U753" s="176" t="e">
        <f t="shared" ca="1" si="359"/>
        <v>#DIV/0!</v>
      </c>
      <c r="V753" s="176" t="e">
        <f t="shared" ca="1" si="359"/>
        <v>#DIV/0!</v>
      </c>
      <c r="W753" s="176" t="e">
        <f t="shared" ca="1" si="359"/>
        <v>#DIV/0!</v>
      </c>
      <c r="X753" s="176" t="e">
        <f t="shared" ca="1" si="359"/>
        <v>#DIV/0!</v>
      </c>
      <c r="Y753" s="176" t="e">
        <f t="shared" ca="1" si="359"/>
        <v>#DIV/0!</v>
      </c>
      <c r="Z753" s="176" t="e">
        <f t="shared" ca="1" si="359"/>
        <v>#DIV/0!</v>
      </c>
      <c r="AA753" s="176" t="e">
        <f t="shared" ca="1" si="359"/>
        <v>#DIV/0!</v>
      </c>
      <c r="AB753" s="176" t="e">
        <f t="shared" ca="1" si="359"/>
        <v>#DIV/0!</v>
      </c>
      <c r="AC753" s="176" t="e">
        <f t="shared" ca="1" si="359"/>
        <v>#DIV/0!</v>
      </c>
      <c r="AD753" s="176" t="e">
        <f t="shared" ca="1" si="359"/>
        <v>#DIV/0!</v>
      </c>
      <c r="AE753" s="176" t="e">
        <f t="shared" ca="1" si="359"/>
        <v>#DIV/0!</v>
      </c>
      <c r="AF753" s="176" t="e">
        <f t="shared" ca="1" si="359"/>
        <v>#DIV/0!</v>
      </c>
      <c r="AG753" s="176" t="e">
        <f t="shared" ca="1" si="359"/>
        <v>#DIV/0!</v>
      </c>
      <c r="AH753" s="176" t="e">
        <f t="shared" ca="1" si="359"/>
        <v>#DIV/0!</v>
      </c>
      <c r="AI753" s="176" t="e">
        <f t="shared" ca="1" si="359"/>
        <v>#DIV/0!</v>
      </c>
      <c r="AJ753" s="176" t="e">
        <f t="shared" ca="1" si="359"/>
        <v>#DIV/0!</v>
      </c>
      <c r="AK753" s="176" t="e">
        <f t="shared" ca="1" si="359"/>
        <v>#DIV/0!</v>
      </c>
      <c r="AL753" s="176" t="e">
        <f t="shared" ca="1" si="359"/>
        <v>#DIV/0!</v>
      </c>
      <c r="AM753" s="260" t="e">
        <f t="shared" ca="1" si="359"/>
        <v>#DIV/0!</v>
      </c>
      <c r="AN753" s="208" t="e">
        <f t="shared" ca="1" si="359"/>
        <v>#DIV/0!</v>
      </c>
      <c r="AO753" s="273" t="e">
        <f t="shared" ca="1" si="359"/>
        <v>#DIV/0!</v>
      </c>
      <c r="AP753" s="188" t="e">
        <f ca="1">SUM(R753:AO753)</f>
        <v>#DIV/0!</v>
      </c>
      <c r="AQ753" s="173" t="s">
        <v>532</v>
      </c>
      <c r="AR753" s="196">
        <f ca="1">(2.71828^(77.345+0.0057*(273.15+AR751)-7235/(273.15+AR751)))/((273.15+AR751)^8.2)</f>
        <v>1175.9085741550819</v>
      </c>
      <c r="AT753" s="43">
        <f t="shared" ref="AT753:BQ753" ca="1" si="360">IF(AT752*O368&lt;0,0,AT752*O368)</f>
        <v>0</v>
      </c>
      <c r="AU753" s="43">
        <f t="shared" ca="1" si="360"/>
        <v>0</v>
      </c>
      <c r="AV753" s="43">
        <f t="shared" ca="1" si="360"/>
        <v>0</v>
      </c>
      <c r="AW753" s="43">
        <f t="shared" ca="1" si="360"/>
        <v>0</v>
      </c>
      <c r="AX753" s="43">
        <f t="shared" ca="1" si="360"/>
        <v>0</v>
      </c>
      <c r="AY753" s="43">
        <f t="shared" ca="1" si="360"/>
        <v>0</v>
      </c>
      <c r="AZ753" s="43">
        <f t="shared" ca="1" si="360"/>
        <v>0</v>
      </c>
      <c r="BA753" s="43">
        <f t="shared" ca="1" si="360"/>
        <v>0</v>
      </c>
      <c r="BB753" s="43">
        <f t="shared" ca="1" si="360"/>
        <v>0</v>
      </c>
      <c r="BC753" s="43">
        <f t="shared" ca="1" si="360"/>
        <v>0</v>
      </c>
      <c r="BD753" s="43">
        <f t="shared" ca="1" si="360"/>
        <v>0</v>
      </c>
      <c r="BE753" s="43">
        <f t="shared" ca="1" si="360"/>
        <v>0</v>
      </c>
      <c r="BF753" s="43">
        <f t="shared" ca="1" si="360"/>
        <v>0</v>
      </c>
      <c r="BG753" s="43">
        <f t="shared" ca="1" si="360"/>
        <v>0</v>
      </c>
      <c r="BH753" s="43">
        <f t="shared" ca="1" si="360"/>
        <v>0</v>
      </c>
      <c r="BI753" s="43">
        <f t="shared" ca="1" si="360"/>
        <v>0</v>
      </c>
      <c r="BJ753" s="43">
        <f t="shared" ca="1" si="360"/>
        <v>0</v>
      </c>
      <c r="BK753" s="43">
        <f t="shared" ca="1" si="360"/>
        <v>0</v>
      </c>
      <c r="BL753" s="43">
        <f t="shared" ca="1" si="360"/>
        <v>0</v>
      </c>
      <c r="BM753" s="43">
        <f t="shared" ca="1" si="360"/>
        <v>0</v>
      </c>
      <c r="BN753" s="43">
        <f t="shared" ca="1" si="360"/>
        <v>0</v>
      </c>
      <c r="BO753" s="43">
        <f t="shared" ca="1" si="360"/>
        <v>0</v>
      </c>
      <c r="BP753" s="43">
        <f t="shared" ca="1" si="360"/>
        <v>0</v>
      </c>
      <c r="BQ753" s="43">
        <f t="shared" ca="1" si="360"/>
        <v>0</v>
      </c>
    </row>
    <row r="754" spans="1:69" ht="18" x14ac:dyDescent="0.35">
      <c r="A754" s="667" t="s">
        <v>623</v>
      </c>
      <c r="B754" s="667"/>
      <c r="C754" s="667"/>
      <c r="D754" s="667"/>
      <c r="E754" s="667"/>
      <c r="F754" s="667"/>
      <c r="G754" s="667"/>
      <c r="H754" s="782"/>
      <c r="I754" s="589"/>
      <c r="J754" s="589"/>
      <c r="K754" s="589"/>
      <c r="L754" s="589"/>
      <c r="N754" s="829"/>
      <c r="O754" s="830"/>
      <c r="P754" s="170" t="s">
        <v>525</v>
      </c>
      <c r="Q754" s="172" t="s">
        <v>950</v>
      </c>
      <c r="R754" s="173">
        <f t="shared" ref="R754:AO754" ca="1" si="361">IF(($K$181-$L$647)/($K$181-R751)=0,1,($K$181-$L$647)/($K$181-R751))</f>
        <v>1</v>
      </c>
      <c r="S754" s="173">
        <f t="shared" ca="1" si="361"/>
        <v>1</v>
      </c>
      <c r="T754" s="173">
        <f t="shared" ca="1" si="361"/>
        <v>1</v>
      </c>
      <c r="U754" s="173">
        <f t="shared" ca="1" si="361"/>
        <v>1</v>
      </c>
      <c r="V754" s="173">
        <f t="shared" ca="1" si="361"/>
        <v>1</v>
      </c>
      <c r="W754" s="173">
        <f t="shared" ca="1" si="361"/>
        <v>1</v>
      </c>
      <c r="X754" s="173">
        <f t="shared" ca="1" si="361"/>
        <v>1</v>
      </c>
      <c r="Y754" s="173">
        <f t="shared" ca="1" si="361"/>
        <v>1</v>
      </c>
      <c r="Z754" s="173">
        <f t="shared" ca="1" si="361"/>
        <v>1</v>
      </c>
      <c r="AA754" s="173">
        <f t="shared" ca="1" si="361"/>
        <v>1</v>
      </c>
      <c r="AB754" s="173">
        <f t="shared" ca="1" si="361"/>
        <v>1</v>
      </c>
      <c r="AC754" s="173">
        <f t="shared" ca="1" si="361"/>
        <v>1</v>
      </c>
      <c r="AD754" s="173">
        <f t="shared" ca="1" si="361"/>
        <v>1</v>
      </c>
      <c r="AE754" s="173">
        <f t="shared" ca="1" si="361"/>
        <v>1</v>
      </c>
      <c r="AF754" s="173">
        <f t="shared" ca="1" si="361"/>
        <v>1</v>
      </c>
      <c r="AG754" s="173">
        <f t="shared" ca="1" si="361"/>
        <v>1</v>
      </c>
      <c r="AH754" s="173">
        <f t="shared" ca="1" si="361"/>
        <v>1</v>
      </c>
      <c r="AI754" s="173">
        <f t="shared" ca="1" si="361"/>
        <v>1</v>
      </c>
      <c r="AJ754" s="173">
        <f t="shared" ca="1" si="361"/>
        <v>1</v>
      </c>
      <c r="AK754" s="173">
        <f t="shared" ca="1" si="361"/>
        <v>1</v>
      </c>
      <c r="AL754" s="173">
        <f t="shared" ca="1" si="361"/>
        <v>1</v>
      </c>
      <c r="AM754" s="259">
        <f t="shared" ca="1" si="361"/>
        <v>1</v>
      </c>
      <c r="AN754" s="207">
        <f t="shared" ca="1" si="361"/>
        <v>1</v>
      </c>
      <c r="AO754" s="254">
        <f t="shared" ca="1" si="361"/>
        <v>1</v>
      </c>
      <c r="AP754" s="189"/>
      <c r="AQ754" s="45" t="s">
        <v>407</v>
      </c>
      <c r="AR754" s="196">
        <f ca="1">0.62198*(AR752*AR753/100)/(101325-(AR752*AR753/100))</f>
        <v>6.9338058711270146E-3</v>
      </c>
      <c r="AT754" s="43">
        <f ca="1">SUM(AT753:BQ753)</f>
        <v>0</v>
      </c>
    </row>
    <row r="755" spans="1:69" ht="18" x14ac:dyDescent="0.35">
      <c r="N755" s="829"/>
      <c r="O755" s="830"/>
      <c r="P755" s="170" t="s">
        <v>526</v>
      </c>
      <c r="Q755" s="172" t="s">
        <v>948</v>
      </c>
      <c r="R755" s="173">
        <f t="shared" ref="R755:AO755" si="362">0.34*($K$186*(0.8*$F$25-$K$187))</f>
        <v>0</v>
      </c>
      <c r="S755" s="173">
        <f t="shared" si="362"/>
        <v>0</v>
      </c>
      <c r="T755" s="173">
        <f t="shared" si="362"/>
        <v>0</v>
      </c>
      <c r="U755" s="173">
        <f t="shared" si="362"/>
        <v>0</v>
      </c>
      <c r="V755" s="173">
        <f t="shared" si="362"/>
        <v>0</v>
      </c>
      <c r="W755" s="173">
        <f t="shared" si="362"/>
        <v>0</v>
      </c>
      <c r="X755" s="173">
        <f t="shared" si="362"/>
        <v>0</v>
      </c>
      <c r="Y755" s="173">
        <f t="shared" si="362"/>
        <v>0</v>
      </c>
      <c r="Z755" s="173">
        <f t="shared" si="362"/>
        <v>0</v>
      </c>
      <c r="AA755" s="173">
        <f t="shared" si="362"/>
        <v>0</v>
      </c>
      <c r="AB755" s="173">
        <f t="shared" si="362"/>
        <v>0</v>
      </c>
      <c r="AC755" s="173">
        <f t="shared" si="362"/>
        <v>0</v>
      </c>
      <c r="AD755" s="173">
        <f t="shared" si="362"/>
        <v>0</v>
      </c>
      <c r="AE755" s="173">
        <f t="shared" si="362"/>
        <v>0</v>
      </c>
      <c r="AF755" s="173">
        <f t="shared" si="362"/>
        <v>0</v>
      </c>
      <c r="AG755" s="173">
        <f t="shared" si="362"/>
        <v>0</v>
      </c>
      <c r="AH755" s="173">
        <f t="shared" si="362"/>
        <v>0</v>
      </c>
      <c r="AI755" s="173">
        <f t="shared" si="362"/>
        <v>0</v>
      </c>
      <c r="AJ755" s="173">
        <f t="shared" si="362"/>
        <v>0</v>
      </c>
      <c r="AK755" s="173">
        <f t="shared" si="362"/>
        <v>0</v>
      </c>
      <c r="AL755" s="173">
        <f t="shared" si="362"/>
        <v>0</v>
      </c>
      <c r="AM755" s="173">
        <f t="shared" si="362"/>
        <v>0</v>
      </c>
      <c r="AN755" s="173">
        <f t="shared" si="362"/>
        <v>0</v>
      </c>
      <c r="AO755" s="173">
        <f t="shared" si="362"/>
        <v>0</v>
      </c>
      <c r="AP755" s="189"/>
    </row>
    <row r="756" spans="1:69" ht="18" x14ac:dyDescent="0.35">
      <c r="A756" s="815" t="s">
        <v>411</v>
      </c>
      <c r="B756" s="834" t="s">
        <v>921</v>
      </c>
      <c r="C756" s="834"/>
      <c r="D756" s="8" t="s">
        <v>169</v>
      </c>
      <c r="E756" s="8" t="s">
        <v>170</v>
      </c>
      <c r="F756" s="8" t="s">
        <v>171</v>
      </c>
      <c r="G756" s="8" t="s">
        <v>172</v>
      </c>
      <c r="H756" s="8" t="s">
        <v>268</v>
      </c>
      <c r="N756" s="829"/>
      <c r="O756" s="830"/>
      <c r="P756" s="174" t="s">
        <v>527</v>
      </c>
      <c r="Q756" s="175" t="s">
        <v>945</v>
      </c>
      <c r="R756" s="176">
        <f t="shared" ref="R756:AO756" ca="1" si="363">(1/1000)*(R755*($K$181-R751))*O$212</f>
        <v>0</v>
      </c>
      <c r="S756" s="176">
        <f t="shared" ca="1" si="363"/>
        <v>0</v>
      </c>
      <c r="T756" s="176">
        <f t="shared" ca="1" si="363"/>
        <v>0</v>
      </c>
      <c r="U756" s="176">
        <f t="shared" ca="1" si="363"/>
        <v>0</v>
      </c>
      <c r="V756" s="176">
        <f t="shared" ca="1" si="363"/>
        <v>0</v>
      </c>
      <c r="W756" s="176">
        <f t="shared" ca="1" si="363"/>
        <v>0</v>
      </c>
      <c r="X756" s="176">
        <f t="shared" ca="1" si="363"/>
        <v>0</v>
      </c>
      <c r="Y756" s="176">
        <f t="shared" ca="1" si="363"/>
        <v>0</v>
      </c>
      <c r="Z756" s="176">
        <f t="shared" ca="1" si="363"/>
        <v>0</v>
      </c>
      <c r="AA756" s="176">
        <f t="shared" ca="1" si="363"/>
        <v>0</v>
      </c>
      <c r="AB756" s="176">
        <f t="shared" ca="1" si="363"/>
        <v>0</v>
      </c>
      <c r="AC756" s="176">
        <f t="shared" ca="1" si="363"/>
        <v>0</v>
      </c>
      <c r="AD756" s="176">
        <f t="shared" ca="1" si="363"/>
        <v>0</v>
      </c>
      <c r="AE756" s="176">
        <f t="shared" ca="1" si="363"/>
        <v>0</v>
      </c>
      <c r="AF756" s="176">
        <f t="shared" ca="1" si="363"/>
        <v>0</v>
      </c>
      <c r="AG756" s="176">
        <f t="shared" ca="1" si="363"/>
        <v>0</v>
      </c>
      <c r="AH756" s="176">
        <f t="shared" ca="1" si="363"/>
        <v>0</v>
      </c>
      <c r="AI756" s="176">
        <f t="shared" ca="1" si="363"/>
        <v>0</v>
      </c>
      <c r="AJ756" s="176">
        <f t="shared" ca="1" si="363"/>
        <v>0</v>
      </c>
      <c r="AK756" s="176">
        <f t="shared" ca="1" si="363"/>
        <v>0</v>
      </c>
      <c r="AL756" s="176">
        <f t="shared" ca="1" si="363"/>
        <v>0</v>
      </c>
      <c r="AM756" s="260">
        <f t="shared" ca="1" si="363"/>
        <v>0</v>
      </c>
      <c r="AN756" s="208">
        <f t="shared" ca="1" si="363"/>
        <v>0</v>
      </c>
      <c r="AO756" s="273">
        <f t="shared" ca="1" si="363"/>
        <v>0</v>
      </c>
      <c r="AP756" s="188">
        <f ca="1">SUM(R756:AO756)</f>
        <v>0</v>
      </c>
    </row>
    <row r="757" spans="1:69" ht="18.600000000000001" hidden="1" x14ac:dyDescent="0.4">
      <c r="A757" s="816"/>
      <c r="B757" s="8" t="s">
        <v>942</v>
      </c>
      <c r="C757" s="22" t="s">
        <v>947</v>
      </c>
      <c r="D757" s="13">
        <f ca="1">'Климатични зони'!AD11</f>
        <v>79.3</v>
      </c>
      <c r="E757" s="13">
        <f ca="1">'Климатични зони'!AE11</f>
        <v>85.4</v>
      </c>
      <c r="F757" s="13">
        <f ca="1">'Климатични зони'!AF11</f>
        <v>84.2</v>
      </c>
      <c r="G757" s="13">
        <f ca="1">'Климатични зони'!AG11</f>
        <v>75.599999999999994</v>
      </c>
      <c r="H757" s="13">
        <f ca="1">'Климатични зони'!AH11</f>
        <v>60.6</v>
      </c>
      <c r="N757" s="829"/>
      <c r="O757" s="830"/>
      <c r="P757" s="177" t="s">
        <v>528</v>
      </c>
      <c r="Q757" s="178" t="s">
        <v>945</v>
      </c>
      <c r="R757" s="179" t="e">
        <f t="shared" ref="R757:AO757" ca="1" si="364">R756+R753</f>
        <v>#DIV/0!</v>
      </c>
      <c r="S757" s="179" t="e">
        <f t="shared" ca="1" si="364"/>
        <v>#DIV/0!</v>
      </c>
      <c r="T757" s="179" t="e">
        <f t="shared" ca="1" si="364"/>
        <v>#DIV/0!</v>
      </c>
      <c r="U757" s="179" t="e">
        <f t="shared" ca="1" si="364"/>
        <v>#DIV/0!</v>
      </c>
      <c r="V757" s="179" t="e">
        <f t="shared" ca="1" si="364"/>
        <v>#DIV/0!</v>
      </c>
      <c r="W757" s="179" t="e">
        <f t="shared" ca="1" si="364"/>
        <v>#DIV/0!</v>
      </c>
      <c r="X757" s="179" t="e">
        <f t="shared" ca="1" si="364"/>
        <v>#DIV/0!</v>
      </c>
      <c r="Y757" s="179" t="e">
        <f t="shared" ca="1" si="364"/>
        <v>#DIV/0!</v>
      </c>
      <c r="Z757" s="179" t="e">
        <f t="shared" ca="1" si="364"/>
        <v>#DIV/0!</v>
      </c>
      <c r="AA757" s="179" t="e">
        <f t="shared" ca="1" si="364"/>
        <v>#DIV/0!</v>
      </c>
      <c r="AB757" s="179" t="e">
        <f t="shared" ca="1" si="364"/>
        <v>#DIV/0!</v>
      </c>
      <c r="AC757" s="179" t="e">
        <f t="shared" ca="1" si="364"/>
        <v>#DIV/0!</v>
      </c>
      <c r="AD757" s="179" t="e">
        <f t="shared" ca="1" si="364"/>
        <v>#DIV/0!</v>
      </c>
      <c r="AE757" s="179" t="e">
        <f t="shared" ca="1" si="364"/>
        <v>#DIV/0!</v>
      </c>
      <c r="AF757" s="179" t="e">
        <f t="shared" ca="1" si="364"/>
        <v>#DIV/0!</v>
      </c>
      <c r="AG757" s="179" t="e">
        <f t="shared" ca="1" si="364"/>
        <v>#DIV/0!</v>
      </c>
      <c r="AH757" s="179" t="e">
        <f t="shared" ca="1" si="364"/>
        <v>#DIV/0!</v>
      </c>
      <c r="AI757" s="179" t="e">
        <f t="shared" ca="1" si="364"/>
        <v>#DIV/0!</v>
      </c>
      <c r="AJ757" s="179" t="e">
        <f t="shared" ca="1" si="364"/>
        <v>#DIV/0!</v>
      </c>
      <c r="AK757" s="179" t="e">
        <f t="shared" ca="1" si="364"/>
        <v>#DIV/0!</v>
      </c>
      <c r="AL757" s="179" t="e">
        <f t="shared" ca="1" si="364"/>
        <v>#DIV/0!</v>
      </c>
      <c r="AM757" s="261" t="e">
        <f t="shared" ca="1" si="364"/>
        <v>#DIV/0!</v>
      </c>
      <c r="AN757" s="293" t="e">
        <f t="shared" ca="1" si="364"/>
        <v>#DIV/0!</v>
      </c>
      <c r="AO757" s="274" t="e">
        <f t="shared" ca="1" si="364"/>
        <v>#DIV/0!</v>
      </c>
      <c r="AP757" s="190" t="e">
        <f ca="1">SUM(R757:AO757)</f>
        <v>#DIV/0!</v>
      </c>
    </row>
    <row r="758" spans="1:69" ht="18.600000000000001" hidden="1" x14ac:dyDescent="0.4">
      <c r="A758" s="816"/>
      <c r="B758" s="8" t="s">
        <v>233</v>
      </c>
      <c r="C758" s="22" t="s">
        <v>947</v>
      </c>
      <c r="D758" s="13">
        <f ca="1">(D757+D759)/2</f>
        <v>97.4</v>
      </c>
      <c r="E758" s="13">
        <f ca="1">(E757+E759)/2</f>
        <v>107.35000000000001</v>
      </c>
      <c r="F758" s="13">
        <f ca="1">(F757+F759)/2</f>
        <v>109.05000000000001</v>
      </c>
      <c r="G758" s="13">
        <f ca="1">(G757+G759)/2</f>
        <v>104.95</v>
      </c>
      <c r="H758" s="13">
        <f ca="1">(H757+H759)/2</f>
        <v>86.95</v>
      </c>
      <c r="N758" s="829"/>
      <c r="O758" s="830"/>
      <c r="P758" s="177" t="s">
        <v>529</v>
      </c>
      <c r="Q758" s="178" t="s">
        <v>945</v>
      </c>
      <c r="R758" s="179">
        <f t="shared" ref="R758:AC758" si="365">IF($O$617=1,(1/1000)*(0.34*A$641)*($K$181-R751)*O$368*R754,0)</f>
        <v>0</v>
      </c>
      <c r="S758" s="179">
        <f t="shared" si="365"/>
        <v>0</v>
      </c>
      <c r="T758" s="179">
        <f t="shared" si="365"/>
        <v>0</v>
      </c>
      <c r="U758" s="179">
        <f t="shared" si="365"/>
        <v>0</v>
      </c>
      <c r="V758" s="179">
        <f t="shared" si="365"/>
        <v>0</v>
      </c>
      <c r="W758" s="179">
        <f t="shared" si="365"/>
        <v>0</v>
      </c>
      <c r="X758" s="179">
        <f t="shared" si="365"/>
        <v>0</v>
      </c>
      <c r="Y758" s="179">
        <f t="shared" si="365"/>
        <v>0</v>
      </c>
      <c r="Z758" s="179">
        <f t="shared" si="365"/>
        <v>0</v>
      </c>
      <c r="AA758" s="179">
        <f t="shared" si="365"/>
        <v>0</v>
      </c>
      <c r="AB758" s="179">
        <f t="shared" si="365"/>
        <v>0</v>
      </c>
      <c r="AC758" s="179">
        <f t="shared" si="365"/>
        <v>0</v>
      </c>
      <c r="AD758" s="179">
        <f t="shared" ref="AD758:AO758" si="366">IF($O$617=1,(1/1000)*(0.34*N$641)*($K$181-AD751)*AA$368*AD754,0)</f>
        <v>0</v>
      </c>
      <c r="AE758" s="179">
        <f t="shared" si="366"/>
        <v>0</v>
      </c>
      <c r="AF758" s="179">
        <f t="shared" si="366"/>
        <v>0</v>
      </c>
      <c r="AG758" s="179">
        <f t="shared" si="366"/>
        <v>0</v>
      </c>
      <c r="AH758" s="179">
        <f t="shared" si="366"/>
        <v>0</v>
      </c>
      <c r="AI758" s="179">
        <f t="shared" si="366"/>
        <v>0</v>
      </c>
      <c r="AJ758" s="179">
        <f t="shared" si="366"/>
        <v>0</v>
      </c>
      <c r="AK758" s="179">
        <f t="shared" si="366"/>
        <v>0</v>
      </c>
      <c r="AL758" s="179">
        <f t="shared" si="366"/>
        <v>0</v>
      </c>
      <c r="AM758" s="261">
        <f t="shared" si="366"/>
        <v>0</v>
      </c>
      <c r="AN758" s="293">
        <f t="shared" si="366"/>
        <v>0</v>
      </c>
      <c r="AO758" s="274">
        <f t="shared" si="366"/>
        <v>0</v>
      </c>
      <c r="AP758" s="190">
        <f>SUM(R758:AO758)</f>
        <v>0</v>
      </c>
    </row>
    <row r="759" spans="1:69" ht="18.600000000000001" hidden="1" x14ac:dyDescent="0.4">
      <c r="A759" s="816"/>
      <c r="B759" s="8" t="s">
        <v>940</v>
      </c>
      <c r="C759" s="22" t="s">
        <v>947</v>
      </c>
      <c r="D759" s="13">
        <f ca="1">'Климатични зони'!AD12</f>
        <v>115.5</v>
      </c>
      <c r="E759" s="13">
        <f ca="1">'Климатични зони'!AE12</f>
        <v>129.30000000000001</v>
      </c>
      <c r="F759" s="13">
        <f ca="1">'Климатични зони'!AF12</f>
        <v>133.9</v>
      </c>
      <c r="G759" s="13">
        <f ca="1">'Климатични зони'!AG12</f>
        <v>134.30000000000001</v>
      </c>
      <c r="H759" s="13">
        <f ca="1">'Климатични зони'!AH12</f>
        <v>113.3</v>
      </c>
      <c r="N759" s="829"/>
      <c r="O759" s="830"/>
      <c r="P759" s="174" t="s">
        <v>530</v>
      </c>
      <c r="Q759" s="175" t="s">
        <v>945</v>
      </c>
      <c r="R759" s="176">
        <f t="shared" ref="R759:AO759" si="367">(1/1000)*($L$697+$L$698)*O$238</f>
        <v>27.84</v>
      </c>
      <c r="S759" s="176">
        <f t="shared" si="367"/>
        <v>27.84</v>
      </c>
      <c r="T759" s="176">
        <f t="shared" si="367"/>
        <v>27.84</v>
      </c>
      <c r="U759" s="176">
        <f t="shared" si="367"/>
        <v>27.84</v>
      </c>
      <c r="V759" s="176">
        <f t="shared" si="367"/>
        <v>27.84</v>
      </c>
      <c r="W759" s="176">
        <f t="shared" si="367"/>
        <v>27.84</v>
      </c>
      <c r="X759" s="176">
        <f t="shared" si="367"/>
        <v>27.84</v>
      </c>
      <c r="Y759" s="176">
        <f t="shared" si="367"/>
        <v>27.84</v>
      </c>
      <c r="Z759" s="176">
        <f t="shared" si="367"/>
        <v>27.84</v>
      </c>
      <c r="AA759" s="176">
        <f t="shared" si="367"/>
        <v>27.84</v>
      </c>
      <c r="AB759" s="176">
        <f t="shared" si="367"/>
        <v>27.84</v>
      </c>
      <c r="AC759" s="176">
        <f t="shared" si="367"/>
        <v>27.84</v>
      </c>
      <c r="AD759" s="176">
        <f t="shared" si="367"/>
        <v>27.84</v>
      </c>
      <c r="AE759" s="176">
        <f t="shared" si="367"/>
        <v>27.84</v>
      </c>
      <c r="AF759" s="176">
        <f t="shared" si="367"/>
        <v>27.84</v>
      </c>
      <c r="AG759" s="176">
        <f t="shared" si="367"/>
        <v>27.84</v>
      </c>
      <c r="AH759" s="176">
        <f t="shared" si="367"/>
        <v>27.84</v>
      </c>
      <c r="AI759" s="176">
        <f t="shared" si="367"/>
        <v>27.84</v>
      </c>
      <c r="AJ759" s="176">
        <f t="shared" si="367"/>
        <v>27.84</v>
      </c>
      <c r="AK759" s="176">
        <f t="shared" si="367"/>
        <v>27.84</v>
      </c>
      <c r="AL759" s="176">
        <f t="shared" si="367"/>
        <v>27.84</v>
      </c>
      <c r="AM759" s="260">
        <f t="shared" si="367"/>
        <v>27.84</v>
      </c>
      <c r="AN759" s="208">
        <f t="shared" si="367"/>
        <v>27.84</v>
      </c>
      <c r="AO759" s="273">
        <f t="shared" si="367"/>
        <v>27.84</v>
      </c>
      <c r="AP759" s="188">
        <f>SUM(R759:AO759)</f>
        <v>668.16</v>
      </c>
    </row>
    <row r="760" spans="1:69" ht="18.600000000000001" hidden="1" x14ac:dyDescent="0.4">
      <c r="A760" s="816"/>
      <c r="B760" s="8" t="s">
        <v>234</v>
      </c>
      <c r="C760" s="22" t="s">
        <v>947</v>
      </c>
      <c r="D760" s="13">
        <f ca="1">(D759+D761)/2</f>
        <v>106.3</v>
      </c>
      <c r="E760" s="13">
        <f ca="1">(E759+E761)/2</f>
        <v>116.5</v>
      </c>
      <c r="F760" s="13">
        <f ca="1">(F759+F761)/2</f>
        <v>122.95</v>
      </c>
      <c r="G760" s="13">
        <f ca="1">(G759+G761)/2</f>
        <v>135.55000000000001</v>
      </c>
      <c r="H760" s="13">
        <f ca="1">(H759+H761)/2</f>
        <v>130.75</v>
      </c>
      <c r="N760" s="829" t="s">
        <v>176</v>
      </c>
      <c r="O760" s="830">
        <v>12</v>
      </c>
      <c r="P760" s="170" t="s">
        <v>522</v>
      </c>
      <c r="Q760" s="172" t="s">
        <v>946</v>
      </c>
      <c r="R760" s="173">
        <f ca="1">'Климатични зони'!D20</f>
        <v>4.5999999999999996</v>
      </c>
      <c r="S760" s="173">
        <f ca="1">'Климатични зони'!E20</f>
        <v>4.5999999999999996</v>
      </c>
      <c r="T760" s="173">
        <f ca="1">'Климатични зони'!F20</f>
        <v>4.5999999999999996</v>
      </c>
      <c r="U760" s="173">
        <f ca="1">'Климатични зони'!G20</f>
        <v>4.5999999999999996</v>
      </c>
      <c r="V760" s="173">
        <f ca="1">'Климатични зони'!H20</f>
        <v>4.5999999999999996</v>
      </c>
      <c r="W760" s="173">
        <f ca="1">'Климатични зони'!I20</f>
        <v>4.5999999999999996</v>
      </c>
      <c r="X760" s="173">
        <f ca="1">'Климатични зони'!J20</f>
        <v>4.5999999999999996</v>
      </c>
      <c r="Y760" s="173">
        <f ca="1">'Климатични зони'!K20</f>
        <v>4.5999999999999996</v>
      </c>
      <c r="Z760" s="173">
        <f ca="1">'Климатични зони'!L20</f>
        <v>4.5999999999999996</v>
      </c>
      <c r="AA760" s="173">
        <f ca="1">'Климатични зони'!M20</f>
        <v>4.5999999999999996</v>
      </c>
      <c r="AB760" s="173">
        <f ca="1">'Климатични зони'!N20</f>
        <v>4.5999999999999996</v>
      </c>
      <c r="AC760" s="173">
        <f ca="1">'Климатични зони'!O20</f>
        <v>4.5999999999999996</v>
      </c>
      <c r="AD760" s="173">
        <f ca="1">'Климатични зони'!P20</f>
        <v>4.5999999999999996</v>
      </c>
      <c r="AE760" s="173">
        <f ca="1">'Климатични зони'!Q20</f>
        <v>4.5999999999999996</v>
      </c>
      <c r="AF760" s="173">
        <f ca="1">'Климатични зони'!R20</f>
        <v>4.5999999999999996</v>
      </c>
      <c r="AG760" s="173">
        <f ca="1">'Климатични зони'!S20</f>
        <v>4.5999999999999996</v>
      </c>
      <c r="AH760" s="173">
        <f ca="1">'Климатични зони'!T20</f>
        <v>4.5999999999999996</v>
      </c>
      <c r="AI760" s="173">
        <f ca="1">'Климатични зони'!U20</f>
        <v>4.5999999999999996</v>
      </c>
      <c r="AJ760" s="173">
        <f ca="1">'Климатични зони'!V20</f>
        <v>4.5999999999999996</v>
      </c>
      <c r="AK760" s="173">
        <f ca="1">'Климатични зони'!W20</f>
        <v>4.5999999999999996</v>
      </c>
      <c r="AL760" s="173">
        <f ca="1">'Климатични зони'!X20</f>
        <v>4.5999999999999996</v>
      </c>
      <c r="AM760" s="259">
        <f ca="1">'Климатични зони'!Y20</f>
        <v>4.5999999999999996</v>
      </c>
      <c r="AN760" s="207">
        <f ca="1">'Климатични зони'!Z20</f>
        <v>4.5999999999999996</v>
      </c>
      <c r="AO760" s="254">
        <f ca="1">'Климатични зони'!AA20</f>
        <v>4.5999999999999996</v>
      </c>
      <c r="AP760" s="189"/>
      <c r="AQ760" s="45" t="s">
        <v>406</v>
      </c>
      <c r="AR760" s="55">
        <f ca="1">'Климатични зони'!AJ9</f>
        <v>4.5999999999999996</v>
      </c>
      <c r="AS760" s="206" t="s">
        <v>594</v>
      </c>
      <c r="AT760" s="43">
        <f ca="1">1.006*($AR760)+$AR763*(1.805*($AR760)+2501)</f>
        <v>17.104922505015139</v>
      </c>
      <c r="AU760" s="43">
        <f t="shared" ref="AU760:BQ760" ca="1" si="368">1.006*($AR760)+$AR763*(1.805*($AR760)+2501)</f>
        <v>17.104922505015139</v>
      </c>
      <c r="AV760" s="43">
        <f t="shared" ca="1" si="368"/>
        <v>17.104922505015139</v>
      </c>
      <c r="AW760" s="43">
        <f t="shared" ca="1" si="368"/>
        <v>17.104922505015139</v>
      </c>
      <c r="AX760" s="43">
        <f t="shared" ca="1" si="368"/>
        <v>17.104922505015139</v>
      </c>
      <c r="AY760" s="43">
        <f t="shared" ca="1" si="368"/>
        <v>17.104922505015139</v>
      </c>
      <c r="AZ760" s="43">
        <f t="shared" ca="1" si="368"/>
        <v>17.104922505015139</v>
      </c>
      <c r="BA760" s="43">
        <f t="shared" ca="1" si="368"/>
        <v>17.104922505015139</v>
      </c>
      <c r="BB760" s="43">
        <f t="shared" ca="1" si="368"/>
        <v>17.104922505015139</v>
      </c>
      <c r="BC760" s="43">
        <f t="shared" ca="1" si="368"/>
        <v>17.104922505015139</v>
      </c>
      <c r="BD760" s="43">
        <f t="shared" ca="1" si="368"/>
        <v>17.104922505015139</v>
      </c>
      <c r="BE760" s="43">
        <f t="shared" ca="1" si="368"/>
        <v>17.104922505015139</v>
      </c>
      <c r="BF760" s="43">
        <f t="shared" ca="1" si="368"/>
        <v>17.104922505015139</v>
      </c>
      <c r="BG760" s="43">
        <f t="shared" ca="1" si="368"/>
        <v>17.104922505015139</v>
      </c>
      <c r="BH760" s="43">
        <f t="shared" ca="1" si="368"/>
        <v>17.104922505015139</v>
      </c>
      <c r="BI760" s="43">
        <f t="shared" ca="1" si="368"/>
        <v>17.104922505015139</v>
      </c>
      <c r="BJ760" s="43">
        <f t="shared" ca="1" si="368"/>
        <v>17.104922505015139</v>
      </c>
      <c r="BK760" s="43">
        <f t="shared" ca="1" si="368"/>
        <v>17.104922505015139</v>
      </c>
      <c r="BL760" s="43">
        <f t="shared" ca="1" si="368"/>
        <v>17.104922505015139</v>
      </c>
      <c r="BM760" s="43">
        <f t="shared" ca="1" si="368"/>
        <v>17.104922505015139</v>
      </c>
      <c r="BN760" s="43">
        <f t="shared" ca="1" si="368"/>
        <v>17.104922505015139</v>
      </c>
      <c r="BO760" s="43">
        <f t="shared" ca="1" si="368"/>
        <v>17.104922505015139</v>
      </c>
      <c r="BP760" s="43">
        <f t="shared" ca="1" si="368"/>
        <v>17.104922505015139</v>
      </c>
      <c r="BQ760" s="43">
        <f t="shared" ca="1" si="368"/>
        <v>17.104922505015139</v>
      </c>
    </row>
    <row r="761" spans="1:69" ht="18.600000000000001" hidden="1" x14ac:dyDescent="0.4">
      <c r="A761" s="816"/>
      <c r="B761" s="8" t="s">
        <v>944</v>
      </c>
      <c r="C761" s="22" t="s">
        <v>947</v>
      </c>
      <c r="D761" s="13">
        <f ca="1">'Климатични зони'!AD13</f>
        <v>97.1</v>
      </c>
      <c r="E761" s="13">
        <f ca="1">'Климатични зони'!AE13</f>
        <v>103.7</v>
      </c>
      <c r="F761" s="13">
        <f ca="1">'Климатични зони'!AF13</f>
        <v>112</v>
      </c>
      <c r="G761" s="13">
        <f ca="1">'Климатични зони'!AG13</f>
        <v>136.80000000000001</v>
      </c>
      <c r="H761" s="13">
        <f ca="1">'Климатични зони'!AH13</f>
        <v>148.19999999999999</v>
      </c>
      <c r="N761" s="829"/>
      <c r="O761" s="830"/>
      <c r="P761" s="170" t="s">
        <v>523</v>
      </c>
      <c r="Q761" s="172" t="s">
        <v>948</v>
      </c>
      <c r="R761" s="173">
        <f t="shared" ref="R761:AO761" ca="1" si="369">((1/($K$181-R760))*(((-$E$614)*5*COS(2*3.14*(($O760-1)/12))+($F$614*7.5*COS(2*3.14*(($O760-1-1)/12))))))</f>
        <v>1.3971384920468462E-43</v>
      </c>
      <c r="S761" s="173">
        <f t="shared" ca="1" si="369"/>
        <v>1.3971384920468462E-43</v>
      </c>
      <c r="T761" s="173">
        <f t="shared" ca="1" si="369"/>
        <v>1.3971384920468462E-43</v>
      </c>
      <c r="U761" s="173">
        <f t="shared" ca="1" si="369"/>
        <v>1.3971384920468462E-43</v>
      </c>
      <c r="V761" s="173">
        <f t="shared" ca="1" si="369"/>
        <v>1.3971384920468462E-43</v>
      </c>
      <c r="W761" s="173">
        <f t="shared" ca="1" si="369"/>
        <v>1.3971384920468462E-43</v>
      </c>
      <c r="X761" s="173">
        <f t="shared" ca="1" si="369"/>
        <v>1.3971384920468462E-43</v>
      </c>
      <c r="Y761" s="173">
        <f t="shared" ca="1" si="369"/>
        <v>1.3971384920468462E-43</v>
      </c>
      <c r="Z761" s="173">
        <f t="shared" ca="1" si="369"/>
        <v>1.3971384920468462E-43</v>
      </c>
      <c r="AA761" s="173">
        <f t="shared" ca="1" si="369"/>
        <v>1.3971384920468462E-43</v>
      </c>
      <c r="AB761" s="173">
        <f t="shared" ca="1" si="369"/>
        <v>1.3971384920468462E-43</v>
      </c>
      <c r="AC761" s="173">
        <f t="shared" ca="1" si="369"/>
        <v>1.3971384920468462E-43</v>
      </c>
      <c r="AD761" s="173">
        <f t="shared" ca="1" si="369"/>
        <v>1.3971384920468462E-43</v>
      </c>
      <c r="AE761" s="173">
        <f t="shared" ca="1" si="369"/>
        <v>1.3971384920468462E-43</v>
      </c>
      <c r="AF761" s="173">
        <f t="shared" ca="1" si="369"/>
        <v>1.3971384920468462E-43</v>
      </c>
      <c r="AG761" s="173">
        <f t="shared" ca="1" si="369"/>
        <v>1.3971384920468462E-43</v>
      </c>
      <c r="AH761" s="173">
        <f t="shared" ca="1" si="369"/>
        <v>1.3971384920468462E-43</v>
      </c>
      <c r="AI761" s="173">
        <f t="shared" ca="1" si="369"/>
        <v>1.3971384920468462E-43</v>
      </c>
      <c r="AJ761" s="173">
        <f t="shared" ca="1" si="369"/>
        <v>1.3971384920468462E-43</v>
      </c>
      <c r="AK761" s="173">
        <f t="shared" ca="1" si="369"/>
        <v>1.3971384920468462E-43</v>
      </c>
      <c r="AL761" s="173">
        <f t="shared" ca="1" si="369"/>
        <v>1.3971384920468462E-43</v>
      </c>
      <c r="AM761" s="259">
        <f t="shared" ca="1" si="369"/>
        <v>1.3971384920468462E-43</v>
      </c>
      <c r="AN761" s="207">
        <f t="shared" ca="1" si="369"/>
        <v>1.3971384920468462E-43</v>
      </c>
      <c r="AO761" s="254">
        <f t="shared" ca="1" si="369"/>
        <v>1.3971384920468462E-43</v>
      </c>
      <c r="AP761" s="189"/>
      <c r="AQ761" s="183" t="s">
        <v>531</v>
      </c>
      <c r="AR761" s="43">
        <v>95</v>
      </c>
      <c r="AT761" s="43">
        <f t="shared" ref="AT761:BQ761" ca="1" si="370">(-$K$851*AT760+$K$852*$K$849)</f>
        <v>25.540077661266665</v>
      </c>
      <c r="AU761" s="43">
        <f t="shared" ca="1" si="370"/>
        <v>25.540077661266665</v>
      </c>
      <c r="AV761" s="43">
        <f t="shared" ca="1" si="370"/>
        <v>25.540077661266665</v>
      </c>
      <c r="AW761" s="43">
        <f t="shared" ca="1" si="370"/>
        <v>25.540077661266665</v>
      </c>
      <c r="AX761" s="43">
        <f t="shared" ca="1" si="370"/>
        <v>25.540077661266665</v>
      </c>
      <c r="AY761" s="43">
        <f t="shared" ca="1" si="370"/>
        <v>25.540077661266665</v>
      </c>
      <c r="AZ761" s="43">
        <f t="shared" ca="1" si="370"/>
        <v>25.540077661266665</v>
      </c>
      <c r="BA761" s="43">
        <f t="shared" ca="1" si="370"/>
        <v>25.540077661266665</v>
      </c>
      <c r="BB761" s="43">
        <f t="shared" ca="1" si="370"/>
        <v>25.540077661266665</v>
      </c>
      <c r="BC761" s="43">
        <f t="shared" ca="1" si="370"/>
        <v>25.540077661266665</v>
      </c>
      <c r="BD761" s="43">
        <f t="shared" ca="1" si="370"/>
        <v>25.540077661266665</v>
      </c>
      <c r="BE761" s="43">
        <f t="shared" ca="1" si="370"/>
        <v>25.540077661266665</v>
      </c>
      <c r="BF761" s="43">
        <f t="shared" ca="1" si="370"/>
        <v>25.540077661266665</v>
      </c>
      <c r="BG761" s="43">
        <f t="shared" ca="1" si="370"/>
        <v>25.540077661266665</v>
      </c>
      <c r="BH761" s="43">
        <f t="shared" ca="1" si="370"/>
        <v>25.540077661266665</v>
      </c>
      <c r="BI761" s="43">
        <f t="shared" ca="1" si="370"/>
        <v>25.540077661266665</v>
      </c>
      <c r="BJ761" s="43">
        <f t="shared" ca="1" si="370"/>
        <v>25.540077661266665</v>
      </c>
      <c r="BK761" s="43">
        <f t="shared" ca="1" si="370"/>
        <v>25.540077661266665</v>
      </c>
      <c r="BL761" s="43">
        <f t="shared" ca="1" si="370"/>
        <v>25.540077661266665</v>
      </c>
      <c r="BM761" s="43">
        <f t="shared" ca="1" si="370"/>
        <v>25.540077661266665</v>
      </c>
      <c r="BN761" s="43">
        <f t="shared" ca="1" si="370"/>
        <v>25.540077661266665</v>
      </c>
      <c r="BO761" s="43">
        <f t="shared" ca="1" si="370"/>
        <v>25.540077661266665</v>
      </c>
      <c r="BP761" s="43">
        <f t="shared" ca="1" si="370"/>
        <v>25.540077661266665</v>
      </c>
      <c r="BQ761" s="43">
        <f t="shared" ca="1" si="370"/>
        <v>25.540077661266665</v>
      </c>
    </row>
    <row r="762" spans="1:69" ht="18.600000000000001" hidden="1" x14ac:dyDescent="0.4">
      <c r="A762" s="816"/>
      <c r="B762" s="8" t="s">
        <v>235</v>
      </c>
      <c r="C762" s="22" t="s">
        <v>947</v>
      </c>
      <c r="D762" s="13">
        <f ca="1">(D761+D763)/2</f>
        <v>106.3</v>
      </c>
      <c r="E762" s="13">
        <f ca="1">(E761+E763)/2</f>
        <v>116.5</v>
      </c>
      <c r="F762" s="13">
        <f ca="1">(F761+F763)/2</f>
        <v>122.95</v>
      </c>
      <c r="G762" s="13">
        <f ca="1">(G761+G763)/2</f>
        <v>135.55000000000001</v>
      </c>
      <c r="H762" s="13">
        <f ca="1">(H761+H763)/2</f>
        <v>130.75</v>
      </c>
      <c r="N762" s="829"/>
      <c r="O762" s="830"/>
      <c r="P762" s="174" t="s">
        <v>524</v>
      </c>
      <c r="Q762" s="175" t="s">
        <v>945</v>
      </c>
      <c r="R762" s="176" t="e">
        <f t="shared" ref="R762:AO762" ca="1" si="371">(1/1000)*(($K$455+R761)*($K$181-R760))*O$213</f>
        <v>#DIV/0!</v>
      </c>
      <c r="S762" s="176" t="e">
        <f t="shared" ca="1" si="371"/>
        <v>#DIV/0!</v>
      </c>
      <c r="T762" s="176" t="e">
        <f t="shared" ca="1" si="371"/>
        <v>#DIV/0!</v>
      </c>
      <c r="U762" s="176" t="e">
        <f t="shared" ca="1" si="371"/>
        <v>#DIV/0!</v>
      </c>
      <c r="V762" s="176" t="e">
        <f t="shared" ca="1" si="371"/>
        <v>#DIV/0!</v>
      </c>
      <c r="W762" s="176" t="e">
        <f t="shared" ca="1" si="371"/>
        <v>#DIV/0!</v>
      </c>
      <c r="X762" s="176" t="e">
        <f t="shared" ca="1" si="371"/>
        <v>#DIV/0!</v>
      </c>
      <c r="Y762" s="176" t="e">
        <f t="shared" ca="1" si="371"/>
        <v>#DIV/0!</v>
      </c>
      <c r="Z762" s="176" t="e">
        <f t="shared" ca="1" si="371"/>
        <v>#DIV/0!</v>
      </c>
      <c r="AA762" s="176" t="e">
        <f t="shared" ca="1" si="371"/>
        <v>#DIV/0!</v>
      </c>
      <c r="AB762" s="176" t="e">
        <f t="shared" ca="1" si="371"/>
        <v>#DIV/0!</v>
      </c>
      <c r="AC762" s="176" t="e">
        <f t="shared" ca="1" si="371"/>
        <v>#DIV/0!</v>
      </c>
      <c r="AD762" s="176" t="e">
        <f t="shared" ca="1" si="371"/>
        <v>#DIV/0!</v>
      </c>
      <c r="AE762" s="176" t="e">
        <f t="shared" ca="1" si="371"/>
        <v>#DIV/0!</v>
      </c>
      <c r="AF762" s="176" t="e">
        <f t="shared" ca="1" si="371"/>
        <v>#DIV/0!</v>
      </c>
      <c r="AG762" s="176" t="e">
        <f t="shared" ca="1" si="371"/>
        <v>#DIV/0!</v>
      </c>
      <c r="AH762" s="176" t="e">
        <f t="shared" ca="1" si="371"/>
        <v>#DIV/0!</v>
      </c>
      <c r="AI762" s="176" t="e">
        <f t="shared" ca="1" si="371"/>
        <v>#DIV/0!</v>
      </c>
      <c r="AJ762" s="176" t="e">
        <f t="shared" ca="1" si="371"/>
        <v>#DIV/0!</v>
      </c>
      <c r="AK762" s="176" t="e">
        <f t="shared" ca="1" si="371"/>
        <v>#DIV/0!</v>
      </c>
      <c r="AL762" s="176" t="e">
        <f t="shared" ca="1" si="371"/>
        <v>#DIV/0!</v>
      </c>
      <c r="AM762" s="260" t="e">
        <f t="shared" ca="1" si="371"/>
        <v>#DIV/0!</v>
      </c>
      <c r="AN762" s="208" t="e">
        <f t="shared" ca="1" si="371"/>
        <v>#DIV/0!</v>
      </c>
      <c r="AO762" s="273" t="e">
        <f t="shared" ca="1" si="371"/>
        <v>#DIV/0!</v>
      </c>
      <c r="AP762" s="188" t="e">
        <f ca="1">SUM(R762:AO762)</f>
        <v>#DIV/0!</v>
      </c>
      <c r="AQ762" s="173" t="s">
        <v>532</v>
      </c>
      <c r="AR762" s="196">
        <f ca="1">(2.71828^(77.345+0.0057*(273.15+AR760)-7235/(273.15+AR760)))/((273.15+AR760)^8.2)</f>
        <v>845.9149782771143</v>
      </c>
      <c r="AT762" s="43">
        <f t="shared" ref="AT762:BQ762" ca="1" si="372">IF(AT761*O369&lt;0,0,AT761*O369)</f>
        <v>0</v>
      </c>
      <c r="AU762" s="43">
        <f t="shared" ca="1" si="372"/>
        <v>0</v>
      </c>
      <c r="AV762" s="43">
        <f t="shared" ca="1" si="372"/>
        <v>0</v>
      </c>
      <c r="AW762" s="43">
        <f t="shared" ca="1" si="372"/>
        <v>0</v>
      </c>
      <c r="AX762" s="43">
        <f t="shared" ca="1" si="372"/>
        <v>0</v>
      </c>
      <c r="AY762" s="43">
        <f t="shared" ca="1" si="372"/>
        <v>0</v>
      </c>
      <c r="AZ762" s="43">
        <f t="shared" ca="1" si="372"/>
        <v>0</v>
      </c>
      <c r="BA762" s="43">
        <f t="shared" ca="1" si="372"/>
        <v>0</v>
      </c>
      <c r="BB762" s="43">
        <f t="shared" ca="1" si="372"/>
        <v>0</v>
      </c>
      <c r="BC762" s="43">
        <f t="shared" ca="1" si="372"/>
        <v>0</v>
      </c>
      <c r="BD762" s="43">
        <f t="shared" ca="1" si="372"/>
        <v>0</v>
      </c>
      <c r="BE762" s="43">
        <f t="shared" ca="1" si="372"/>
        <v>0</v>
      </c>
      <c r="BF762" s="43">
        <f t="shared" ca="1" si="372"/>
        <v>0</v>
      </c>
      <c r="BG762" s="43">
        <f t="shared" ca="1" si="372"/>
        <v>0</v>
      </c>
      <c r="BH762" s="43">
        <f t="shared" ca="1" si="372"/>
        <v>0</v>
      </c>
      <c r="BI762" s="43">
        <f t="shared" ca="1" si="372"/>
        <v>0</v>
      </c>
      <c r="BJ762" s="43">
        <f t="shared" ca="1" si="372"/>
        <v>0</v>
      </c>
      <c r="BK762" s="43">
        <f t="shared" ca="1" si="372"/>
        <v>0</v>
      </c>
      <c r="BL762" s="43">
        <f t="shared" ca="1" si="372"/>
        <v>0</v>
      </c>
      <c r="BM762" s="43">
        <f t="shared" ca="1" si="372"/>
        <v>0</v>
      </c>
      <c r="BN762" s="43">
        <f t="shared" ca="1" si="372"/>
        <v>0</v>
      </c>
      <c r="BO762" s="43">
        <f t="shared" ca="1" si="372"/>
        <v>0</v>
      </c>
      <c r="BP762" s="43">
        <f t="shared" ca="1" si="372"/>
        <v>0</v>
      </c>
      <c r="BQ762" s="43">
        <f t="shared" ca="1" si="372"/>
        <v>0</v>
      </c>
    </row>
    <row r="763" spans="1:69" ht="18.600000000000001" hidden="1" x14ac:dyDescent="0.4">
      <c r="A763" s="816"/>
      <c r="B763" s="8" t="s">
        <v>941</v>
      </c>
      <c r="C763" s="22" t="s">
        <v>947</v>
      </c>
      <c r="D763" s="13">
        <f ca="1">'Климатични зони'!AD14</f>
        <v>115.5</v>
      </c>
      <c r="E763" s="13">
        <f ca="1">'Климатични зони'!AE14</f>
        <v>129.30000000000001</v>
      </c>
      <c r="F763" s="13">
        <f ca="1">'Климатични зони'!AF14</f>
        <v>133.9</v>
      </c>
      <c r="G763" s="13">
        <f ca="1">'Климатични зони'!AG14</f>
        <v>134.30000000000001</v>
      </c>
      <c r="H763" s="13">
        <f ca="1">'Климатични зони'!AH14</f>
        <v>113.3</v>
      </c>
      <c r="N763" s="829"/>
      <c r="O763" s="830"/>
      <c r="P763" s="170" t="s">
        <v>525</v>
      </c>
      <c r="Q763" s="172" t="s">
        <v>950</v>
      </c>
      <c r="R763" s="173">
        <f t="shared" ref="R763:AO763" ca="1" si="373">IF(($K$181-$L$647)/($K$181-R760)=0,1,($K$181-$L$647)/($K$181-R760))</f>
        <v>1</v>
      </c>
      <c r="S763" s="173">
        <f t="shared" ca="1" si="373"/>
        <v>1</v>
      </c>
      <c r="T763" s="173">
        <f t="shared" ca="1" si="373"/>
        <v>1</v>
      </c>
      <c r="U763" s="173">
        <f t="shared" ca="1" si="373"/>
        <v>1</v>
      </c>
      <c r="V763" s="173">
        <f t="shared" ca="1" si="373"/>
        <v>1</v>
      </c>
      <c r="W763" s="173">
        <f t="shared" ca="1" si="373"/>
        <v>1</v>
      </c>
      <c r="X763" s="173">
        <f t="shared" ca="1" si="373"/>
        <v>1</v>
      </c>
      <c r="Y763" s="173">
        <f t="shared" ca="1" si="373"/>
        <v>1</v>
      </c>
      <c r="Z763" s="173">
        <f t="shared" ca="1" si="373"/>
        <v>1</v>
      </c>
      <c r="AA763" s="173">
        <f t="shared" ca="1" si="373"/>
        <v>1</v>
      </c>
      <c r="AB763" s="173">
        <f t="shared" ca="1" si="373"/>
        <v>1</v>
      </c>
      <c r="AC763" s="173">
        <f t="shared" ca="1" si="373"/>
        <v>1</v>
      </c>
      <c r="AD763" s="173">
        <f t="shared" ca="1" si="373"/>
        <v>1</v>
      </c>
      <c r="AE763" s="173">
        <f t="shared" ca="1" si="373"/>
        <v>1</v>
      </c>
      <c r="AF763" s="173">
        <f t="shared" ca="1" si="373"/>
        <v>1</v>
      </c>
      <c r="AG763" s="173">
        <f t="shared" ca="1" si="373"/>
        <v>1</v>
      </c>
      <c r="AH763" s="173">
        <f t="shared" ca="1" si="373"/>
        <v>1</v>
      </c>
      <c r="AI763" s="173">
        <f t="shared" ca="1" si="373"/>
        <v>1</v>
      </c>
      <c r="AJ763" s="173">
        <f t="shared" ca="1" si="373"/>
        <v>1</v>
      </c>
      <c r="AK763" s="173">
        <f t="shared" ca="1" si="373"/>
        <v>1</v>
      </c>
      <c r="AL763" s="173">
        <f t="shared" ca="1" si="373"/>
        <v>1</v>
      </c>
      <c r="AM763" s="259">
        <f t="shared" ca="1" si="373"/>
        <v>1</v>
      </c>
      <c r="AN763" s="207">
        <f t="shared" ca="1" si="373"/>
        <v>1</v>
      </c>
      <c r="AO763" s="254">
        <f t="shared" ca="1" si="373"/>
        <v>1</v>
      </c>
      <c r="AP763" s="189"/>
      <c r="AQ763" s="45" t="s">
        <v>407</v>
      </c>
      <c r="AR763" s="196">
        <f ca="1">0.62198*(AR761*AR762/100)/(101325-(AR761*AR762/100))</f>
        <v>4.9724256118193538E-3</v>
      </c>
      <c r="AT763" s="43">
        <f ca="1">SUM(AT762:BQ762)</f>
        <v>0</v>
      </c>
    </row>
    <row r="764" spans="1:69" ht="18.600000000000001" hidden="1" x14ac:dyDescent="0.4">
      <c r="A764" s="816"/>
      <c r="B764" s="8" t="s">
        <v>236</v>
      </c>
      <c r="C764" s="22" t="s">
        <v>947</v>
      </c>
      <c r="D764" s="13">
        <f ca="1">(D763+D757)/2</f>
        <v>97.4</v>
      </c>
      <c r="E764" s="13">
        <f ca="1">(E763+E757)/2</f>
        <v>107.35000000000001</v>
      </c>
      <c r="F764" s="13">
        <f ca="1">(F763+F757)/2</f>
        <v>109.05000000000001</v>
      </c>
      <c r="G764" s="13">
        <f ca="1">(G763+G757)/2</f>
        <v>104.95</v>
      </c>
      <c r="H764" s="13">
        <f ca="1">(H763+H757)/2</f>
        <v>86.95</v>
      </c>
      <c r="N764" s="829"/>
      <c r="O764" s="830"/>
      <c r="P764" s="170" t="s">
        <v>526</v>
      </c>
      <c r="Q764" s="172" t="s">
        <v>948</v>
      </c>
      <c r="R764" s="173">
        <f t="shared" ref="R764:AO764" si="374">0.34*(0.3*(0.8*$F$25-$K$187))</f>
        <v>0</v>
      </c>
      <c r="S764" s="173">
        <f t="shared" si="374"/>
        <v>0</v>
      </c>
      <c r="T764" s="173">
        <f t="shared" si="374"/>
        <v>0</v>
      </c>
      <c r="U764" s="173">
        <f t="shared" si="374"/>
        <v>0</v>
      </c>
      <c r="V764" s="173">
        <f t="shared" si="374"/>
        <v>0</v>
      </c>
      <c r="W764" s="173">
        <f t="shared" si="374"/>
        <v>0</v>
      </c>
      <c r="X764" s="173">
        <f t="shared" si="374"/>
        <v>0</v>
      </c>
      <c r="Y764" s="173">
        <f t="shared" si="374"/>
        <v>0</v>
      </c>
      <c r="Z764" s="173">
        <f t="shared" si="374"/>
        <v>0</v>
      </c>
      <c r="AA764" s="173">
        <f t="shared" si="374"/>
        <v>0</v>
      </c>
      <c r="AB764" s="173">
        <f t="shared" si="374"/>
        <v>0</v>
      </c>
      <c r="AC764" s="173">
        <f t="shared" si="374"/>
        <v>0</v>
      </c>
      <c r="AD764" s="173">
        <f t="shared" si="374"/>
        <v>0</v>
      </c>
      <c r="AE764" s="173">
        <f t="shared" si="374"/>
        <v>0</v>
      </c>
      <c r="AF764" s="173">
        <f t="shared" si="374"/>
        <v>0</v>
      </c>
      <c r="AG764" s="173">
        <f t="shared" si="374"/>
        <v>0</v>
      </c>
      <c r="AH764" s="173">
        <f t="shared" si="374"/>
        <v>0</v>
      </c>
      <c r="AI764" s="173">
        <f t="shared" si="374"/>
        <v>0</v>
      </c>
      <c r="AJ764" s="173">
        <f t="shared" si="374"/>
        <v>0</v>
      </c>
      <c r="AK764" s="173">
        <f t="shared" si="374"/>
        <v>0</v>
      </c>
      <c r="AL764" s="173">
        <f t="shared" si="374"/>
        <v>0</v>
      </c>
      <c r="AM764" s="259">
        <f t="shared" si="374"/>
        <v>0</v>
      </c>
      <c r="AN764" s="207">
        <f t="shared" si="374"/>
        <v>0</v>
      </c>
      <c r="AO764" s="254">
        <f t="shared" si="374"/>
        <v>0</v>
      </c>
      <c r="AP764" s="189"/>
    </row>
    <row r="765" spans="1:69" ht="18.600000000000001" hidden="1" x14ac:dyDescent="0.4">
      <c r="A765" s="816"/>
      <c r="B765" s="8" t="s">
        <v>252</v>
      </c>
      <c r="C765" s="22" t="s">
        <v>947</v>
      </c>
      <c r="D765" s="13">
        <f ca="1">'Климатични зони'!AD15</f>
        <v>206.9</v>
      </c>
      <c r="E765" s="13">
        <f ca="1">'Климатични зони'!AE15</f>
        <v>231.2</v>
      </c>
      <c r="F765" s="13">
        <f ca="1">'Климатични зони'!AF15</f>
        <v>239.9</v>
      </c>
      <c r="G765" s="13">
        <f ca="1">'Климатични зони'!AG15</f>
        <v>233</v>
      </c>
      <c r="H765" s="13">
        <f ca="1">'Климатични зони'!AH15</f>
        <v>178.7</v>
      </c>
      <c r="N765" s="829"/>
      <c r="O765" s="830"/>
      <c r="P765" s="174" t="s">
        <v>527</v>
      </c>
      <c r="Q765" s="175" t="s">
        <v>945</v>
      </c>
      <c r="R765" s="176">
        <f t="shared" ref="R765:AO765" ca="1" si="375">(1/1000)*(R764*($K$181-R760))*O$213</f>
        <v>0</v>
      </c>
      <c r="S765" s="176">
        <f t="shared" ca="1" si="375"/>
        <v>0</v>
      </c>
      <c r="T765" s="176">
        <f t="shared" ca="1" si="375"/>
        <v>0</v>
      </c>
      <c r="U765" s="176">
        <f t="shared" ca="1" si="375"/>
        <v>0</v>
      </c>
      <c r="V765" s="176">
        <f t="shared" ca="1" si="375"/>
        <v>0</v>
      </c>
      <c r="W765" s="176">
        <f t="shared" ca="1" si="375"/>
        <v>0</v>
      </c>
      <c r="X765" s="176">
        <f t="shared" ca="1" si="375"/>
        <v>0</v>
      </c>
      <c r="Y765" s="176">
        <f t="shared" ca="1" si="375"/>
        <v>0</v>
      </c>
      <c r="Z765" s="176">
        <f t="shared" ca="1" si="375"/>
        <v>0</v>
      </c>
      <c r="AA765" s="176">
        <f t="shared" ca="1" si="375"/>
        <v>0</v>
      </c>
      <c r="AB765" s="176">
        <f t="shared" ca="1" si="375"/>
        <v>0</v>
      </c>
      <c r="AC765" s="176">
        <f t="shared" ca="1" si="375"/>
        <v>0</v>
      </c>
      <c r="AD765" s="176">
        <f t="shared" ca="1" si="375"/>
        <v>0</v>
      </c>
      <c r="AE765" s="176">
        <f t="shared" ca="1" si="375"/>
        <v>0</v>
      </c>
      <c r="AF765" s="176">
        <f t="shared" ca="1" si="375"/>
        <v>0</v>
      </c>
      <c r="AG765" s="176">
        <f t="shared" ca="1" si="375"/>
        <v>0</v>
      </c>
      <c r="AH765" s="176">
        <f t="shared" ca="1" si="375"/>
        <v>0</v>
      </c>
      <c r="AI765" s="176">
        <f t="shared" ca="1" si="375"/>
        <v>0</v>
      </c>
      <c r="AJ765" s="176">
        <f t="shared" ca="1" si="375"/>
        <v>0</v>
      </c>
      <c r="AK765" s="176">
        <f t="shared" ca="1" si="375"/>
        <v>0</v>
      </c>
      <c r="AL765" s="176">
        <f t="shared" ca="1" si="375"/>
        <v>0</v>
      </c>
      <c r="AM765" s="260">
        <f t="shared" ca="1" si="375"/>
        <v>0</v>
      </c>
      <c r="AN765" s="208">
        <f t="shared" ca="1" si="375"/>
        <v>0</v>
      </c>
      <c r="AO765" s="273">
        <f t="shared" ca="1" si="375"/>
        <v>0</v>
      </c>
      <c r="AP765" s="188">
        <f ca="1">SUM(R765:AO765)</f>
        <v>0</v>
      </c>
      <c r="AS765" s="205" t="s">
        <v>886</v>
      </c>
      <c r="AT765" s="43">
        <f ca="1">(AT763+AT754+AT741+AT732+AT723+AT714+AT687)</f>
        <v>0</v>
      </c>
    </row>
    <row r="766" spans="1:69" ht="18.600000000000001" hidden="1" x14ac:dyDescent="0.4">
      <c r="A766" s="816"/>
      <c r="B766" s="8" t="s">
        <v>936</v>
      </c>
      <c r="C766" s="22" t="s">
        <v>949</v>
      </c>
      <c r="D766" s="9" t="e">
        <f ca="1">$L$670*$D$685*D757-0.5*$D$686</f>
        <v>#DIV/0!</v>
      </c>
      <c r="E766" s="9" t="e">
        <f ca="1">$L$670*$D$685*E757-0.5*$D$686</f>
        <v>#DIV/0!</v>
      </c>
      <c r="F766" s="9" t="e">
        <f ca="1">$L$670*$D$685*F757-0.5*$D$686</f>
        <v>#DIV/0!</v>
      </c>
      <c r="G766" s="9" t="e">
        <f ca="1">$L$670*$D$685*G757-0.5*$D$686</f>
        <v>#DIV/0!</v>
      </c>
      <c r="H766" s="9" t="e">
        <f ca="1">$L$670*$D$685*H757-0.5*$D$686</f>
        <v>#DIV/0!</v>
      </c>
      <c r="N766" s="829"/>
      <c r="O766" s="830"/>
      <c r="P766" s="177" t="s">
        <v>528</v>
      </c>
      <c r="Q766" s="178" t="s">
        <v>945</v>
      </c>
      <c r="R766" s="179" t="e">
        <f t="shared" ref="R766:AO766" ca="1" si="376">R765+R762</f>
        <v>#DIV/0!</v>
      </c>
      <c r="S766" s="179" t="e">
        <f t="shared" ca="1" si="376"/>
        <v>#DIV/0!</v>
      </c>
      <c r="T766" s="179" t="e">
        <f t="shared" ca="1" si="376"/>
        <v>#DIV/0!</v>
      </c>
      <c r="U766" s="179" t="e">
        <f t="shared" ca="1" si="376"/>
        <v>#DIV/0!</v>
      </c>
      <c r="V766" s="179" t="e">
        <f t="shared" ca="1" si="376"/>
        <v>#DIV/0!</v>
      </c>
      <c r="W766" s="179" t="e">
        <f t="shared" ca="1" si="376"/>
        <v>#DIV/0!</v>
      </c>
      <c r="X766" s="179" t="e">
        <f t="shared" ca="1" si="376"/>
        <v>#DIV/0!</v>
      </c>
      <c r="Y766" s="179" t="e">
        <f t="shared" ca="1" si="376"/>
        <v>#DIV/0!</v>
      </c>
      <c r="Z766" s="179" t="e">
        <f t="shared" ca="1" si="376"/>
        <v>#DIV/0!</v>
      </c>
      <c r="AA766" s="179" t="e">
        <f t="shared" ca="1" si="376"/>
        <v>#DIV/0!</v>
      </c>
      <c r="AB766" s="179" t="e">
        <f t="shared" ca="1" si="376"/>
        <v>#DIV/0!</v>
      </c>
      <c r="AC766" s="179" t="e">
        <f t="shared" ca="1" si="376"/>
        <v>#DIV/0!</v>
      </c>
      <c r="AD766" s="179" t="e">
        <f t="shared" ca="1" si="376"/>
        <v>#DIV/0!</v>
      </c>
      <c r="AE766" s="179" t="e">
        <f t="shared" ca="1" si="376"/>
        <v>#DIV/0!</v>
      </c>
      <c r="AF766" s="179" t="e">
        <f t="shared" ca="1" si="376"/>
        <v>#DIV/0!</v>
      </c>
      <c r="AG766" s="179" t="e">
        <f t="shared" ca="1" si="376"/>
        <v>#DIV/0!</v>
      </c>
      <c r="AH766" s="179" t="e">
        <f t="shared" ca="1" si="376"/>
        <v>#DIV/0!</v>
      </c>
      <c r="AI766" s="179" t="e">
        <f t="shared" ca="1" si="376"/>
        <v>#DIV/0!</v>
      </c>
      <c r="AJ766" s="179" t="e">
        <f t="shared" ca="1" si="376"/>
        <v>#DIV/0!</v>
      </c>
      <c r="AK766" s="179" t="e">
        <f t="shared" ca="1" si="376"/>
        <v>#DIV/0!</v>
      </c>
      <c r="AL766" s="179" t="e">
        <f t="shared" ca="1" si="376"/>
        <v>#DIV/0!</v>
      </c>
      <c r="AM766" s="261" t="e">
        <f t="shared" ca="1" si="376"/>
        <v>#DIV/0!</v>
      </c>
      <c r="AN766" s="293" t="e">
        <f t="shared" ca="1" si="376"/>
        <v>#DIV/0!</v>
      </c>
      <c r="AO766" s="274" t="e">
        <f t="shared" ca="1" si="376"/>
        <v>#DIV/0!</v>
      </c>
      <c r="AP766" s="190" t="e">
        <f ca="1">SUM(R766:AO766)</f>
        <v>#DIV/0!</v>
      </c>
    </row>
    <row r="767" spans="1:69" ht="18.600000000000001" hidden="1" x14ac:dyDescent="0.4">
      <c r="A767" s="816"/>
      <c r="B767" s="8" t="s">
        <v>246</v>
      </c>
      <c r="C767" s="22" t="s">
        <v>949</v>
      </c>
      <c r="D767" s="9" t="e">
        <f ca="1">$L$670*$E$685*D758-0.5*$E$686</f>
        <v>#DIV/0!</v>
      </c>
      <c r="E767" s="9" t="e">
        <f ca="1">$L$670*$E$685*E758-0.5*$E$686</f>
        <v>#DIV/0!</v>
      </c>
      <c r="F767" s="9" t="e">
        <f ca="1">$L$670*$E$685*F758-0.5*$E$686</f>
        <v>#DIV/0!</v>
      </c>
      <c r="G767" s="9" t="e">
        <f ca="1">$L$670*$E$685*G758-0.5*$E$686</f>
        <v>#DIV/0!</v>
      </c>
      <c r="H767" s="9" t="e">
        <f ca="1">$L$670*$E$685*H758-0.5*$E$686</f>
        <v>#DIV/0!</v>
      </c>
      <c r="N767" s="829"/>
      <c r="O767" s="830"/>
      <c r="P767" s="177" t="s">
        <v>529</v>
      </c>
      <c r="Q767" s="178" t="s">
        <v>945</v>
      </c>
      <c r="R767" s="179">
        <f t="shared" ref="R767:AC767" si="377">IF($O$617=1,(1/1000)*(0.34*A$641)*($K$181-R760)*O$369*R763,0)</f>
        <v>0</v>
      </c>
      <c r="S767" s="179">
        <f t="shared" si="377"/>
        <v>0</v>
      </c>
      <c r="T767" s="179">
        <f t="shared" si="377"/>
        <v>0</v>
      </c>
      <c r="U767" s="179">
        <f t="shared" si="377"/>
        <v>0</v>
      </c>
      <c r="V767" s="179">
        <f t="shared" si="377"/>
        <v>0</v>
      </c>
      <c r="W767" s="179">
        <f t="shared" si="377"/>
        <v>0</v>
      </c>
      <c r="X767" s="179">
        <f t="shared" si="377"/>
        <v>0</v>
      </c>
      <c r="Y767" s="179">
        <f t="shared" si="377"/>
        <v>0</v>
      </c>
      <c r="Z767" s="179">
        <f t="shared" si="377"/>
        <v>0</v>
      </c>
      <c r="AA767" s="179">
        <f t="shared" si="377"/>
        <v>0</v>
      </c>
      <c r="AB767" s="179">
        <f t="shared" si="377"/>
        <v>0</v>
      </c>
      <c r="AC767" s="179">
        <f t="shared" si="377"/>
        <v>0</v>
      </c>
      <c r="AD767" s="179">
        <f t="shared" ref="AD767:AO767" si="378">IF($O$617=1,(1/1000)*(0.34*N$641)*($K$181-AD760)*AA$369*AD763,0)</f>
        <v>0</v>
      </c>
      <c r="AE767" s="179">
        <f t="shared" si="378"/>
        <v>0</v>
      </c>
      <c r="AF767" s="179">
        <f t="shared" si="378"/>
        <v>0</v>
      </c>
      <c r="AG767" s="179">
        <f t="shared" si="378"/>
        <v>0</v>
      </c>
      <c r="AH767" s="179">
        <f t="shared" si="378"/>
        <v>0</v>
      </c>
      <c r="AI767" s="179">
        <f t="shared" si="378"/>
        <v>0</v>
      </c>
      <c r="AJ767" s="179">
        <f t="shared" si="378"/>
        <v>0</v>
      </c>
      <c r="AK767" s="179">
        <f t="shared" si="378"/>
        <v>0</v>
      </c>
      <c r="AL767" s="179">
        <f t="shared" si="378"/>
        <v>0</v>
      </c>
      <c r="AM767" s="261">
        <f t="shared" si="378"/>
        <v>0</v>
      </c>
      <c r="AN767" s="293">
        <f t="shared" si="378"/>
        <v>0</v>
      </c>
      <c r="AO767" s="274">
        <f t="shared" si="378"/>
        <v>0</v>
      </c>
      <c r="AP767" s="190">
        <f>SUM(R767:AO767)</f>
        <v>0</v>
      </c>
    </row>
    <row r="768" spans="1:69" ht="18.600000000000001" hidden="1" x14ac:dyDescent="0.4">
      <c r="A768" s="816"/>
      <c r="B768" s="8" t="s">
        <v>934</v>
      </c>
      <c r="C768" s="22" t="s">
        <v>949</v>
      </c>
      <c r="D768" s="9" t="e">
        <f ca="1">$L$670*$F$685*D759-0.5*$F$686</f>
        <v>#DIV/0!</v>
      </c>
      <c r="E768" s="9" t="e">
        <f ca="1">$L$670*$F$685*E759-0.5*$F$686</f>
        <v>#DIV/0!</v>
      </c>
      <c r="F768" s="9" t="e">
        <f ca="1">$L$670*$F$685*F759-0.5*$F$686</f>
        <v>#DIV/0!</v>
      </c>
      <c r="G768" s="9" t="e">
        <f ca="1">$L$670*$F$685*G759-0.5*$F$686</f>
        <v>#DIV/0!</v>
      </c>
      <c r="H768" s="9" t="e">
        <f ca="1">$L$670*$F$685*H759-0.5*$F$686</f>
        <v>#DIV/0!</v>
      </c>
      <c r="N768" s="829"/>
      <c r="O768" s="830"/>
      <c r="P768" s="174" t="s">
        <v>530</v>
      </c>
      <c r="Q768" s="175" t="s">
        <v>945</v>
      </c>
      <c r="R768" s="176">
        <f t="shared" ref="R768:AO768" si="379">(1/1000)*($L$697+$L$698)*O$239</f>
        <v>28.768000000000001</v>
      </c>
      <c r="S768" s="176">
        <f t="shared" si="379"/>
        <v>28.768000000000001</v>
      </c>
      <c r="T768" s="176">
        <f t="shared" si="379"/>
        <v>28.768000000000001</v>
      </c>
      <c r="U768" s="176">
        <f t="shared" si="379"/>
        <v>28.768000000000001</v>
      </c>
      <c r="V768" s="176">
        <f t="shared" si="379"/>
        <v>28.768000000000001</v>
      </c>
      <c r="W768" s="176">
        <f t="shared" si="379"/>
        <v>28.768000000000001</v>
      </c>
      <c r="X768" s="176">
        <f t="shared" si="379"/>
        <v>28.768000000000001</v>
      </c>
      <c r="Y768" s="176">
        <f t="shared" si="379"/>
        <v>28.768000000000001</v>
      </c>
      <c r="Z768" s="176">
        <f t="shared" si="379"/>
        <v>28.768000000000001</v>
      </c>
      <c r="AA768" s="176">
        <f t="shared" si="379"/>
        <v>28.768000000000001</v>
      </c>
      <c r="AB768" s="176">
        <f t="shared" si="379"/>
        <v>28.768000000000001</v>
      </c>
      <c r="AC768" s="176">
        <f t="shared" si="379"/>
        <v>28.768000000000001</v>
      </c>
      <c r="AD768" s="176">
        <f t="shared" si="379"/>
        <v>28.768000000000001</v>
      </c>
      <c r="AE768" s="176">
        <f t="shared" si="379"/>
        <v>28.768000000000001</v>
      </c>
      <c r="AF768" s="176">
        <f t="shared" si="379"/>
        <v>28.768000000000001</v>
      </c>
      <c r="AG768" s="176">
        <f t="shared" si="379"/>
        <v>28.768000000000001</v>
      </c>
      <c r="AH768" s="176">
        <f t="shared" si="379"/>
        <v>28.768000000000001</v>
      </c>
      <c r="AI768" s="176">
        <f t="shared" si="379"/>
        <v>28.768000000000001</v>
      </c>
      <c r="AJ768" s="176">
        <f t="shared" si="379"/>
        <v>28.768000000000001</v>
      </c>
      <c r="AK768" s="176">
        <f t="shared" si="379"/>
        <v>28.768000000000001</v>
      </c>
      <c r="AL768" s="176">
        <f t="shared" si="379"/>
        <v>28.768000000000001</v>
      </c>
      <c r="AM768" s="260">
        <f t="shared" si="379"/>
        <v>28.768000000000001</v>
      </c>
      <c r="AN768" s="208">
        <f t="shared" si="379"/>
        <v>28.768000000000001</v>
      </c>
      <c r="AO768" s="273">
        <f t="shared" si="379"/>
        <v>28.768000000000001</v>
      </c>
      <c r="AP768" s="188">
        <f>SUM(R768:AO768)</f>
        <v>690.43200000000047</v>
      </c>
    </row>
    <row r="769" spans="1:69" ht="19.2" hidden="1" thickBot="1" x14ac:dyDescent="0.45">
      <c r="A769" s="816"/>
      <c r="B769" s="8" t="s">
        <v>247</v>
      </c>
      <c r="C769" s="22" t="s">
        <v>949</v>
      </c>
      <c r="D769" s="9" t="e">
        <f ca="1">$L$670*$G$685*D760-0.5*$G$686</f>
        <v>#DIV/0!</v>
      </c>
      <c r="E769" s="9" t="e">
        <f ca="1">$L$670*$G$685*E760-0.5*$G$686</f>
        <v>#DIV/0!</v>
      </c>
      <c r="F769" s="9" t="e">
        <f ca="1">$L$670*$G$685*F760-0.5*$G$686</f>
        <v>#DIV/0!</v>
      </c>
      <c r="G769" s="9" t="e">
        <f ca="1">$L$670*$G$685*G760-0.5*$G$686</f>
        <v>#DIV/0!</v>
      </c>
      <c r="H769" s="9" t="e">
        <f ca="1">$L$670*$G$685*H760-0.5*$G$686</f>
        <v>#DIV/0!</v>
      </c>
      <c r="N769" s="251"/>
      <c r="O769" s="212"/>
      <c r="P769" s="213" t="s">
        <v>466</v>
      </c>
      <c r="Q769" s="213" t="s">
        <v>950</v>
      </c>
      <c r="R769" s="214">
        <v>0</v>
      </c>
      <c r="S769" s="214">
        <v>1</v>
      </c>
      <c r="T769" s="214">
        <v>2</v>
      </c>
      <c r="U769" s="214">
        <v>3</v>
      </c>
      <c r="V769" s="214">
        <v>4</v>
      </c>
      <c r="W769" s="214">
        <v>5</v>
      </c>
      <c r="X769" s="214">
        <v>6</v>
      </c>
      <c r="Y769" s="214">
        <v>7</v>
      </c>
      <c r="Z769" s="214">
        <v>8</v>
      </c>
      <c r="AA769" s="214">
        <v>9</v>
      </c>
      <c r="AB769" s="214">
        <v>10</v>
      </c>
      <c r="AC769" s="214">
        <v>11</v>
      </c>
      <c r="AD769" s="214">
        <v>12</v>
      </c>
      <c r="AE769" s="214">
        <v>13</v>
      </c>
      <c r="AF769" s="214">
        <v>14</v>
      </c>
      <c r="AG769" s="214">
        <v>15</v>
      </c>
      <c r="AH769" s="214">
        <v>16</v>
      </c>
      <c r="AI769" s="214">
        <v>17</v>
      </c>
      <c r="AJ769" s="214">
        <v>18</v>
      </c>
      <c r="AK769" s="214">
        <v>19</v>
      </c>
      <c r="AL769" s="214">
        <v>20</v>
      </c>
      <c r="AM769" s="264">
        <v>21</v>
      </c>
      <c r="AN769" s="294">
        <v>22</v>
      </c>
      <c r="AO769" s="280">
        <v>23</v>
      </c>
      <c r="AP769" s="193"/>
    </row>
    <row r="770" spans="1:69" ht="18.600000000000001" hidden="1" x14ac:dyDescent="0.4">
      <c r="A770" s="816"/>
      <c r="B770" s="8" t="s">
        <v>937</v>
      </c>
      <c r="C770" s="22" t="s">
        <v>949</v>
      </c>
      <c r="D770" s="9" t="e">
        <f ca="1">$L$670*$H$685*D761-0.5*$H$686</f>
        <v>#DIV/0!</v>
      </c>
      <c r="E770" s="9" t="e">
        <f ca="1">$L$670*$H$685*E761-0.5*$H$686</f>
        <v>#DIV/0!</v>
      </c>
      <c r="F770" s="9" t="e">
        <f ca="1">$L$670*$H$685*F761-0.5*$H$686</f>
        <v>#DIV/0!</v>
      </c>
      <c r="G770" s="9" t="e">
        <f ca="1">$L$670*$H$685*G761-0.5*$H$686</f>
        <v>#DIV/0!</v>
      </c>
      <c r="H770" s="9" t="e">
        <f ca="1">$L$670*$H$685*H761-0.5*$H$686</f>
        <v>#DIV/0!</v>
      </c>
      <c r="N770" s="850" t="s">
        <v>169</v>
      </c>
      <c r="O770" s="833">
        <v>5</v>
      </c>
      <c r="P770" s="180" t="s">
        <v>522</v>
      </c>
      <c r="Q770" s="181" t="s">
        <v>946</v>
      </c>
      <c r="R770" s="194">
        <f ca="1">'Климатични зони'!D8</f>
        <v>13.3</v>
      </c>
      <c r="S770" s="194">
        <f ca="1">'Климатични зони'!E8</f>
        <v>13.1</v>
      </c>
      <c r="T770" s="194">
        <f ca="1">'Климатични зони'!F8</f>
        <v>12.9</v>
      </c>
      <c r="U770" s="194">
        <f ca="1">'Климатични зони'!G8</f>
        <v>12.7</v>
      </c>
      <c r="V770" s="194">
        <f ca="1">'Климатични зони'!H8</f>
        <v>12.5</v>
      </c>
      <c r="W770" s="194">
        <f ca="1">'Климатични зони'!I8</f>
        <v>13.4</v>
      </c>
      <c r="X770" s="194">
        <f ca="1">'Климатични зони'!J8</f>
        <v>14.3</v>
      </c>
      <c r="Y770" s="194">
        <f ca="1">'Климатични зони'!K8</f>
        <v>15.2</v>
      </c>
      <c r="Z770" s="194">
        <f ca="1">'Климатични зони'!L8</f>
        <v>16.100000000000001</v>
      </c>
      <c r="AA770" s="194">
        <f ca="1">'Климатични зони'!M8</f>
        <v>17.2</v>
      </c>
      <c r="AB770" s="194">
        <f ca="1">'Климатични зони'!N8</f>
        <v>18.2</v>
      </c>
      <c r="AC770" s="194">
        <f ca="1">'Климатични зони'!O8</f>
        <v>18.100000000000001</v>
      </c>
      <c r="AD770" s="194">
        <f ca="1">'Климатични зони'!P8</f>
        <v>18.100000000000001</v>
      </c>
      <c r="AE770" s="194">
        <f ca="1">'Климатични зони'!Q8</f>
        <v>18.100000000000001</v>
      </c>
      <c r="AF770" s="194">
        <f ca="1">'Климатични зони'!R8</f>
        <v>17.8</v>
      </c>
      <c r="AG770" s="194">
        <f ca="1">'Климатични зони'!S8</f>
        <v>17.5</v>
      </c>
      <c r="AH770" s="194">
        <f ca="1">'Климатични зони'!T8</f>
        <v>17.2</v>
      </c>
      <c r="AI770" s="194">
        <f ca="1">'Климатични зони'!U8</f>
        <v>16.600000000000001</v>
      </c>
      <c r="AJ770" s="194">
        <f ca="1">'Климатични зони'!V8</f>
        <v>15.9</v>
      </c>
      <c r="AK770" s="194">
        <f ca="1">'Климатични зони'!W8</f>
        <v>15.3</v>
      </c>
      <c r="AL770" s="194">
        <f ca="1">'Климатични зони'!X8</f>
        <v>14.8</v>
      </c>
      <c r="AM770" s="265">
        <f ca="1">'Климатични зони'!Y8</f>
        <v>14.3</v>
      </c>
      <c r="AN770" s="295">
        <f ca="1">'Климатични зони'!Z8</f>
        <v>13.9</v>
      </c>
      <c r="AO770" s="281">
        <f ca="1">'Климатични зони'!AA8</f>
        <v>13.6</v>
      </c>
      <c r="AP770" s="189"/>
      <c r="AQ770" s="372" t="s">
        <v>707</v>
      </c>
      <c r="AR770" s="373">
        <f>K183</f>
        <v>25</v>
      </c>
    </row>
    <row r="771" spans="1:69" ht="18.600000000000001" hidden="1" x14ac:dyDescent="0.4">
      <c r="A771" s="816"/>
      <c r="B771" s="8" t="s">
        <v>248</v>
      </c>
      <c r="C771" s="22" t="s">
        <v>949</v>
      </c>
      <c r="D771" s="9" t="e">
        <f ca="1">$L$670*$I$685*D762-0.5*$I$686</f>
        <v>#DIV/0!</v>
      </c>
      <c r="E771" s="9" t="e">
        <f ca="1">$L$670*$I$685*E762-0.5*$I$686</f>
        <v>#DIV/0!</v>
      </c>
      <c r="F771" s="9" t="e">
        <f ca="1">$L$670*$I$685*F762-0.5*$I$686</f>
        <v>#DIV/0!</v>
      </c>
      <c r="G771" s="9" t="e">
        <f ca="1">$L$670*$I$685*G762-0.5*$I$686</f>
        <v>#DIV/0!</v>
      </c>
      <c r="H771" s="9" t="e">
        <f ca="1">$L$670*$I$685*H762-0.5*$I$686</f>
        <v>#DIV/0!</v>
      </c>
      <c r="N771" s="819"/>
      <c r="O771" s="822"/>
      <c r="P771" s="183" t="s">
        <v>531</v>
      </c>
      <c r="Q771" s="184" t="s">
        <v>1</v>
      </c>
      <c r="R771" s="195">
        <f ca="1">'Климатични зони'!D9</f>
        <v>78</v>
      </c>
      <c r="S771" s="195">
        <f ca="1">'Климатични зони'!E9</f>
        <v>77</v>
      </c>
      <c r="T771" s="195">
        <f ca="1">'Климатични зони'!F9</f>
        <v>79</v>
      </c>
      <c r="U771" s="195">
        <f ca="1">'Климатични зони'!G9</f>
        <v>80</v>
      </c>
      <c r="V771" s="195">
        <f ca="1">'Климатични зони'!H9</f>
        <v>81</v>
      </c>
      <c r="W771" s="195">
        <f ca="1">'Климатични зони'!I9</f>
        <v>79</v>
      </c>
      <c r="X771" s="195">
        <f ca="1">'Климатични зони'!J9</f>
        <v>76</v>
      </c>
      <c r="Y771" s="195">
        <f ca="1">'Климатични зони'!K9</f>
        <v>74</v>
      </c>
      <c r="Z771" s="195">
        <f ca="1">'Климатични зони'!L9</f>
        <v>71</v>
      </c>
      <c r="AA771" s="195">
        <f ca="1">'Климатични зони'!M9</f>
        <v>68</v>
      </c>
      <c r="AB771" s="195">
        <f ca="1">'Климатични зони'!N9</f>
        <v>65</v>
      </c>
      <c r="AC771" s="195">
        <f ca="1">'Климатични зони'!O9</f>
        <v>66</v>
      </c>
      <c r="AD771" s="195">
        <f ca="1">'Климатични зони'!P9</f>
        <v>67</v>
      </c>
      <c r="AE771" s="195">
        <f ca="1">'Климатични зони'!Q9</f>
        <v>68</v>
      </c>
      <c r="AF771" s="195">
        <f ca="1">'Климатични зони'!R9</f>
        <v>69</v>
      </c>
      <c r="AG771" s="195">
        <f ca="1">'Климатични зони'!S9</f>
        <v>69</v>
      </c>
      <c r="AH771" s="195">
        <f ca="1">'Климатични зони'!T9</f>
        <v>70</v>
      </c>
      <c r="AI771" s="195">
        <f ca="1">'Климатични зони'!U9</f>
        <v>73</v>
      </c>
      <c r="AJ771" s="195">
        <f ca="1">'Климатични зони'!V9</f>
        <v>75</v>
      </c>
      <c r="AK771" s="195">
        <f ca="1">'Климатични зони'!W9</f>
        <v>78</v>
      </c>
      <c r="AL771" s="195">
        <f ca="1">'Климатични зони'!X9</f>
        <v>78</v>
      </c>
      <c r="AM771" s="266">
        <f ca="1">'Климатични зони'!Y9</f>
        <v>78</v>
      </c>
      <c r="AN771" s="296">
        <f ca="1">'Климатични зони'!Z9</f>
        <v>77</v>
      </c>
      <c r="AO771" s="282">
        <f ca="1">'Климатични зони'!AA9</f>
        <v>78</v>
      </c>
      <c r="AP771" s="189"/>
      <c r="AQ771" s="374" t="s">
        <v>706</v>
      </c>
      <c r="AR771" s="375">
        <f>J890</f>
        <v>60</v>
      </c>
    </row>
    <row r="772" spans="1:69" ht="18.600000000000001" hidden="1" x14ac:dyDescent="0.4">
      <c r="A772" s="816"/>
      <c r="B772" s="8" t="s">
        <v>935</v>
      </c>
      <c r="C772" s="22" t="s">
        <v>949</v>
      </c>
      <c r="D772" s="9" t="e">
        <f ca="1">$L$670*$J$685*D763-0.5*$J$686</f>
        <v>#DIV/0!</v>
      </c>
      <c r="E772" s="9" t="e">
        <f ca="1">$L$670*$J$685*E763-0.5*$J$686</f>
        <v>#DIV/0!</v>
      </c>
      <c r="F772" s="9" t="e">
        <f ca="1">$L$670*$J$685*F763-0.5*$J$686</f>
        <v>#DIV/0!</v>
      </c>
      <c r="G772" s="9" t="e">
        <f ca="1">$L$670*$J$685*G763-0.5*$J$686</f>
        <v>#DIV/0!</v>
      </c>
      <c r="H772" s="9" t="e">
        <f ca="1">$L$670*$J$685*H763-0.5*$J$686</f>
        <v>#DIV/0!</v>
      </c>
      <c r="N772" s="819"/>
      <c r="O772" s="822"/>
      <c r="P772" s="170" t="s">
        <v>523</v>
      </c>
      <c r="Q772" s="172" t="s">
        <v>948</v>
      </c>
      <c r="R772" s="196">
        <f t="shared" ref="R772:AO772" ca="1" si="380">((1/($K$183-R770))*(((-$E$614)*5*COS(2*3.14*(($O770-1)/12))+($F$614*7.5*COS(2*3.14*(($O770-1-1)/12))))))</f>
        <v>6.6138691353393835E-43</v>
      </c>
      <c r="S772" s="196">
        <f t="shared" ca="1" si="380"/>
        <v>6.5027116708798972E-43</v>
      </c>
      <c r="T772" s="196">
        <f t="shared" ca="1" si="380"/>
        <v>6.395228833344693E-43</v>
      </c>
      <c r="U772" s="196">
        <f t="shared" ca="1" si="380"/>
        <v>6.2912413726399008E-43</v>
      </c>
      <c r="V772" s="196">
        <f t="shared" ca="1" si="380"/>
        <v>6.1905815106776625E-43</v>
      </c>
      <c r="W772" s="196">
        <f t="shared" ca="1" si="380"/>
        <v>6.6708852485750682E-43</v>
      </c>
      <c r="X772" s="196">
        <f t="shared" ca="1" si="380"/>
        <v>7.231987746118765E-43</v>
      </c>
      <c r="Y772" s="196">
        <f t="shared" ca="1" si="380"/>
        <v>7.896149886068447E-43</v>
      </c>
      <c r="Z772" s="196">
        <f t="shared" ca="1" si="380"/>
        <v>8.6946369531989657E-43</v>
      </c>
      <c r="AA772" s="196">
        <f t="shared" ca="1" si="380"/>
        <v>9.9208037030090745E-43</v>
      </c>
      <c r="AB772" s="196">
        <f t="shared" ca="1" si="380"/>
        <v>1.1379745424039819E-42</v>
      </c>
      <c r="AC772" s="196">
        <f t="shared" ca="1" si="380"/>
        <v>1.1214821577314608E-42</v>
      </c>
      <c r="AD772" s="196">
        <f t="shared" ca="1" si="380"/>
        <v>1.1214821577314608E-42</v>
      </c>
      <c r="AE772" s="196">
        <f t="shared" ca="1" si="380"/>
        <v>1.1214821577314608E-42</v>
      </c>
      <c r="AF772" s="196">
        <f t="shared" ca="1" si="380"/>
        <v>1.0747537344926498E-42</v>
      </c>
      <c r="AG772" s="196">
        <f t="shared" ca="1" si="380"/>
        <v>1.0317635851129438E-42</v>
      </c>
      <c r="AH772" s="196">
        <f t="shared" ca="1" si="380"/>
        <v>9.9208037030090745E-43</v>
      </c>
      <c r="AI772" s="196">
        <f t="shared" ca="1" si="380"/>
        <v>9.2121748670798561E-43</v>
      </c>
      <c r="AJ772" s="196">
        <f t="shared" ca="1" si="380"/>
        <v>8.5035460311506346E-43</v>
      </c>
      <c r="AK772" s="196">
        <f t="shared" ca="1" si="380"/>
        <v>7.9775534931413189E-43</v>
      </c>
      <c r="AL772" s="196">
        <f t="shared" ca="1" si="380"/>
        <v>7.5864969493598812E-43</v>
      </c>
      <c r="AM772" s="267">
        <f t="shared" ca="1" si="380"/>
        <v>7.231987746118765E-43</v>
      </c>
      <c r="AN772" s="295">
        <f t="shared" ca="1" si="380"/>
        <v>6.9713755750874584E-43</v>
      </c>
      <c r="AO772" s="283">
        <f t="shared" ca="1" si="380"/>
        <v>6.7879183231114722E-43</v>
      </c>
      <c r="AP772" s="189"/>
      <c r="AQ772" s="374" t="s">
        <v>708</v>
      </c>
      <c r="AR772" s="375">
        <f>AR771*AR782/100</f>
        <v>1895.1009799202106</v>
      </c>
    </row>
    <row r="773" spans="1:69" ht="18.600000000000001" hidden="1" x14ac:dyDescent="0.4">
      <c r="A773" s="816"/>
      <c r="B773" s="8" t="s">
        <v>249</v>
      </c>
      <c r="C773" s="22" t="s">
        <v>949</v>
      </c>
      <c r="D773" s="9" t="e">
        <f ca="1">$L$670*$K$685*D764-0.5*$K$686</f>
        <v>#DIV/0!</v>
      </c>
      <c r="E773" s="9" t="e">
        <f ca="1">$L$670*$K$685*E764-0.5*$K$686</f>
        <v>#DIV/0!</v>
      </c>
      <c r="F773" s="9" t="e">
        <f ca="1">$L$670*$K$685*F764-0.5*$K$686</f>
        <v>#DIV/0!</v>
      </c>
      <c r="G773" s="9" t="e">
        <f ca="1">$L$670*$K$685*G764-0.5*$K$686</f>
        <v>#DIV/0!</v>
      </c>
      <c r="H773" s="9" t="e">
        <f ca="1">$L$670*$K$685*H764-0.5*$K$686</f>
        <v>#DIV/0!</v>
      </c>
      <c r="N773" s="819"/>
      <c r="O773" s="822"/>
      <c r="P773" s="174" t="s">
        <v>524</v>
      </c>
      <c r="Q773" s="175" t="s">
        <v>945</v>
      </c>
      <c r="R773" s="176" t="e">
        <f t="shared" ref="R773:AO773" ca="1" si="381">(1/1000)*(($K$455+R772)*($K$183-R770))*O$206</f>
        <v>#DIV/0!</v>
      </c>
      <c r="S773" s="176" t="e">
        <f t="shared" ca="1" si="381"/>
        <v>#DIV/0!</v>
      </c>
      <c r="T773" s="176" t="e">
        <f t="shared" ca="1" si="381"/>
        <v>#DIV/0!</v>
      </c>
      <c r="U773" s="176" t="e">
        <f t="shared" ca="1" si="381"/>
        <v>#DIV/0!</v>
      </c>
      <c r="V773" s="176" t="e">
        <f t="shared" ca="1" si="381"/>
        <v>#DIV/0!</v>
      </c>
      <c r="W773" s="176" t="e">
        <f t="shared" ca="1" si="381"/>
        <v>#DIV/0!</v>
      </c>
      <c r="X773" s="176" t="e">
        <f t="shared" ca="1" si="381"/>
        <v>#DIV/0!</v>
      </c>
      <c r="Y773" s="176" t="e">
        <f t="shared" ca="1" si="381"/>
        <v>#DIV/0!</v>
      </c>
      <c r="Z773" s="176" t="e">
        <f t="shared" ca="1" si="381"/>
        <v>#DIV/0!</v>
      </c>
      <c r="AA773" s="176" t="e">
        <f t="shared" ca="1" si="381"/>
        <v>#DIV/0!</v>
      </c>
      <c r="AB773" s="176" t="e">
        <f t="shared" ca="1" si="381"/>
        <v>#DIV/0!</v>
      </c>
      <c r="AC773" s="176" t="e">
        <f t="shared" ca="1" si="381"/>
        <v>#DIV/0!</v>
      </c>
      <c r="AD773" s="176" t="e">
        <f t="shared" ca="1" si="381"/>
        <v>#DIV/0!</v>
      </c>
      <c r="AE773" s="176" t="e">
        <f t="shared" ca="1" si="381"/>
        <v>#DIV/0!</v>
      </c>
      <c r="AF773" s="176" t="e">
        <f t="shared" ca="1" si="381"/>
        <v>#DIV/0!</v>
      </c>
      <c r="AG773" s="176" t="e">
        <f t="shared" ca="1" si="381"/>
        <v>#DIV/0!</v>
      </c>
      <c r="AH773" s="176" t="e">
        <f t="shared" ca="1" si="381"/>
        <v>#DIV/0!</v>
      </c>
      <c r="AI773" s="176" t="e">
        <f t="shared" ca="1" si="381"/>
        <v>#DIV/0!</v>
      </c>
      <c r="AJ773" s="176" t="e">
        <f t="shared" ca="1" si="381"/>
        <v>#DIV/0!</v>
      </c>
      <c r="AK773" s="176" t="e">
        <f t="shared" ca="1" si="381"/>
        <v>#DIV/0!</v>
      </c>
      <c r="AL773" s="176" t="e">
        <f t="shared" ca="1" si="381"/>
        <v>#DIV/0!</v>
      </c>
      <c r="AM773" s="260" t="e">
        <f t="shared" ca="1" si="381"/>
        <v>#DIV/0!</v>
      </c>
      <c r="AN773" s="208" t="e">
        <f t="shared" ca="1" si="381"/>
        <v>#DIV/0!</v>
      </c>
      <c r="AO773" s="273" t="e">
        <f t="shared" ca="1" si="381"/>
        <v>#DIV/0!</v>
      </c>
      <c r="AP773" s="189" t="e">
        <f ca="1">SUM(R773:AO773)</f>
        <v>#DIV/0!</v>
      </c>
      <c r="AQ773" s="374" t="s">
        <v>1094</v>
      </c>
      <c r="AR773" s="373">
        <f>273.15+AR770</f>
        <v>298.14999999999998</v>
      </c>
    </row>
    <row r="774" spans="1:69" ht="18.600000000000001" hidden="1" x14ac:dyDescent="0.4">
      <c r="A774" s="816"/>
      <c r="B774" s="8" t="s">
        <v>253</v>
      </c>
      <c r="C774" s="22" t="s">
        <v>949</v>
      </c>
      <c r="D774" s="9" t="e">
        <f ca="1">$L$670*$L$685*D765-0.5*$L$686</f>
        <v>#DIV/0!</v>
      </c>
      <c r="E774" s="9" t="e">
        <f ca="1">$L$670*$L$685*E765-0.5*$L$686</f>
        <v>#DIV/0!</v>
      </c>
      <c r="F774" s="9" t="e">
        <f ca="1">$L$670*$L$685*F765-0.5*$L$686</f>
        <v>#DIV/0!</v>
      </c>
      <c r="G774" s="9" t="e">
        <f ca="1">$L$670*$L$685*G765-0.5*$L$686</f>
        <v>#DIV/0!</v>
      </c>
      <c r="H774" s="9" t="e">
        <f ca="1">$L$670*$L$685*H765-0.5*$L$686</f>
        <v>#DIV/0!</v>
      </c>
      <c r="N774" s="819"/>
      <c r="O774" s="822"/>
      <c r="P774" s="170" t="s">
        <v>525</v>
      </c>
      <c r="Q774" s="172" t="s">
        <v>950</v>
      </c>
      <c r="R774" s="196">
        <f t="shared" ref="R774:AO774" ca="1" si="382">IF(($K$183-$L$648)/($K$183-R770)=0,1,($K$183-$L$648)/($K$183-R770))</f>
        <v>0.25641025641025644</v>
      </c>
      <c r="S774" s="196">
        <f t="shared" ca="1" si="382"/>
        <v>0.25210084033613445</v>
      </c>
      <c r="T774" s="196">
        <f t="shared" ca="1" si="382"/>
        <v>0.24793388429752067</v>
      </c>
      <c r="U774" s="196">
        <f t="shared" ca="1" si="382"/>
        <v>0.24390243902439024</v>
      </c>
      <c r="V774" s="196">
        <f t="shared" ca="1" si="382"/>
        <v>0.24</v>
      </c>
      <c r="W774" s="196">
        <f t="shared" ca="1" si="382"/>
        <v>0.25862068965517243</v>
      </c>
      <c r="X774" s="196">
        <f t="shared" ca="1" si="382"/>
        <v>0.28037383177570097</v>
      </c>
      <c r="Y774" s="196">
        <f t="shared" ca="1" si="382"/>
        <v>0.30612244897959179</v>
      </c>
      <c r="Z774" s="196">
        <f t="shared" ca="1" si="382"/>
        <v>0.3370786516853933</v>
      </c>
      <c r="AA774" s="196">
        <f t="shared" ca="1" si="382"/>
        <v>0.38461538461538458</v>
      </c>
      <c r="AB774" s="196">
        <f t="shared" ca="1" si="382"/>
        <v>0.44117647058823523</v>
      </c>
      <c r="AC774" s="196">
        <f t="shared" ca="1" si="382"/>
        <v>0.43478260869565227</v>
      </c>
      <c r="AD774" s="196">
        <f t="shared" ca="1" si="382"/>
        <v>0.43478260869565227</v>
      </c>
      <c r="AE774" s="196">
        <f t="shared" ca="1" si="382"/>
        <v>0.43478260869565227</v>
      </c>
      <c r="AF774" s="196">
        <f t="shared" ca="1" si="382"/>
        <v>0.41666666666666669</v>
      </c>
      <c r="AG774" s="196">
        <f t="shared" ca="1" si="382"/>
        <v>0.4</v>
      </c>
      <c r="AH774" s="196">
        <f t="shared" ca="1" si="382"/>
        <v>0.38461538461538458</v>
      </c>
      <c r="AI774" s="196">
        <f t="shared" ca="1" si="382"/>
        <v>0.35714285714285721</v>
      </c>
      <c r="AJ774" s="196">
        <f t="shared" ca="1" si="382"/>
        <v>0.32967032967032966</v>
      </c>
      <c r="AK774" s="196">
        <f t="shared" ca="1" si="382"/>
        <v>0.30927835051546393</v>
      </c>
      <c r="AL774" s="196">
        <f t="shared" ca="1" si="382"/>
        <v>0.29411764705882354</v>
      </c>
      <c r="AM774" s="267">
        <f t="shared" ca="1" si="382"/>
        <v>0.28037383177570097</v>
      </c>
      <c r="AN774" s="295">
        <f t="shared" ca="1" si="382"/>
        <v>0.27027027027027029</v>
      </c>
      <c r="AO774" s="284">
        <f t="shared" ca="1" si="382"/>
        <v>0.26315789473684209</v>
      </c>
      <c r="AP774" s="189"/>
      <c r="AQ774" s="375"/>
      <c r="AR774" s="375"/>
    </row>
    <row r="775" spans="1:69" ht="18.600000000000001" x14ac:dyDescent="0.4">
      <c r="A775" s="816"/>
      <c r="B775" s="121" t="s">
        <v>938</v>
      </c>
      <c r="C775" s="122" t="s">
        <v>945</v>
      </c>
      <c r="D775" s="529" t="e">
        <f ca="1">(1/1000)*SUM(D766:D774)*AN206</f>
        <v>#DIV/0!</v>
      </c>
      <c r="E775" s="529" t="e">
        <f ca="1">(1/1000)*SUM(E766:E774)*AN207</f>
        <v>#DIV/0!</v>
      </c>
      <c r="F775" s="529" t="e">
        <f ca="1">(1/1000)*SUM(F766:F774)*AN208</f>
        <v>#DIV/0!</v>
      </c>
      <c r="G775" s="529" t="e">
        <f ca="1">(1/1000)*SUM(G766:G774)*AN209</f>
        <v>#DIV/0!</v>
      </c>
      <c r="H775" s="529" t="e">
        <f ca="1">(1/1000)*SUM(H766:H774)*AN210</f>
        <v>#DIV/0!</v>
      </c>
      <c r="N775" s="819"/>
      <c r="O775" s="822"/>
      <c r="P775" s="170" t="s">
        <v>526</v>
      </c>
      <c r="Q775" s="172" t="s">
        <v>948</v>
      </c>
      <c r="R775" s="173">
        <f t="shared" ref="R775:AO775" si="383">0.34*($K$186*(0.8*$F$25-$K$187))</f>
        <v>0</v>
      </c>
      <c r="S775" s="173">
        <f t="shared" si="383"/>
        <v>0</v>
      </c>
      <c r="T775" s="173">
        <f t="shared" si="383"/>
        <v>0</v>
      </c>
      <c r="U775" s="173">
        <f t="shared" si="383"/>
        <v>0</v>
      </c>
      <c r="V775" s="173">
        <f t="shared" si="383"/>
        <v>0</v>
      </c>
      <c r="W775" s="173">
        <f t="shared" si="383"/>
        <v>0</v>
      </c>
      <c r="X775" s="173">
        <f t="shared" si="383"/>
        <v>0</v>
      </c>
      <c r="Y775" s="173">
        <f t="shared" si="383"/>
        <v>0</v>
      </c>
      <c r="Z775" s="173">
        <f t="shared" si="383"/>
        <v>0</v>
      </c>
      <c r="AA775" s="173">
        <f t="shared" si="383"/>
        <v>0</v>
      </c>
      <c r="AB775" s="173">
        <f t="shared" si="383"/>
        <v>0</v>
      </c>
      <c r="AC775" s="173">
        <f t="shared" si="383"/>
        <v>0</v>
      </c>
      <c r="AD775" s="173">
        <f t="shared" si="383"/>
        <v>0</v>
      </c>
      <c r="AE775" s="173">
        <f t="shared" si="383"/>
        <v>0</v>
      </c>
      <c r="AF775" s="173">
        <f t="shared" si="383"/>
        <v>0</v>
      </c>
      <c r="AG775" s="173">
        <f t="shared" si="383"/>
        <v>0</v>
      </c>
      <c r="AH775" s="173">
        <f t="shared" si="383"/>
        <v>0</v>
      </c>
      <c r="AI775" s="173">
        <f t="shared" si="383"/>
        <v>0</v>
      </c>
      <c r="AJ775" s="173">
        <f t="shared" si="383"/>
        <v>0</v>
      </c>
      <c r="AK775" s="173">
        <f t="shared" si="383"/>
        <v>0</v>
      </c>
      <c r="AL775" s="173">
        <f t="shared" si="383"/>
        <v>0</v>
      </c>
      <c r="AM775" s="173">
        <f t="shared" si="383"/>
        <v>0</v>
      </c>
      <c r="AN775" s="173">
        <f t="shared" si="383"/>
        <v>0</v>
      </c>
      <c r="AO775" s="173">
        <f t="shared" si="383"/>
        <v>0</v>
      </c>
      <c r="AP775" s="189"/>
      <c r="AQ775" s="375"/>
      <c r="AR775" s="375"/>
    </row>
    <row r="776" spans="1:69" ht="18.600000000000001" hidden="1" x14ac:dyDescent="0.4">
      <c r="A776" s="816"/>
      <c r="B776" s="8" t="s">
        <v>85</v>
      </c>
      <c r="C776" s="22" t="s">
        <v>948</v>
      </c>
      <c r="D776" s="530">
        <f>$R$775</f>
        <v>0</v>
      </c>
      <c r="E776" s="530">
        <f>$R$795</f>
        <v>0</v>
      </c>
      <c r="F776" s="530">
        <f>$R$810</f>
        <v>0</v>
      </c>
      <c r="G776" s="530">
        <f>$R$827</f>
        <v>0</v>
      </c>
      <c r="H776" s="530">
        <f>$R$841</f>
        <v>0</v>
      </c>
      <c r="N776" s="819"/>
      <c r="O776" s="822"/>
      <c r="P776" s="174" t="s">
        <v>527</v>
      </c>
      <c r="Q776" s="175" t="s">
        <v>945</v>
      </c>
      <c r="R776" s="186">
        <f t="shared" ref="R776:AO776" ca="1" si="384">(1/1000)*(R775*($K$183-R770))*O$206</f>
        <v>0</v>
      </c>
      <c r="S776" s="186">
        <f t="shared" ca="1" si="384"/>
        <v>0</v>
      </c>
      <c r="T776" s="186">
        <f t="shared" ca="1" si="384"/>
        <v>0</v>
      </c>
      <c r="U776" s="186">
        <f t="shared" ca="1" si="384"/>
        <v>0</v>
      </c>
      <c r="V776" s="186">
        <f t="shared" ca="1" si="384"/>
        <v>0</v>
      </c>
      <c r="W776" s="186">
        <f t="shared" ca="1" si="384"/>
        <v>0</v>
      </c>
      <c r="X776" s="186">
        <f t="shared" ca="1" si="384"/>
        <v>0</v>
      </c>
      <c r="Y776" s="186">
        <f t="shared" ca="1" si="384"/>
        <v>0</v>
      </c>
      <c r="Z776" s="186">
        <f t="shared" ca="1" si="384"/>
        <v>0</v>
      </c>
      <c r="AA776" s="186">
        <f t="shared" ca="1" si="384"/>
        <v>0</v>
      </c>
      <c r="AB776" s="186">
        <f t="shared" ca="1" si="384"/>
        <v>0</v>
      </c>
      <c r="AC776" s="186">
        <f t="shared" ca="1" si="384"/>
        <v>0</v>
      </c>
      <c r="AD776" s="186">
        <f t="shared" ca="1" si="384"/>
        <v>0</v>
      </c>
      <c r="AE776" s="186">
        <f t="shared" ca="1" si="384"/>
        <v>0</v>
      </c>
      <c r="AF776" s="186">
        <f t="shared" ca="1" si="384"/>
        <v>0</v>
      </c>
      <c r="AG776" s="186">
        <f t="shared" ca="1" si="384"/>
        <v>0</v>
      </c>
      <c r="AH776" s="186">
        <f t="shared" ca="1" si="384"/>
        <v>0</v>
      </c>
      <c r="AI776" s="186">
        <f t="shared" ca="1" si="384"/>
        <v>0</v>
      </c>
      <c r="AJ776" s="186">
        <f t="shared" ca="1" si="384"/>
        <v>0</v>
      </c>
      <c r="AK776" s="186">
        <f t="shared" ca="1" si="384"/>
        <v>0</v>
      </c>
      <c r="AL776" s="186">
        <f t="shared" ca="1" si="384"/>
        <v>0</v>
      </c>
      <c r="AM776" s="268">
        <f t="shared" ca="1" si="384"/>
        <v>0</v>
      </c>
      <c r="AN776" s="209">
        <f t="shared" ca="1" si="384"/>
        <v>0</v>
      </c>
      <c r="AO776" s="285">
        <f t="shared" ca="1" si="384"/>
        <v>0</v>
      </c>
      <c r="AP776" s="189">
        <f ca="1">SUM(R776:AO776)</f>
        <v>0</v>
      </c>
      <c r="AQ776" s="375"/>
      <c r="AR776" s="375"/>
    </row>
    <row r="777" spans="1:69" ht="18.600000000000001" x14ac:dyDescent="0.4">
      <c r="A777" s="816"/>
      <c r="B777" s="121" t="s">
        <v>933</v>
      </c>
      <c r="C777" s="122" t="s">
        <v>945</v>
      </c>
      <c r="D777" s="529">
        <f>AP781</f>
        <v>690.43200000000047</v>
      </c>
      <c r="E777" s="529">
        <f>AP799</f>
        <v>668.16</v>
      </c>
      <c r="F777" s="529">
        <f>AP816</f>
        <v>690.43200000000047</v>
      </c>
      <c r="G777" s="529">
        <f>AP831</f>
        <v>690.43200000000047</v>
      </c>
      <c r="H777" s="529">
        <f>AP845</f>
        <v>668.16</v>
      </c>
      <c r="N777" s="819"/>
      <c r="O777" s="822"/>
      <c r="P777" s="177" t="s">
        <v>528</v>
      </c>
      <c r="Q777" s="178" t="s">
        <v>945</v>
      </c>
      <c r="R777" s="187" t="e">
        <f t="shared" ref="R777:AO777" ca="1" si="385">R776+R773</f>
        <v>#DIV/0!</v>
      </c>
      <c r="S777" s="187" t="e">
        <f t="shared" ca="1" si="385"/>
        <v>#DIV/0!</v>
      </c>
      <c r="T777" s="187" t="e">
        <f t="shared" ca="1" si="385"/>
        <v>#DIV/0!</v>
      </c>
      <c r="U777" s="187" t="e">
        <f t="shared" ca="1" si="385"/>
        <v>#DIV/0!</v>
      </c>
      <c r="V777" s="187" t="e">
        <f t="shared" ca="1" si="385"/>
        <v>#DIV/0!</v>
      </c>
      <c r="W777" s="187" t="e">
        <f t="shared" ca="1" si="385"/>
        <v>#DIV/0!</v>
      </c>
      <c r="X777" s="187" t="e">
        <f t="shared" ca="1" si="385"/>
        <v>#DIV/0!</v>
      </c>
      <c r="Y777" s="187" t="e">
        <f t="shared" ca="1" si="385"/>
        <v>#DIV/0!</v>
      </c>
      <c r="Z777" s="187" t="e">
        <f t="shared" ca="1" si="385"/>
        <v>#DIV/0!</v>
      </c>
      <c r="AA777" s="187" t="e">
        <f t="shared" ca="1" si="385"/>
        <v>#DIV/0!</v>
      </c>
      <c r="AB777" s="187" t="e">
        <f t="shared" ca="1" si="385"/>
        <v>#DIV/0!</v>
      </c>
      <c r="AC777" s="187" t="e">
        <f t="shared" ca="1" si="385"/>
        <v>#DIV/0!</v>
      </c>
      <c r="AD777" s="187" t="e">
        <f t="shared" ca="1" si="385"/>
        <v>#DIV/0!</v>
      </c>
      <c r="AE777" s="187" t="e">
        <f t="shared" ca="1" si="385"/>
        <v>#DIV/0!</v>
      </c>
      <c r="AF777" s="187" t="e">
        <f t="shared" ca="1" si="385"/>
        <v>#DIV/0!</v>
      </c>
      <c r="AG777" s="187" t="e">
        <f t="shared" ca="1" si="385"/>
        <v>#DIV/0!</v>
      </c>
      <c r="AH777" s="187" t="e">
        <f t="shared" ca="1" si="385"/>
        <v>#DIV/0!</v>
      </c>
      <c r="AI777" s="187" t="e">
        <f t="shared" ca="1" si="385"/>
        <v>#DIV/0!</v>
      </c>
      <c r="AJ777" s="187" t="e">
        <f t="shared" ca="1" si="385"/>
        <v>#DIV/0!</v>
      </c>
      <c r="AK777" s="187" t="e">
        <f t="shared" ca="1" si="385"/>
        <v>#DIV/0!</v>
      </c>
      <c r="AL777" s="187" t="e">
        <f t="shared" ca="1" si="385"/>
        <v>#DIV/0!</v>
      </c>
      <c r="AM777" s="269" t="e">
        <f t="shared" ca="1" si="385"/>
        <v>#DIV/0!</v>
      </c>
      <c r="AN777" s="297" t="e">
        <f t="shared" ca="1" si="385"/>
        <v>#DIV/0!</v>
      </c>
      <c r="AO777" s="286" t="e">
        <f t="shared" ca="1" si="385"/>
        <v>#DIV/0!</v>
      </c>
      <c r="AP777" s="189" t="e">
        <f ca="1">SUM(R777:AO777)</f>
        <v>#DIV/0!</v>
      </c>
      <c r="AQ777" s="375"/>
      <c r="AR777" s="375"/>
    </row>
    <row r="778" spans="1:69" ht="18.600000000000001" x14ac:dyDescent="0.4">
      <c r="A778" s="816"/>
      <c r="B778" s="121" t="s">
        <v>728</v>
      </c>
      <c r="C778" s="122" t="s">
        <v>945</v>
      </c>
      <c r="D778" s="529">
        <f>AP785</f>
        <v>0</v>
      </c>
      <c r="E778" s="529">
        <f>AP802</f>
        <v>0</v>
      </c>
      <c r="F778" s="529">
        <f>AP820</f>
        <v>0</v>
      </c>
      <c r="G778" s="529">
        <f>AP834</f>
        <v>0</v>
      </c>
      <c r="H778" s="529">
        <f>AP848</f>
        <v>0</v>
      </c>
      <c r="N778" s="819"/>
      <c r="O778" s="822"/>
      <c r="P778" s="177"/>
      <c r="Q778" s="178"/>
      <c r="R778" s="187"/>
      <c r="S778" s="187"/>
      <c r="T778" s="187"/>
      <c r="U778" s="187"/>
      <c r="V778" s="187"/>
      <c r="W778" s="187"/>
      <c r="X778" s="187"/>
      <c r="Y778" s="187"/>
      <c r="Z778" s="187"/>
      <c r="AA778" s="187"/>
      <c r="AB778" s="187"/>
      <c r="AC778" s="187"/>
      <c r="AD778" s="187"/>
      <c r="AE778" s="187"/>
      <c r="AF778" s="187"/>
      <c r="AG778" s="187"/>
      <c r="AH778" s="187"/>
      <c r="AI778" s="187"/>
      <c r="AJ778" s="187"/>
      <c r="AK778" s="187"/>
      <c r="AL778" s="187"/>
      <c r="AM778" s="269"/>
      <c r="AN778" s="297"/>
      <c r="AO778" s="286"/>
      <c r="AP778" s="189"/>
      <c r="AQ778" s="375"/>
      <c r="AR778" s="375"/>
    </row>
    <row r="779" spans="1:69" ht="18.600000000000001" x14ac:dyDescent="0.4">
      <c r="A779" s="816"/>
      <c r="B779" s="121" t="s">
        <v>729</v>
      </c>
      <c r="C779" s="122" t="s">
        <v>945</v>
      </c>
      <c r="D779" s="529">
        <f>$K$185*$L$695*$AN$232/1000</f>
        <v>690.43200000000002</v>
      </c>
      <c r="E779" s="529">
        <f>$K$185*$L$695*$AN$233/1000</f>
        <v>668.16</v>
      </c>
      <c r="F779" s="529">
        <f>$K$185*$L$695*$AN$234/1000</f>
        <v>690.43200000000002</v>
      </c>
      <c r="G779" s="529">
        <f>$K$185*$L$695*$AN$235/1000</f>
        <v>690.43200000000002</v>
      </c>
      <c r="H779" s="529">
        <f>$K$185*$L$695*$AN$236/1000</f>
        <v>668.16</v>
      </c>
      <c r="N779" s="819"/>
      <c r="O779" s="822"/>
      <c r="P779" s="177"/>
      <c r="Q779" s="178"/>
      <c r="R779" s="187"/>
      <c r="S779" s="187"/>
      <c r="T779" s="187"/>
      <c r="U779" s="187"/>
      <c r="V779" s="187"/>
      <c r="W779" s="187"/>
      <c r="X779" s="187"/>
      <c r="Y779" s="187"/>
      <c r="Z779" s="187"/>
      <c r="AA779" s="187"/>
      <c r="AB779" s="187"/>
      <c r="AC779" s="187"/>
      <c r="AD779" s="187"/>
      <c r="AE779" s="187"/>
      <c r="AF779" s="187"/>
      <c r="AG779" s="187"/>
      <c r="AH779" s="187"/>
      <c r="AI779" s="187"/>
      <c r="AJ779" s="187"/>
      <c r="AK779" s="187"/>
      <c r="AL779" s="187"/>
      <c r="AM779" s="269"/>
      <c r="AN779" s="297"/>
      <c r="AO779" s="286"/>
      <c r="AP779" s="189"/>
      <c r="AQ779" s="375"/>
      <c r="AR779" s="375"/>
    </row>
    <row r="780" spans="1:69" ht="18.600000000000001" x14ac:dyDescent="0.4">
      <c r="A780" s="816"/>
      <c r="B780" s="121" t="s">
        <v>929</v>
      </c>
      <c r="C780" s="122" t="s">
        <v>945</v>
      </c>
      <c r="D780" s="529" t="e">
        <f ca="1">AP773</f>
        <v>#DIV/0!</v>
      </c>
      <c r="E780" s="529" t="e">
        <f ca="1">AP791</f>
        <v>#DIV/0!</v>
      </c>
      <c r="F780" s="529" t="e">
        <f ca="1">AP807</f>
        <v>#DIV/0!</v>
      </c>
      <c r="G780" s="529" t="e">
        <f ca="1">AP825</f>
        <v>#DIV/0!</v>
      </c>
      <c r="H780" s="529" t="e">
        <f ca="1">AP839</f>
        <v>#DIV/0!</v>
      </c>
      <c r="N780" s="819"/>
      <c r="O780" s="822"/>
      <c r="P780" s="177" t="s">
        <v>529</v>
      </c>
      <c r="Q780" s="178" t="s">
        <v>945</v>
      </c>
      <c r="R780" s="187">
        <f t="shared" ref="R780:AC780" si="386">IF($O$617=1,(1/1000)*(0.34*A$641)*($K$183-R770)*O$360*R774,0)</f>
        <v>0</v>
      </c>
      <c r="S780" s="187">
        <f t="shared" si="386"/>
        <v>0</v>
      </c>
      <c r="T780" s="187">
        <f t="shared" si="386"/>
        <v>0</v>
      </c>
      <c r="U780" s="187">
        <f t="shared" si="386"/>
        <v>0</v>
      </c>
      <c r="V780" s="187">
        <f t="shared" si="386"/>
        <v>0</v>
      </c>
      <c r="W780" s="187">
        <f t="shared" si="386"/>
        <v>0</v>
      </c>
      <c r="X780" s="187">
        <f t="shared" si="386"/>
        <v>0</v>
      </c>
      <c r="Y780" s="187">
        <f t="shared" si="386"/>
        <v>0</v>
      </c>
      <c r="Z780" s="187">
        <f t="shared" si="386"/>
        <v>0</v>
      </c>
      <c r="AA780" s="187">
        <f t="shared" si="386"/>
        <v>0</v>
      </c>
      <c r="AB780" s="187">
        <f t="shared" si="386"/>
        <v>0</v>
      </c>
      <c r="AC780" s="187">
        <f t="shared" si="386"/>
        <v>0</v>
      </c>
      <c r="AD780" s="187">
        <f t="shared" ref="AD780:AO780" si="387">IF($O$617=1,(1/1000)*(0.34*N$641)*($K$183-AD770)*AA$360*AD774,0)</f>
        <v>0</v>
      </c>
      <c r="AE780" s="187">
        <f t="shared" si="387"/>
        <v>0</v>
      </c>
      <c r="AF780" s="187">
        <f t="shared" si="387"/>
        <v>0</v>
      </c>
      <c r="AG780" s="187">
        <f t="shared" si="387"/>
        <v>0</v>
      </c>
      <c r="AH780" s="187">
        <f t="shared" si="387"/>
        <v>0</v>
      </c>
      <c r="AI780" s="187">
        <f t="shared" si="387"/>
        <v>0</v>
      </c>
      <c r="AJ780" s="187">
        <f t="shared" si="387"/>
        <v>0</v>
      </c>
      <c r="AK780" s="187">
        <f t="shared" si="387"/>
        <v>0</v>
      </c>
      <c r="AL780" s="187">
        <f t="shared" si="387"/>
        <v>0</v>
      </c>
      <c r="AM780" s="269">
        <f t="shared" si="387"/>
        <v>0</v>
      </c>
      <c r="AN780" s="297">
        <f t="shared" si="387"/>
        <v>0</v>
      </c>
      <c r="AO780" s="286">
        <f t="shared" si="387"/>
        <v>0</v>
      </c>
      <c r="AP780" s="189">
        <f>SUM(R780:AO780)</f>
        <v>0</v>
      </c>
      <c r="AQ780" s="375"/>
      <c r="AR780" s="375"/>
    </row>
    <row r="781" spans="1:69" ht="18.600000000000001" x14ac:dyDescent="0.4">
      <c r="A781" s="816"/>
      <c r="B781" s="121" t="s">
        <v>496</v>
      </c>
      <c r="C781" s="122" t="s">
        <v>945</v>
      </c>
      <c r="D781" s="529">
        <f ca="1">AP776+AP785</f>
        <v>0</v>
      </c>
      <c r="E781" s="529">
        <f ca="1">AP796+AP802</f>
        <v>0</v>
      </c>
      <c r="F781" s="529">
        <f ca="1">AP811+AP820</f>
        <v>0</v>
      </c>
      <c r="G781" s="529">
        <f ca="1">AP828+AP834</f>
        <v>0</v>
      </c>
      <c r="H781" s="529">
        <f ca="1">AP842+AP848</f>
        <v>0</v>
      </c>
      <c r="N781" s="819"/>
      <c r="O781" s="822"/>
      <c r="P781" s="174" t="s">
        <v>530</v>
      </c>
      <c r="Q781" s="175" t="s">
        <v>945</v>
      </c>
      <c r="R781" s="186">
        <f t="shared" ref="R781:AO781" si="388">(1/1000)*($L$697+$L$698)*O$232</f>
        <v>28.768000000000001</v>
      </c>
      <c r="S781" s="186">
        <f t="shared" si="388"/>
        <v>28.768000000000001</v>
      </c>
      <c r="T781" s="186">
        <f t="shared" si="388"/>
        <v>28.768000000000001</v>
      </c>
      <c r="U781" s="186">
        <f t="shared" si="388"/>
        <v>28.768000000000001</v>
      </c>
      <c r="V781" s="186">
        <f t="shared" si="388"/>
        <v>28.768000000000001</v>
      </c>
      <c r="W781" s="186">
        <f t="shared" si="388"/>
        <v>28.768000000000001</v>
      </c>
      <c r="X781" s="186">
        <f t="shared" si="388"/>
        <v>28.768000000000001</v>
      </c>
      <c r="Y781" s="186">
        <f t="shared" si="388"/>
        <v>28.768000000000001</v>
      </c>
      <c r="Z781" s="186">
        <f t="shared" si="388"/>
        <v>28.768000000000001</v>
      </c>
      <c r="AA781" s="186">
        <f t="shared" si="388"/>
        <v>28.768000000000001</v>
      </c>
      <c r="AB781" s="186">
        <f t="shared" si="388"/>
        <v>28.768000000000001</v>
      </c>
      <c r="AC781" s="186">
        <f t="shared" si="388"/>
        <v>28.768000000000001</v>
      </c>
      <c r="AD781" s="186">
        <f t="shared" si="388"/>
        <v>28.768000000000001</v>
      </c>
      <c r="AE781" s="186">
        <f t="shared" si="388"/>
        <v>28.768000000000001</v>
      </c>
      <c r="AF781" s="186">
        <f t="shared" si="388"/>
        <v>28.768000000000001</v>
      </c>
      <c r="AG781" s="186">
        <f t="shared" si="388"/>
        <v>28.768000000000001</v>
      </c>
      <c r="AH781" s="186">
        <f t="shared" si="388"/>
        <v>28.768000000000001</v>
      </c>
      <c r="AI781" s="186">
        <f t="shared" si="388"/>
        <v>28.768000000000001</v>
      </c>
      <c r="AJ781" s="186">
        <f t="shared" si="388"/>
        <v>28.768000000000001</v>
      </c>
      <c r="AK781" s="186">
        <f t="shared" si="388"/>
        <v>28.768000000000001</v>
      </c>
      <c r="AL781" s="186">
        <f t="shared" si="388"/>
        <v>28.768000000000001</v>
      </c>
      <c r="AM781" s="268">
        <f t="shared" si="388"/>
        <v>28.768000000000001</v>
      </c>
      <c r="AN781" s="209">
        <f t="shared" si="388"/>
        <v>28.768000000000001</v>
      </c>
      <c r="AO781" s="285">
        <f t="shared" si="388"/>
        <v>28.768000000000001</v>
      </c>
      <c r="AP781" s="189">
        <f>SUM(R781:AO781)</f>
        <v>690.43200000000047</v>
      </c>
      <c r="AQ781" s="375"/>
      <c r="AR781" s="375"/>
    </row>
    <row r="782" spans="1:69" ht="18.600000000000001" x14ac:dyDescent="0.4">
      <c r="A782" s="816"/>
      <c r="B782" s="117" t="s">
        <v>266</v>
      </c>
      <c r="C782" s="118" t="s">
        <v>945</v>
      </c>
      <c r="D782" s="531" t="e">
        <f ca="1">AP777</f>
        <v>#DIV/0!</v>
      </c>
      <c r="E782" s="531" t="e">
        <f ca="1">AP797</f>
        <v>#DIV/0!</v>
      </c>
      <c r="F782" s="531" t="e">
        <f ca="1">AP812</f>
        <v>#DIV/0!</v>
      </c>
      <c r="G782" s="531" t="e">
        <f ca="1">AP829</f>
        <v>#DIV/0!</v>
      </c>
      <c r="H782" s="531" t="e">
        <f ca="1">AP843</f>
        <v>#DIV/0!</v>
      </c>
      <c r="N782" s="819"/>
      <c r="O782" s="822"/>
      <c r="P782" s="173" t="s">
        <v>532</v>
      </c>
      <c r="Q782" s="173"/>
      <c r="R782" s="196">
        <f ca="1">(2.71828^(77.345+0.0057*(273.15+R770)-7235/(273.15+R770)))/((273.15+R770)^8.2)</f>
        <v>1522.7025410514611</v>
      </c>
      <c r="S782" s="196">
        <f t="shared" ref="S782:AO782" ca="1" si="389">(2.71828^(77.345+0.0057*(273.15+S770)-7235/(273.15+S770)))/((273.15+S770)^8.2)</f>
        <v>1502.9455436134256</v>
      </c>
      <c r="T782" s="196">
        <f t="shared" ca="1" si="389"/>
        <v>1483.414223909899</v>
      </c>
      <c r="U782" s="196">
        <f t="shared" ca="1" si="389"/>
        <v>1464.1063838646169</v>
      </c>
      <c r="V782" s="196">
        <f t="shared" ca="1" si="389"/>
        <v>1445.0198426686331</v>
      </c>
      <c r="W782" s="196">
        <f t="shared" ca="1" si="389"/>
        <v>1532.6663605651845</v>
      </c>
      <c r="X782" s="196">
        <f t="shared" ca="1" si="389"/>
        <v>1624.950847902531</v>
      </c>
      <c r="Y782" s="196">
        <f t="shared" ca="1" si="389"/>
        <v>1722.0804122019979</v>
      </c>
      <c r="Z782" s="196">
        <f t="shared" ca="1" si="389"/>
        <v>1824.2695227128622</v>
      </c>
      <c r="AA782" s="196">
        <f t="shared" ca="1" si="389"/>
        <v>1956.3627707796472</v>
      </c>
      <c r="AB782" s="196">
        <f t="shared" ca="1" si="389"/>
        <v>2083.6484043369678</v>
      </c>
      <c r="AC782" s="196">
        <f t="shared" ca="1" si="389"/>
        <v>2070.6014709636825</v>
      </c>
      <c r="AD782" s="196">
        <f t="shared" ca="1" si="389"/>
        <v>2070.6014709636825</v>
      </c>
      <c r="AE782" s="196">
        <f t="shared" ca="1" si="389"/>
        <v>2070.6014709636825</v>
      </c>
      <c r="AF782" s="196">
        <f t="shared" ca="1" si="389"/>
        <v>2031.8891311575635</v>
      </c>
      <c r="AG782" s="196">
        <f t="shared" ca="1" si="389"/>
        <v>1993.8125202642684</v>
      </c>
      <c r="AH782" s="196">
        <f t="shared" ca="1" si="389"/>
        <v>1956.3627707796472</v>
      </c>
      <c r="AI782" s="196">
        <f t="shared" ca="1" si="389"/>
        <v>1883.3088803029586</v>
      </c>
      <c r="AJ782" s="196">
        <f t="shared" ca="1" si="389"/>
        <v>1801.1123367038604</v>
      </c>
      <c r="AK782" s="196">
        <f t="shared" ca="1" si="389"/>
        <v>1733.1809089027174</v>
      </c>
      <c r="AL782" s="196">
        <f t="shared" ca="1" si="389"/>
        <v>1678.3000024664309</v>
      </c>
      <c r="AM782" s="267">
        <f t="shared" ca="1" si="389"/>
        <v>1624.950847902531</v>
      </c>
      <c r="AN782" s="295">
        <f t="shared" ca="1" si="389"/>
        <v>1583.3498415874478</v>
      </c>
      <c r="AO782" s="284">
        <f t="shared" ca="1" si="389"/>
        <v>1552.7660340094976</v>
      </c>
      <c r="AP782" s="189"/>
      <c r="AQ782" s="374" t="s">
        <v>720</v>
      </c>
      <c r="AR782" s="376">
        <f>((EXP(1))^(77.345+0.0057*AR773-7235/AR773))/(AR773^8.2)</f>
        <v>3158.5016332003511</v>
      </c>
    </row>
    <row r="783" spans="1:69" ht="18.600000000000001" x14ac:dyDescent="0.4">
      <c r="A783" s="816"/>
      <c r="B783" s="117" t="s">
        <v>859</v>
      </c>
      <c r="C783" s="118" t="s">
        <v>945</v>
      </c>
      <c r="D783" s="531" t="e">
        <f ca="1">D775</f>
        <v>#DIV/0!</v>
      </c>
      <c r="E783" s="531" t="e">
        <f ca="1">E775</f>
        <v>#DIV/0!</v>
      </c>
      <c r="F783" s="531" t="e">
        <f ca="1">F775</f>
        <v>#DIV/0!</v>
      </c>
      <c r="G783" s="531" t="e">
        <f ca="1">G775</f>
        <v>#DIV/0!</v>
      </c>
      <c r="H783" s="531" t="e">
        <f ca="1">H775</f>
        <v>#DIV/0!</v>
      </c>
      <c r="N783" s="819"/>
      <c r="O783" s="822"/>
      <c r="P783" s="173"/>
      <c r="Q783" s="173"/>
      <c r="R783" s="196"/>
      <c r="S783" s="196"/>
      <c r="T783" s="196"/>
      <c r="U783" s="196"/>
      <c r="V783" s="196"/>
      <c r="W783" s="196"/>
      <c r="X783" s="196"/>
      <c r="Y783" s="196"/>
      <c r="Z783" s="196"/>
      <c r="AA783" s="196"/>
      <c r="AB783" s="196"/>
      <c r="AC783" s="196"/>
      <c r="AD783" s="196"/>
      <c r="AE783" s="196"/>
      <c r="AF783" s="196"/>
      <c r="AG783" s="196"/>
      <c r="AH783" s="196"/>
      <c r="AI783" s="196"/>
      <c r="AJ783" s="196"/>
      <c r="AK783" s="196"/>
      <c r="AL783" s="196"/>
      <c r="AM783" s="267"/>
      <c r="AN783" s="295"/>
      <c r="AO783" s="284"/>
      <c r="AP783" s="189"/>
      <c r="AQ783" s="374"/>
      <c r="AR783" s="376"/>
    </row>
    <row r="784" spans="1:69" ht="18.600000000000001" x14ac:dyDescent="0.4">
      <c r="A784" s="816"/>
      <c r="B784" s="117" t="s">
        <v>497</v>
      </c>
      <c r="C784" s="118" t="s">
        <v>945</v>
      </c>
      <c r="D784" s="531" t="e">
        <f ca="1">D775+D777</f>
        <v>#DIV/0!</v>
      </c>
      <c r="E784" s="531" t="e">
        <f ca="1">E775+E777</f>
        <v>#DIV/0!</v>
      </c>
      <c r="F784" s="531" t="e">
        <f ca="1">F775+F777</f>
        <v>#DIV/0!</v>
      </c>
      <c r="G784" s="531" t="e">
        <f ca="1">G775+G777</f>
        <v>#DIV/0!</v>
      </c>
      <c r="H784" s="531" t="e">
        <f ca="1">H775+H777</f>
        <v>#DIV/0!</v>
      </c>
      <c r="N784" s="819"/>
      <c r="O784" s="822"/>
      <c r="P784" s="173" t="s">
        <v>533</v>
      </c>
      <c r="Q784" s="173"/>
      <c r="R784" s="196">
        <f ca="1">0.62198*(R771*R782/100)/(101325-(R771*R782/100))</f>
        <v>7.377177830255743E-3</v>
      </c>
      <c r="S784" s="196">
        <f t="shared" ref="S784:AO784" ca="1" si="390">0.62198*(S771*S782/100)/(101325-(S771*S782/100))</f>
        <v>7.1859228457889987E-3</v>
      </c>
      <c r="T784" s="196">
        <f t="shared" ca="1" si="390"/>
        <v>7.2778238845394869E-3</v>
      </c>
      <c r="U784" s="196">
        <f t="shared" ca="1" si="390"/>
        <v>7.2739779217163751E-3</v>
      </c>
      <c r="V784" s="196">
        <f t="shared" ca="1" si="390"/>
        <v>7.2688320664474121E-3</v>
      </c>
      <c r="W784" s="196">
        <f t="shared" ca="1" si="390"/>
        <v>7.5223837223509157E-3</v>
      </c>
      <c r="X784" s="196">
        <f t="shared" ca="1" si="390"/>
        <v>7.6743109090733662E-3</v>
      </c>
      <c r="Y784" s="196">
        <f t="shared" ca="1" si="390"/>
        <v>7.9221234664220846E-3</v>
      </c>
      <c r="Z784" s="196">
        <f t="shared" ca="1" si="390"/>
        <v>8.0536825482584781E-3</v>
      </c>
      <c r="AA784" s="196">
        <f t="shared" ca="1" si="390"/>
        <v>8.2748066827671423E-3</v>
      </c>
      <c r="AB784" s="196">
        <f t="shared" ca="1" si="390"/>
        <v>8.4263945797927869E-3</v>
      </c>
      <c r="AC784" s="196">
        <f t="shared" ca="1" si="390"/>
        <v>8.5034970363882106E-3</v>
      </c>
      <c r="AD784" s="196">
        <f t="shared" ca="1" si="390"/>
        <v>8.6341264280373944E-3</v>
      </c>
      <c r="AE784" s="196">
        <f t="shared" ca="1" si="390"/>
        <v>8.7648099609107695E-3</v>
      </c>
      <c r="AF784" s="196">
        <f t="shared" ca="1" si="390"/>
        <v>8.7269013919588113E-3</v>
      </c>
      <c r="AG784" s="196">
        <f t="shared" ca="1" si="390"/>
        <v>8.5611125354356152E-3</v>
      </c>
      <c r="AH784" s="196">
        <f t="shared" ca="1" si="390"/>
        <v>8.5215177635416597E-3</v>
      </c>
      <c r="AI784" s="196">
        <f t="shared" ca="1" si="390"/>
        <v>8.555339222330571E-3</v>
      </c>
      <c r="AJ784" s="196">
        <f t="shared" ca="1" si="390"/>
        <v>8.4040900177108496E-3</v>
      </c>
      <c r="AK784" s="196">
        <f t="shared" ca="1" si="390"/>
        <v>8.4106910084235601E-3</v>
      </c>
      <c r="AL784" s="196">
        <f t="shared" ca="1" si="390"/>
        <v>8.1408819604613433E-3</v>
      </c>
      <c r="AM784" s="267">
        <f t="shared" ca="1" si="390"/>
        <v>7.8788246965172254E-3</v>
      </c>
      <c r="AN784" s="295">
        <f t="shared" ca="1" si="390"/>
        <v>7.5750359452710012E-3</v>
      </c>
      <c r="AO784" s="284">
        <f t="shared" ca="1" si="390"/>
        <v>7.5245912767660812E-3</v>
      </c>
      <c r="AP784" s="189"/>
      <c r="AQ784" s="374" t="s">
        <v>709</v>
      </c>
      <c r="AR784" s="376">
        <f>(0.62198*AR772)/(101325-AR772)</f>
        <v>1.1854733024044729E-2</v>
      </c>
      <c r="AS784" s="206" t="s">
        <v>594</v>
      </c>
      <c r="AT784" s="43">
        <f ca="1">1.006*(R770)+R784*(1.84*(R770)+2501)</f>
        <v>32.010656049331637</v>
      </c>
      <c r="AU784" s="43">
        <f t="shared" ref="AU784:BQ784" ca="1" si="391">1.006*(S770)+S784*(1.84*(S770)+2501)</f>
        <v>31.323802521593183</v>
      </c>
      <c r="AV784" s="43">
        <f t="shared" ca="1" si="391"/>
        <v>31.351983962956687</v>
      </c>
      <c r="AW784" s="43">
        <f t="shared" ca="1" si="391"/>
        <v>31.138397098287321</v>
      </c>
      <c r="AX784" s="43">
        <f t="shared" ca="1" si="391"/>
        <v>30.921532135713267</v>
      </c>
      <c r="AY784" s="43">
        <f t="shared" ca="1" si="391"/>
        <v>32.479353582657929</v>
      </c>
      <c r="AZ784" s="43">
        <f t="shared" ca="1" si="391"/>
        <v>33.781178052232029</v>
      </c>
      <c r="BA784" s="43">
        <f t="shared" ca="1" si="391"/>
        <v>35.325996738630522</v>
      </c>
      <c r="BB784" s="43">
        <f t="shared" ca="1" si="391"/>
        <v>36.577442345004059</v>
      </c>
      <c r="BC784" s="43">
        <f t="shared" ca="1" si="391"/>
        <v>38.26037259549684</v>
      </c>
      <c r="BD784" s="43">
        <f t="shared" ca="1" si="391"/>
        <v>39.665795945749863</v>
      </c>
      <c r="BE784" s="43">
        <f t="shared" ca="1" si="391"/>
        <v>39.759046553306788</v>
      </c>
      <c r="BF784" s="43">
        <f t="shared" ca="1" si="391"/>
        <v>40.090101143080886</v>
      </c>
      <c r="BG784" s="43">
        <f t="shared" ca="1" si="391"/>
        <v>40.421292943176013</v>
      </c>
      <c r="BH784" s="43">
        <f t="shared" ca="1" si="391"/>
        <v>40.018603855678421</v>
      </c>
      <c r="BI784" s="43">
        <f t="shared" ca="1" si="391"/>
        <v>39.292010274765502</v>
      </c>
      <c r="BJ784" s="43">
        <f t="shared" ca="1" si="391"/>
        <v>38.885204920798259</v>
      </c>
      <c r="BK784" s="43">
        <f t="shared" ca="1" si="391"/>
        <v>38.357817676255621</v>
      </c>
      <c r="BL784" s="43">
        <f t="shared" ca="1" si="391"/>
        <v>37.25989919185298</v>
      </c>
      <c r="BM784" s="43">
        <f t="shared" ca="1" si="391"/>
        <v>36.663715985336466</v>
      </c>
      <c r="BN784" s="43">
        <f t="shared" ca="1" si="391"/>
        <v>35.470838280661106</v>
      </c>
      <c r="BO784" s="43">
        <f t="shared" ca="1" si="391"/>
        <v>34.298048201404342</v>
      </c>
      <c r="BP784" s="43">
        <f t="shared" ca="1" si="391"/>
        <v>33.122304018459026</v>
      </c>
      <c r="BQ784" s="43">
        <f t="shared" ca="1" si="391"/>
        <v>32.688898155301757</v>
      </c>
    </row>
    <row r="785" spans="1:69" ht="18.600000000000001" hidden="1" x14ac:dyDescent="0.4">
      <c r="A785" s="816"/>
      <c r="B785" s="117" t="s">
        <v>415</v>
      </c>
      <c r="C785" s="118" t="s">
        <v>945</v>
      </c>
      <c r="D785" s="163">
        <f>IF(E282=1,IF(AP780=0,0,AP780+AP786),0)</f>
        <v>0</v>
      </c>
      <c r="E785" s="163">
        <f>IF(F282=1,IF(AP798=0,0,AP798+AP803),0)</f>
        <v>0</v>
      </c>
      <c r="F785" s="163">
        <f>IF(G282=1,IF(AP815=0,0,AP815+AP821),0)</f>
        <v>0</v>
      </c>
      <c r="G785" s="163">
        <f>IF(H282=1,IF(AP830=0,0,AP830+AP835),0)</f>
        <v>0</v>
      </c>
      <c r="H785" s="163">
        <f>IF(I282=1,IF(AP844=0,0,AP844+AP849),0)</f>
        <v>0</v>
      </c>
      <c r="N785" s="819"/>
      <c r="O785" s="822"/>
      <c r="P785" s="176" t="s">
        <v>534</v>
      </c>
      <c r="Q785" s="176"/>
      <c r="R785" s="186">
        <f t="shared" ref="R785:AO785" ca="1" si="392">((0.3*(0.8*$F$25-$K$187)*(R784+$AR$784)*(101325/(286.9*(273.15+R770)))*2501)/3600)*O$206</f>
        <v>0</v>
      </c>
      <c r="S785" s="186">
        <f t="shared" ca="1" si="392"/>
        <v>0</v>
      </c>
      <c r="T785" s="186">
        <f t="shared" ca="1" si="392"/>
        <v>0</v>
      </c>
      <c r="U785" s="186">
        <f t="shared" ca="1" si="392"/>
        <v>0</v>
      </c>
      <c r="V785" s="186">
        <f t="shared" ca="1" si="392"/>
        <v>0</v>
      </c>
      <c r="W785" s="186">
        <f t="shared" ca="1" si="392"/>
        <v>0</v>
      </c>
      <c r="X785" s="186">
        <f t="shared" ca="1" si="392"/>
        <v>0</v>
      </c>
      <c r="Y785" s="186">
        <f t="shared" ca="1" si="392"/>
        <v>0</v>
      </c>
      <c r="Z785" s="186">
        <f t="shared" ca="1" si="392"/>
        <v>0</v>
      </c>
      <c r="AA785" s="186">
        <f t="shared" ca="1" si="392"/>
        <v>0</v>
      </c>
      <c r="AB785" s="186">
        <f t="shared" ca="1" si="392"/>
        <v>0</v>
      </c>
      <c r="AC785" s="186">
        <f t="shared" ca="1" si="392"/>
        <v>0</v>
      </c>
      <c r="AD785" s="186">
        <f t="shared" ca="1" si="392"/>
        <v>0</v>
      </c>
      <c r="AE785" s="186">
        <f t="shared" ca="1" si="392"/>
        <v>0</v>
      </c>
      <c r="AF785" s="186">
        <f t="shared" ca="1" si="392"/>
        <v>0</v>
      </c>
      <c r="AG785" s="186">
        <f t="shared" ca="1" si="392"/>
        <v>0</v>
      </c>
      <c r="AH785" s="186">
        <f t="shared" ca="1" si="392"/>
        <v>0</v>
      </c>
      <c r="AI785" s="186">
        <f t="shared" ca="1" si="392"/>
        <v>0</v>
      </c>
      <c r="AJ785" s="186">
        <f t="shared" ca="1" si="392"/>
        <v>0</v>
      </c>
      <c r="AK785" s="186">
        <f t="shared" ca="1" si="392"/>
        <v>0</v>
      </c>
      <c r="AL785" s="186">
        <f t="shared" ca="1" si="392"/>
        <v>0</v>
      </c>
      <c r="AM785" s="268">
        <f t="shared" ca="1" si="392"/>
        <v>0</v>
      </c>
      <c r="AN785" s="209">
        <f t="shared" ca="1" si="392"/>
        <v>0</v>
      </c>
      <c r="AO785" s="285">
        <f t="shared" ca="1" si="392"/>
        <v>0</v>
      </c>
      <c r="AP785" s="189">
        <f>IF($K$198=0,0,SUM(R785:AO785))</f>
        <v>0</v>
      </c>
      <c r="AQ785" s="375"/>
      <c r="AR785" s="375"/>
      <c r="AT785" s="43">
        <f t="shared" ref="AT785:BQ785" ca="1" si="393">($K$870*AT784-$K$871*$K$868)</f>
        <v>-14.36464658464763</v>
      </c>
      <c r="AU785" s="43">
        <f t="shared" ca="1" si="393"/>
        <v>-15.167881773333093</v>
      </c>
      <c r="AV785" s="43">
        <f t="shared" ca="1" si="393"/>
        <v>-15.134925219341767</v>
      </c>
      <c r="AW785" s="43">
        <f t="shared" ca="1" si="393"/>
        <v>-15.384702615271173</v>
      </c>
      <c r="AX785" s="43">
        <f t="shared" ca="1" si="393"/>
        <v>-15.638313555737604</v>
      </c>
      <c r="AY785" s="43">
        <f t="shared" ca="1" si="393"/>
        <v>-13.816532122955422</v>
      </c>
      <c r="AZ785" s="43">
        <f t="shared" ca="1" si="393"/>
        <v>-12.294124242345568</v>
      </c>
      <c r="BA785" s="43">
        <f t="shared" ca="1" si="393"/>
        <v>-10.487548780558576</v>
      </c>
      <c r="BB785" s="43">
        <f t="shared" ca="1" si="393"/>
        <v>-9.024056045688603</v>
      </c>
      <c r="BC785" s="43">
        <f t="shared" ca="1" si="393"/>
        <v>-7.05596715525229</v>
      </c>
      <c r="BD785" s="43">
        <f t="shared" ca="1" si="393"/>
        <v>-5.4124064187435508</v>
      </c>
      <c r="BE785" s="43">
        <f t="shared" ca="1" si="393"/>
        <v>-5.3033552654319465</v>
      </c>
      <c r="BF785" s="43">
        <f t="shared" ca="1" si="393"/>
        <v>-4.9162062079641302</v>
      </c>
      <c r="BG785" s="43">
        <f t="shared" ca="1" si="393"/>
        <v>-4.5288966910189359</v>
      </c>
      <c r="BH785" s="43">
        <f t="shared" ca="1" si="393"/>
        <v>-4.9998181205742469</v>
      </c>
      <c r="BI785" s="43">
        <f t="shared" ca="1" si="393"/>
        <v>-5.849526986427918</v>
      </c>
      <c r="BJ785" s="43">
        <f t="shared" ca="1" si="393"/>
        <v>-6.325262149830273</v>
      </c>
      <c r="BK785" s="43">
        <f t="shared" ca="1" si="393"/>
        <v>-6.9420108098762014</v>
      </c>
      <c r="BL785" s="43">
        <f t="shared" ca="1" si="393"/>
        <v>-8.2259625191789496</v>
      </c>
      <c r="BM785" s="43">
        <f t="shared" ca="1" si="393"/>
        <v>-8.923164049109424</v>
      </c>
      <c r="BN785" s="43">
        <f t="shared" ca="1" si="393"/>
        <v>-10.318165034761279</v>
      </c>
      <c r="BO785" s="43">
        <f t="shared" ca="1" si="393"/>
        <v>-11.68967471267176</v>
      </c>
      <c r="BP785" s="43">
        <f t="shared" ca="1" si="393"/>
        <v>-13.064639042757477</v>
      </c>
      <c r="BQ785" s="43">
        <f t="shared" ca="1" si="393"/>
        <v>-13.571481952069981</v>
      </c>
    </row>
    <row r="786" spans="1:69" ht="18.600000000000001" hidden="1" thickBot="1" x14ac:dyDescent="0.4">
      <c r="A786" s="816"/>
      <c r="B786" s="8" t="s">
        <v>970</v>
      </c>
      <c r="C786" s="22" t="s">
        <v>950</v>
      </c>
      <c r="D786" s="9" t="e">
        <f>$J$704/($K$455+D776)</f>
        <v>#DIV/0!</v>
      </c>
      <c r="E786" s="9" t="e">
        <f>$J$704/($K$455+E776)</f>
        <v>#DIV/0!</v>
      </c>
      <c r="F786" s="9" t="e">
        <f>$J$704/($K$455+F776)</f>
        <v>#DIV/0!</v>
      </c>
      <c r="G786" s="9" t="e">
        <f>$J$704/($K$455+G776)</f>
        <v>#DIV/0!</v>
      </c>
      <c r="H786" s="9" t="e">
        <f>$J$704/($K$455+H776)</f>
        <v>#DIV/0!</v>
      </c>
      <c r="N786" s="820"/>
      <c r="O786" s="823"/>
      <c r="P786" s="185" t="s">
        <v>535</v>
      </c>
      <c r="Q786" s="185"/>
      <c r="R786" s="197" t="e">
        <f t="shared" ref="R786:AO786" ca="1" si="394">((0.3*(A$641)*(R784+$AR$784)*(101325/(286.9*(273.15+R770)))*2501)/3600)*O$360</f>
        <v>#DIV/0!</v>
      </c>
      <c r="S786" s="197" t="e">
        <f t="shared" ca="1" si="394"/>
        <v>#DIV/0!</v>
      </c>
      <c r="T786" s="197" t="e">
        <f t="shared" ca="1" si="394"/>
        <v>#DIV/0!</v>
      </c>
      <c r="U786" s="197" t="e">
        <f t="shared" ca="1" si="394"/>
        <v>#DIV/0!</v>
      </c>
      <c r="V786" s="197" t="e">
        <f t="shared" ca="1" si="394"/>
        <v>#DIV/0!</v>
      </c>
      <c r="W786" s="197" t="e">
        <f t="shared" ca="1" si="394"/>
        <v>#DIV/0!</v>
      </c>
      <c r="X786" s="197" t="e">
        <f t="shared" ca="1" si="394"/>
        <v>#DIV/0!</v>
      </c>
      <c r="Y786" s="197" t="e">
        <f t="shared" ca="1" si="394"/>
        <v>#DIV/0!</v>
      </c>
      <c r="Z786" s="197" t="e">
        <f t="shared" ca="1" si="394"/>
        <v>#DIV/0!</v>
      </c>
      <c r="AA786" s="197" t="e">
        <f t="shared" ca="1" si="394"/>
        <v>#DIV/0!</v>
      </c>
      <c r="AB786" s="197" t="e">
        <f t="shared" ca="1" si="394"/>
        <v>#DIV/0!</v>
      </c>
      <c r="AC786" s="197" t="e">
        <f t="shared" ca="1" si="394"/>
        <v>#DIV/0!</v>
      </c>
      <c r="AD786" s="197">
        <f t="shared" ca="1" si="394"/>
        <v>0</v>
      </c>
      <c r="AE786" s="197" t="e">
        <f t="shared" ca="1" si="394"/>
        <v>#DIV/0!</v>
      </c>
      <c r="AF786" s="197" t="e">
        <f t="shared" ca="1" si="394"/>
        <v>#DIV/0!</v>
      </c>
      <c r="AG786" s="197" t="e">
        <f t="shared" ca="1" si="394"/>
        <v>#DIV/0!</v>
      </c>
      <c r="AH786" s="197" t="e">
        <f t="shared" ca="1" si="394"/>
        <v>#DIV/0!</v>
      </c>
      <c r="AI786" s="197" t="e">
        <f t="shared" ca="1" si="394"/>
        <v>#DIV/0!</v>
      </c>
      <c r="AJ786" s="197" t="e">
        <f t="shared" ca="1" si="394"/>
        <v>#DIV/0!</v>
      </c>
      <c r="AK786" s="197" t="e">
        <f t="shared" ca="1" si="394"/>
        <v>#DIV/0!</v>
      </c>
      <c r="AL786" s="197" t="e">
        <f t="shared" ca="1" si="394"/>
        <v>#DIV/0!</v>
      </c>
      <c r="AM786" s="270" t="e">
        <f t="shared" ca="1" si="394"/>
        <v>#DIV/0!</v>
      </c>
      <c r="AN786" s="209" t="e">
        <f t="shared" ca="1" si="394"/>
        <v>#DIV/0!</v>
      </c>
      <c r="AO786" s="287" t="e">
        <f t="shared" ca="1" si="394"/>
        <v>#DIV/0!</v>
      </c>
      <c r="AP786" s="189">
        <f>IF($K$198=0,0,SUM(R786:AO786))</f>
        <v>0</v>
      </c>
      <c r="AQ786" s="375"/>
      <c r="AR786" s="375"/>
      <c r="AT786" s="43">
        <f t="shared" ref="AT786:BQ786" ca="1" si="395">IF(AT785*O360&lt;0,0,AT785*O360)</f>
        <v>0</v>
      </c>
      <c r="AU786" s="43">
        <f t="shared" ca="1" si="395"/>
        <v>0</v>
      </c>
      <c r="AV786" s="43">
        <f t="shared" ca="1" si="395"/>
        <v>0</v>
      </c>
      <c r="AW786" s="43">
        <f t="shared" ca="1" si="395"/>
        <v>0</v>
      </c>
      <c r="AX786" s="43">
        <f t="shared" ca="1" si="395"/>
        <v>0</v>
      </c>
      <c r="AY786" s="43">
        <f t="shared" ca="1" si="395"/>
        <v>0</v>
      </c>
      <c r="AZ786" s="43">
        <f t="shared" ca="1" si="395"/>
        <v>0</v>
      </c>
      <c r="BA786" s="43">
        <f t="shared" ca="1" si="395"/>
        <v>0</v>
      </c>
      <c r="BB786" s="43">
        <f t="shared" ca="1" si="395"/>
        <v>0</v>
      </c>
      <c r="BC786" s="43">
        <f t="shared" ca="1" si="395"/>
        <v>0</v>
      </c>
      <c r="BD786" s="43">
        <f t="shared" ca="1" si="395"/>
        <v>0</v>
      </c>
      <c r="BE786" s="43">
        <f t="shared" ca="1" si="395"/>
        <v>0</v>
      </c>
      <c r="BF786" s="43">
        <f t="shared" ca="1" si="395"/>
        <v>0</v>
      </c>
      <c r="BG786" s="43">
        <f t="shared" ca="1" si="395"/>
        <v>0</v>
      </c>
      <c r="BH786" s="43">
        <f t="shared" ca="1" si="395"/>
        <v>0</v>
      </c>
      <c r="BI786" s="43">
        <f t="shared" ca="1" si="395"/>
        <v>0</v>
      </c>
      <c r="BJ786" s="43">
        <f t="shared" ca="1" si="395"/>
        <v>0</v>
      </c>
      <c r="BK786" s="43">
        <f t="shared" ca="1" si="395"/>
        <v>0</v>
      </c>
      <c r="BL786" s="43">
        <f t="shared" ca="1" si="395"/>
        <v>0</v>
      </c>
      <c r="BM786" s="43">
        <f t="shared" ca="1" si="395"/>
        <v>0</v>
      </c>
      <c r="BN786" s="43">
        <f t="shared" ca="1" si="395"/>
        <v>0</v>
      </c>
      <c r="BO786" s="43">
        <f t="shared" ca="1" si="395"/>
        <v>0</v>
      </c>
      <c r="BP786" s="43">
        <f t="shared" ca="1" si="395"/>
        <v>0</v>
      </c>
      <c r="BQ786" s="43">
        <f t="shared" ca="1" si="395"/>
        <v>0</v>
      </c>
    </row>
    <row r="787" spans="1:69" ht="18.600000000000001" hidden="1" x14ac:dyDescent="0.4">
      <c r="A787" s="816"/>
      <c r="B787" s="8" t="s">
        <v>704</v>
      </c>
      <c r="C787" s="22" t="s">
        <v>950</v>
      </c>
      <c r="D787" s="9" t="e">
        <f>1+D786/15</f>
        <v>#DIV/0!</v>
      </c>
      <c r="E787" s="9" t="e">
        <f>1+E786/15</f>
        <v>#DIV/0!</v>
      </c>
      <c r="F787" s="9" t="e">
        <f>1+F786/15</f>
        <v>#DIV/0!</v>
      </c>
      <c r="G787" s="9" t="e">
        <f>1+G786/15</f>
        <v>#DIV/0!</v>
      </c>
      <c r="H787" s="9" t="e">
        <f>1+H786/15</f>
        <v>#DIV/0!</v>
      </c>
      <c r="N787" s="818" t="s">
        <v>170</v>
      </c>
      <c r="O787" s="821">
        <v>6</v>
      </c>
      <c r="P787" s="180" t="s">
        <v>522</v>
      </c>
      <c r="Q787" s="181" t="s">
        <v>946</v>
      </c>
      <c r="R787" s="194">
        <f ca="1">'Климатични зони'!D10</f>
        <v>16</v>
      </c>
      <c r="S787" s="194">
        <f ca="1">'Климатични зони'!E10</f>
        <v>16.8</v>
      </c>
      <c r="T787" s="194">
        <f ca="1">'Климатични зони'!F10</f>
        <v>15.8</v>
      </c>
      <c r="U787" s="194">
        <f ca="1">'Климатични зони'!G10</f>
        <v>15.3</v>
      </c>
      <c r="V787" s="194">
        <f ca="1">'Климатични зони'!H10</f>
        <v>16.100000000000001</v>
      </c>
      <c r="W787" s="194">
        <f ca="1">'Климатични зони'!I10</f>
        <v>15.9</v>
      </c>
      <c r="X787" s="194">
        <f ca="1">'Климатични зони'!J10</f>
        <v>17.8</v>
      </c>
      <c r="Y787" s="194">
        <f ca="1">'Климатични зони'!K10</f>
        <v>19</v>
      </c>
      <c r="Z787" s="194">
        <f ca="1">'Климатични зони'!L10</f>
        <v>21.3</v>
      </c>
      <c r="AA787" s="194">
        <f ca="1">'Климатични зони'!M10</f>
        <v>22.5</v>
      </c>
      <c r="AB787" s="194">
        <f ca="1">'Климатични зони'!N10</f>
        <v>22.3</v>
      </c>
      <c r="AC787" s="194">
        <f ca="1">'Климатични зони'!O10</f>
        <v>23.8</v>
      </c>
      <c r="AD787" s="194">
        <f ca="1">'Климатични зони'!P10</f>
        <v>23.9</v>
      </c>
      <c r="AE787" s="194">
        <f ca="1">'Климатични зони'!Q10</f>
        <v>23.3</v>
      </c>
      <c r="AF787" s="194">
        <f ca="1">'Климатични зони'!R10</f>
        <v>24.1</v>
      </c>
      <c r="AG787" s="194">
        <f ca="1">'Климатични зони'!S10</f>
        <v>23.8</v>
      </c>
      <c r="AH787" s="194">
        <f ca="1">'Климатични зони'!T10</f>
        <v>22.3</v>
      </c>
      <c r="AI787" s="194">
        <f ca="1">'Климатични зони'!U10</f>
        <v>22.2</v>
      </c>
      <c r="AJ787" s="194">
        <f ca="1">'Климатични зони'!V10</f>
        <v>20.9</v>
      </c>
      <c r="AK787" s="194">
        <f ca="1">'Климатични зони'!W10</f>
        <v>19.5</v>
      </c>
      <c r="AL787" s="194">
        <f ca="1">'Климатични зони'!X10</f>
        <v>17.8</v>
      </c>
      <c r="AM787" s="265">
        <f ca="1">'Климатични зони'!Y10</f>
        <v>17.600000000000001</v>
      </c>
      <c r="AN787" s="295">
        <f ca="1">'Климатични зони'!Z10</f>
        <v>17.399999999999999</v>
      </c>
      <c r="AO787" s="281">
        <f ca="1">'Климатични зони'!AA10</f>
        <v>16.399999999999999</v>
      </c>
      <c r="AP787" s="189"/>
      <c r="AQ787" s="375"/>
      <c r="AR787" s="375"/>
      <c r="AT787" s="929">
        <f ca="1">SUM(AT786:BQ786)</f>
        <v>0</v>
      </c>
      <c r="AU787" s="929"/>
      <c r="AV787" s="929"/>
      <c r="AW787" s="929"/>
      <c r="AX787" s="929"/>
      <c r="AY787" s="929"/>
      <c r="AZ787" s="929"/>
      <c r="BA787" s="929"/>
      <c r="BB787" s="929"/>
      <c r="BC787" s="929"/>
      <c r="BD787" s="929"/>
      <c r="BE787" s="929"/>
      <c r="BF787" s="929"/>
      <c r="BG787" s="929"/>
      <c r="BH787" s="929"/>
      <c r="BI787" s="929"/>
      <c r="BJ787" s="929"/>
      <c r="BK787" s="929"/>
      <c r="BL787" s="929"/>
      <c r="BM787" s="929"/>
      <c r="BN787" s="929"/>
      <c r="BO787" s="929"/>
      <c r="BP787" s="929"/>
      <c r="BQ787" s="929"/>
    </row>
    <row r="788" spans="1:69" ht="18.600000000000001" hidden="1" x14ac:dyDescent="0.4">
      <c r="A788" s="816"/>
      <c r="B788" s="8" t="s">
        <v>705</v>
      </c>
      <c r="C788" s="13" t="s">
        <v>950</v>
      </c>
      <c r="D788" s="9" t="e">
        <f ca="1">D784/D782</f>
        <v>#DIV/0!</v>
      </c>
      <c r="E788" s="9" t="e">
        <f ca="1">E784/E782</f>
        <v>#DIV/0!</v>
      </c>
      <c r="F788" s="9" t="e">
        <f ca="1">F784/F782</f>
        <v>#DIV/0!</v>
      </c>
      <c r="G788" s="9" t="e">
        <f ca="1">G784/G782</f>
        <v>#DIV/0!</v>
      </c>
      <c r="H788" s="9" t="e">
        <f ca="1">H784/H782</f>
        <v>#DIV/0!</v>
      </c>
      <c r="N788" s="819"/>
      <c r="O788" s="822"/>
      <c r="P788" s="183" t="s">
        <v>531</v>
      </c>
      <c r="Q788" s="184" t="s">
        <v>1</v>
      </c>
      <c r="R788" s="196">
        <f ca="1">'Климатични зони'!D11</f>
        <v>89</v>
      </c>
      <c r="S788" s="196">
        <f ca="1">'Климатични зони'!E11</f>
        <v>89</v>
      </c>
      <c r="T788" s="196">
        <f ca="1">'Климатични зони'!F11</f>
        <v>90</v>
      </c>
      <c r="U788" s="196">
        <f ca="1">'Климатични зони'!G11</f>
        <v>91</v>
      </c>
      <c r="V788" s="196">
        <f ca="1">'Климатични зони'!H11</f>
        <v>88</v>
      </c>
      <c r="W788" s="196">
        <f ca="1">'Климатични зони'!I11</f>
        <v>89</v>
      </c>
      <c r="X788" s="196">
        <f ca="1">'Климатични зони'!J11</f>
        <v>83</v>
      </c>
      <c r="Y788" s="196">
        <f ca="1">'Климатични зони'!K11</f>
        <v>79</v>
      </c>
      <c r="Z788" s="196">
        <f ca="1">'Климатични зони'!L11</f>
        <v>69</v>
      </c>
      <c r="AA788" s="196">
        <f ca="1">'Климатични зони'!M11</f>
        <v>65</v>
      </c>
      <c r="AB788" s="196">
        <f ca="1">'Климатични зони'!N11</f>
        <v>71</v>
      </c>
      <c r="AC788" s="196">
        <f ca="1">'Климатични зони'!O11</f>
        <v>59</v>
      </c>
      <c r="AD788" s="196">
        <f ca="1">'Климатични зони'!P11</f>
        <v>60</v>
      </c>
      <c r="AE788" s="196">
        <f ca="1">'Климатични зони'!Q11</f>
        <v>70</v>
      </c>
      <c r="AF788" s="196">
        <f ca="1">'Климатични зони'!R11</f>
        <v>59</v>
      </c>
      <c r="AG788" s="196">
        <f ca="1">'Климатични зони'!S11</f>
        <v>59</v>
      </c>
      <c r="AH788" s="196">
        <f ca="1">'Климатични зони'!T11</f>
        <v>73</v>
      </c>
      <c r="AI788" s="196">
        <f ca="1">'Климатични зони'!U11</f>
        <v>65</v>
      </c>
      <c r="AJ788" s="196">
        <f ca="1">'Климатични зони'!V11</f>
        <v>72</v>
      </c>
      <c r="AK788" s="196">
        <f ca="1">'Климатични зони'!W11</f>
        <v>82</v>
      </c>
      <c r="AL788" s="196">
        <f ca="1">'Климатични зони'!X11</f>
        <v>86</v>
      </c>
      <c r="AM788" s="267">
        <f ca="1">'Климатични зони'!Y11</f>
        <v>87</v>
      </c>
      <c r="AN788" s="295">
        <f ca="1">'Климатични зони'!Z11</f>
        <v>89</v>
      </c>
      <c r="AO788" s="284">
        <f ca="1">'Климатични зони'!AA11</f>
        <v>88</v>
      </c>
      <c r="AP788" s="189"/>
      <c r="AQ788" s="375"/>
      <c r="AR788" s="375"/>
    </row>
    <row r="789" spans="1:69" ht="18" hidden="1" x14ac:dyDescent="0.35">
      <c r="A789" s="816"/>
      <c r="B789" s="8" t="s">
        <v>939</v>
      </c>
      <c r="C789" s="13" t="s">
        <v>950</v>
      </c>
      <c r="D789" s="9" t="e">
        <f ca="1">IF(D788=1,D787/(D787+1),IF(D788&gt;0,(1-D788^(-D787))/(1-D788^(-(D787+1))),1))</f>
        <v>#DIV/0!</v>
      </c>
      <c r="E789" s="9" t="e">
        <f ca="1">IF(E788=1,E787/(E787+1),IF(E788&gt;0,(1-E788^(-E787))/(1-E788^(-(E787+1))),1))</f>
        <v>#DIV/0!</v>
      </c>
      <c r="F789" s="9" t="e">
        <f ca="1">IF(F788=1,F787/(F787+1),IF(F788&gt;0,(1-F788^(-F787))/(1-F788^(-(F787+1))),1))</f>
        <v>#DIV/0!</v>
      </c>
      <c r="G789" s="9" t="e">
        <f ca="1">IF(G788=1,G787/(G787+1),IF(G788&gt;0,(1-G788^(-G787))/(1-G788^(-(G787+1))),1))</f>
        <v>#DIV/0!</v>
      </c>
      <c r="H789" s="9" t="e">
        <f ca="1">IF(H788=1,H787/(H787+1),IF(H788&gt;0,(1-H788^(-H787))/(1-H788^(-(H787+1))),1))</f>
        <v>#DIV/0!</v>
      </c>
      <c r="N789" s="819"/>
      <c r="O789" s="822"/>
      <c r="P789" s="170" t="s">
        <v>523</v>
      </c>
      <c r="Q789" s="172" t="s">
        <v>948</v>
      </c>
      <c r="R789" s="196">
        <f t="shared" ref="R789:AO789" ca="1" si="396">((1/($K$183-R787))*(((-$E$614)*5*COS(2*3.14*(($O787-1)/12))+($F$614*7.5*COS(2*3.14*(($O787-1-1)/12))))))</f>
        <v>-2.2690876618880055E-43</v>
      </c>
      <c r="S789" s="196">
        <f t="shared" ca="1" si="396"/>
        <v>-2.49046206792586E-43</v>
      </c>
      <c r="T789" s="196">
        <f t="shared" ca="1" si="396"/>
        <v>-2.2197596692382666E-43</v>
      </c>
      <c r="U789" s="196">
        <f t="shared" ca="1" si="396"/>
        <v>-2.1053390677311395E-43</v>
      </c>
      <c r="V789" s="196">
        <f t="shared" ca="1" si="396"/>
        <v>-2.294583028875512E-43</v>
      </c>
      <c r="W789" s="196">
        <f t="shared" ca="1" si="396"/>
        <v>-2.2441526326364893E-43</v>
      </c>
      <c r="X789" s="196">
        <f t="shared" ca="1" si="396"/>
        <v>-2.8363595773600074E-43</v>
      </c>
      <c r="Y789" s="196">
        <f t="shared" ca="1" si="396"/>
        <v>-3.4036314928320086E-43</v>
      </c>
      <c r="Z789" s="196">
        <f t="shared" ca="1" si="396"/>
        <v>-5.5194024208086637E-43</v>
      </c>
      <c r="AA789" s="196">
        <f t="shared" ca="1" si="396"/>
        <v>-8.1687155827968216E-43</v>
      </c>
      <c r="AB789" s="196">
        <f t="shared" ca="1" si="396"/>
        <v>-7.5636255396266875E-43</v>
      </c>
      <c r="AC789" s="196">
        <f t="shared" ca="1" si="396"/>
        <v>-1.7018157464160053E-42</v>
      </c>
      <c r="AD789" s="196">
        <f t="shared" ca="1" si="396"/>
        <v>-1.8565262688174569E-42</v>
      </c>
      <c r="AE789" s="196">
        <f t="shared" ca="1" si="396"/>
        <v>-1.2012817033524741E-42</v>
      </c>
      <c r="AF789" s="196">
        <f t="shared" ca="1" si="396"/>
        <v>-2.2690876618880094E-42</v>
      </c>
      <c r="AG789" s="196">
        <f t="shared" ca="1" si="396"/>
        <v>-1.7018157464160053E-42</v>
      </c>
      <c r="AH789" s="196">
        <f t="shared" ca="1" si="396"/>
        <v>-7.5636255396266875E-43</v>
      </c>
      <c r="AI789" s="196">
        <f t="shared" ca="1" si="396"/>
        <v>-7.2934960560685871E-43</v>
      </c>
      <c r="AJ789" s="196">
        <f t="shared" ca="1" si="396"/>
        <v>-4.9809241358517184E-43</v>
      </c>
      <c r="AK789" s="196">
        <f t="shared" ca="1" si="396"/>
        <v>-3.7130525376349184E-43</v>
      </c>
      <c r="AL789" s="196">
        <f t="shared" ca="1" si="396"/>
        <v>-2.8363595773600074E-43</v>
      </c>
      <c r="AM789" s="267">
        <f t="shared" ca="1" si="396"/>
        <v>-2.7597012104043319E-43</v>
      </c>
      <c r="AN789" s="295">
        <f t="shared" ca="1" si="396"/>
        <v>-2.6870774943410586E-43</v>
      </c>
      <c r="AO789" s="283">
        <f t="shared" ca="1" si="396"/>
        <v>-2.374626622906052E-43</v>
      </c>
      <c r="AP789" s="189"/>
      <c r="AQ789" s="375"/>
      <c r="AR789" s="375"/>
    </row>
    <row r="790" spans="1:69" ht="18.600000000000001" hidden="1" x14ac:dyDescent="0.4">
      <c r="A790" s="816"/>
      <c r="B790" s="8" t="s">
        <v>862</v>
      </c>
      <c r="C790" s="22" t="s">
        <v>945</v>
      </c>
      <c r="D790" s="9" t="e">
        <f ca="1">IF(D783-D789*D782+D778+D779&lt;0,0,D783-D789*D782+D778+D779)</f>
        <v>#DIV/0!</v>
      </c>
      <c r="E790" s="9" t="e">
        <f ca="1">IF(E783-E789*E782+E778+E779&lt;0,0,E783-E789*E782+E778+E779)</f>
        <v>#DIV/0!</v>
      </c>
      <c r="F790" s="9" t="e">
        <f ca="1">IF(F783-F789*F782+F778+F779&lt;0,0,F783-F789*F782+F778+F779)</f>
        <v>#DIV/0!</v>
      </c>
      <c r="G790" s="9" t="e">
        <f ca="1">IF(G783-G789*G782+G778+G779&lt;0,0,G783-G789*G782+G778+G779)</f>
        <v>#DIV/0!</v>
      </c>
      <c r="H790" s="9" t="e">
        <f ca="1">IF(H783-H789*H782+H778+H779&lt;0,0,H783-H789*H782+H778+H779)</f>
        <v>#DIV/0!</v>
      </c>
      <c r="N790" s="819"/>
      <c r="O790" s="822"/>
      <c r="P790" s="170"/>
      <c r="Q790" s="172"/>
      <c r="R790" s="196"/>
      <c r="S790" s="196"/>
      <c r="T790" s="196"/>
      <c r="U790" s="196"/>
      <c r="V790" s="196"/>
      <c r="W790" s="196"/>
      <c r="X790" s="196"/>
      <c r="Y790" s="196"/>
      <c r="Z790" s="196"/>
      <c r="AA790" s="196"/>
      <c r="AB790" s="196"/>
      <c r="AC790" s="196"/>
      <c r="AD790" s="196"/>
      <c r="AE790" s="196"/>
      <c r="AF790" s="196"/>
      <c r="AG790" s="196"/>
      <c r="AH790" s="196"/>
      <c r="AI790" s="196"/>
      <c r="AJ790" s="196"/>
      <c r="AK790" s="196"/>
      <c r="AL790" s="196"/>
      <c r="AM790" s="267"/>
      <c r="AN790" s="295"/>
      <c r="AO790" s="400"/>
      <c r="AP790" s="189"/>
      <c r="AQ790" s="375"/>
      <c r="AR790" s="375"/>
    </row>
    <row r="791" spans="1:69" ht="18.600000000000001" hidden="1" x14ac:dyDescent="0.4">
      <c r="A791" s="816"/>
      <c r="B791" s="8" t="s">
        <v>558</v>
      </c>
      <c r="C791" s="22" t="s">
        <v>945</v>
      </c>
      <c r="D791" s="9" t="e">
        <f ca="1">IF(D784-D789*D782+D778&lt;0,0,D784-D789*D782+D778)</f>
        <v>#DIV/0!</v>
      </c>
      <c r="E791" s="9" t="e">
        <f ca="1">IF(E784-E789*E782+E778&lt;0,0,E784-E789*E782+E778)</f>
        <v>#DIV/0!</v>
      </c>
      <c r="F791" s="9" t="e">
        <f ca="1">IF(F784-F789*F782+F778&lt;0,0,F784-F789*F782+F778)</f>
        <v>#DIV/0!</v>
      </c>
      <c r="G791" s="9" t="e">
        <f ca="1">IF(G784-G789*G782+G778&lt;0,0,G784-G789*G782+G778)</f>
        <v>#DIV/0!</v>
      </c>
      <c r="H791" s="9" t="e">
        <f ca="1">IF(H784-H789*H782+H778&lt;0,0,H784-H789*H782+H778)</f>
        <v>#DIV/0!</v>
      </c>
      <c r="N791" s="819"/>
      <c r="O791" s="822"/>
      <c r="P791" s="174" t="s">
        <v>524</v>
      </c>
      <c r="Q791" s="175" t="s">
        <v>945</v>
      </c>
      <c r="R791" s="176" t="e">
        <f t="shared" ref="R791:AO791" ca="1" si="397">(1/1000)*(($K$455+R789)*($K$183-R787))*O$207</f>
        <v>#DIV/0!</v>
      </c>
      <c r="S791" s="176" t="e">
        <f t="shared" ca="1" si="397"/>
        <v>#DIV/0!</v>
      </c>
      <c r="T791" s="176" t="e">
        <f t="shared" ca="1" si="397"/>
        <v>#DIV/0!</v>
      </c>
      <c r="U791" s="176" t="e">
        <f t="shared" ca="1" si="397"/>
        <v>#DIV/0!</v>
      </c>
      <c r="V791" s="176" t="e">
        <f t="shared" ca="1" si="397"/>
        <v>#DIV/0!</v>
      </c>
      <c r="W791" s="176" t="e">
        <f t="shared" ca="1" si="397"/>
        <v>#DIV/0!</v>
      </c>
      <c r="X791" s="176" t="e">
        <f t="shared" ca="1" si="397"/>
        <v>#DIV/0!</v>
      </c>
      <c r="Y791" s="176" t="e">
        <f t="shared" ca="1" si="397"/>
        <v>#DIV/0!</v>
      </c>
      <c r="Z791" s="176" t="e">
        <f t="shared" ca="1" si="397"/>
        <v>#DIV/0!</v>
      </c>
      <c r="AA791" s="176" t="e">
        <f t="shared" ca="1" si="397"/>
        <v>#DIV/0!</v>
      </c>
      <c r="AB791" s="176" t="e">
        <f t="shared" ca="1" si="397"/>
        <v>#DIV/0!</v>
      </c>
      <c r="AC791" s="176" t="e">
        <f t="shared" ca="1" si="397"/>
        <v>#DIV/0!</v>
      </c>
      <c r="AD791" s="176" t="e">
        <f t="shared" ca="1" si="397"/>
        <v>#DIV/0!</v>
      </c>
      <c r="AE791" s="176" t="e">
        <f t="shared" ca="1" si="397"/>
        <v>#DIV/0!</v>
      </c>
      <c r="AF791" s="176" t="e">
        <f t="shared" ca="1" si="397"/>
        <v>#DIV/0!</v>
      </c>
      <c r="AG791" s="176" t="e">
        <f t="shared" ca="1" si="397"/>
        <v>#DIV/0!</v>
      </c>
      <c r="AH791" s="176" t="e">
        <f t="shared" ca="1" si="397"/>
        <v>#DIV/0!</v>
      </c>
      <c r="AI791" s="176" t="e">
        <f t="shared" ca="1" si="397"/>
        <v>#DIV/0!</v>
      </c>
      <c r="AJ791" s="176" t="e">
        <f t="shared" ca="1" si="397"/>
        <v>#DIV/0!</v>
      </c>
      <c r="AK791" s="176" t="e">
        <f t="shared" ca="1" si="397"/>
        <v>#DIV/0!</v>
      </c>
      <c r="AL791" s="176" t="e">
        <f t="shared" ca="1" si="397"/>
        <v>#DIV/0!</v>
      </c>
      <c r="AM791" s="260" t="e">
        <f t="shared" ca="1" si="397"/>
        <v>#DIV/0!</v>
      </c>
      <c r="AN791" s="208" t="e">
        <f t="shared" ca="1" si="397"/>
        <v>#DIV/0!</v>
      </c>
      <c r="AO791" s="273" t="e">
        <f t="shared" ca="1" si="397"/>
        <v>#DIV/0!</v>
      </c>
      <c r="AP791" s="189" t="e">
        <f ca="1">SUM(R791:AO791)</f>
        <v>#DIV/0!</v>
      </c>
      <c r="AQ791" s="375"/>
      <c r="AR791" s="375"/>
    </row>
    <row r="792" spans="1:69" ht="18.600000000000001" hidden="1" x14ac:dyDescent="0.4">
      <c r="A792" s="816"/>
      <c r="B792" s="8" t="s">
        <v>861</v>
      </c>
      <c r="C792" s="22" t="s">
        <v>945</v>
      </c>
      <c r="D792" s="835" t="e">
        <f ca="1">SUM(D790:H790)*K197</f>
        <v>#DIV/0!</v>
      </c>
      <c r="E792" s="835"/>
      <c r="F792" s="835"/>
      <c r="G792" s="835"/>
      <c r="H792" s="835"/>
      <c r="N792" s="819"/>
      <c r="O792" s="822"/>
      <c r="P792" s="174"/>
      <c r="Q792" s="175"/>
      <c r="R792" s="176"/>
      <c r="S792" s="176"/>
      <c r="T792" s="176"/>
      <c r="U792" s="176"/>
      <c r="V792" s="176"/>
      <c r="W792" s="176"/>
      <c r="X792" s="176"/>
      <c r="Y792" s="176"/>
      <c r="Z792" s="176"/>
      <c r="AA792" s="176"/>
      <c r="AB792" s="176"/>
      <c r="AC792" s="176"/>
      <c r="AD792" s="176"/>
      <c r="AE792" s="176"/>
      <c r="AF792" s="176"/>
      <c r="AG792" s="176"/>
      <c r="AH792" s="176"/>
      <c r="AI792" s="176"/>
      <c r="AJ792" s="176"/>
      <c r="AK792" s="176"/>
      <c r="AL792" s="176"/>
      <c r="AM792" s="260"/>
      <c r="AN792" s="208"/>
      <c r="AO792" s="273"/>
      <c r="AP792" s="189"/>
      <c r="AQ792" s="375"/>
      <c r="AR792" s="375"/>
    </row>
    <row r="793" spans="1:69" ht="18.600000000000001" hidden="1" x14ac:dyDescent="0.4">
      <c r="A793" s="816"/>
      <c r="B793" s="8" t="s">
        <v>860</v>
      </c>
      <c r="C793" s="22" t="s">
        <v>945</v>
      </c>
      <c r="D793" s="835" t="e">
        <f ca="1">($K$189/$K$190)*D792</f>
        <v>#DIV/0!</v>
      </c>
      <c r="E793" s="835"/>
      <c r="F793" s="835"/>
      <c r="G793" s="835"/>
      <c r="H793" s="835"/>
      <c r="N793" s="819"/>
      <c r="O793" s="822"/>
      <c r="P793" s="174"/>
      <c r="Q793" s="175"/>
      <c r="R793" s="176"/>
      <c r="S793" s="176"/>
      <c r="T793" s="176"/>
      <c r="U793" s="176"/>
      <c r="V793" s="176"/>
      <c r="W793" s="176"/>
      <c r="X793" s="176"/>
      <c r="Y793" s="176"/>
      <c r="Z793" s="176"/>
      <c r="AA793" s="176"/>
      <c r="AB793" s="176"/>
      <c r="AC793" s="176"/>
      <c r="AD793" s="176"/>
      <c r="AE793" s="176"/>
      <c r="AF793" s="176"/>
      <c r="AG793" s="176"/>
      <c r="AH793" s="176"/>
      <c r="AI793" s="176"/>
      <c r="AJ793" s="176"/>
      <c r="AK793" s="176"/>
      <c r="AL793" s="176"/>
      <c r="AM793" s="260"/>
      <c r="AN793" s="208"/>
      <c r="AO793" s="273"/>
      <c r="AP793" s="189"/>
      <c r="AQ793" s="375"/>
      <c r="AR793" s="375"/>
    </row>
    <row r="794" spans="1:69" ht="18.600000000000001" x14ac:dyDescent="0.4">
      <c r="A794" s="816"/>
      <c r="B794" s="8" t="s">
        <v>559</v>
      </c>
      <c r="C794" s="22" t="s">
        <v>945</v>
      </c>
      <c r="D794" s="814" t="e">
        <f ca="1">SUM(D791:H791)*K197</f>
        <v>#DIV/0!</v>
      </c>
      <c r="E794" s="814"/>
      <c r="F794" s="814"/>
      <c r="G794" s="814"/>
      <c r="H794" s="814"/>
      <c r="N794" s="819"/>
      <c r="O794" s="822"/>
      <c r="P794" s="170" t="s">
        <v>525</v>
      </c>
      <c r="Q794" s="172" t="s">
        <v>950</v>
      </c>
      <c r="R794" s="196">
        <f t="shared" ref="R794:AO794" ca="1" si="398">IF(($K$183-$L$648)/($K$183-R787)=0,1,($K$183-$L$648)/($K$183-R787))</f>
        <v>0.33333333333333331</v>
      </c>
      <c r="S794" s="196">
        <f t="shared" ca="1" si="398"/>
        <v>0.36585365853658541</v>
      </c>
      <c r="T794" s="196">
        <f t="shared" ca="1" si="398"/>
        <v>0.32608695652173914</v>
      </c>
      <c r="U794" s="196">
        <f t="shared" ca="1" si="398"/>
        <v>0.30927835051546393</v>
      </c>
      <c r="V794" s="196">
        <f t="shared" ca="1" si="398"/>
        <v>0.3370786516853933</v>
      </c>
      <c r="W794" s="196">
        <f t="shared" ca="1" si="398"/>
        <v>0.32967032967032966</v>
      </c>
      <c r="X794" s="196">
        <f t="shared" ca="1" si="398"/>
        <v>0.41666666666666669</v>
      </c>
      <c r="Y794" s="196">
        <f t="shared" ca="1" si="398"/>
        <v>0.5</v>
      </c>
      <c r="Z794" s="196">
        <f t="shared" ca="1" si="398"/>
        <v>0.81081081081081097</v>
      </c>
      <c r="AA794" s="196">
        <f t="shared" ca="1" si="398"/>
        <v>1.2</v>
      </c>
      <c r="AB794" s="196">
        <f t="shared" ca="1" si="398"/>
        <v>1.1111111111111114</v>
      </c>
      <c r="AC794" s="196">
        <f t="shared" ca="1" si="398"/>
        <v>2.5000000000000013</v>
      </c>
      <c r="AD794" s="196">
        <f t="shared" ca="1" si="398"/>
        <v>2.727272727272724</v>
      </c>
      <c r="AE794" s="196">
        <f t="shared" ca="1" si="398"/>
        <v>1.764705882352942</v>
      </c>
      <c r="AF794" s="196">
        <f t="shared" ca="1" si="398"/>
        <v>3.3333333333333388</v>
      </c>
      <c r="AG794" s="196">
        <f t="shared" ca="1" si="398"/>
        <v>2.5000000000000013</v>
      </c>
      <c r="AH794" s="196">
        <f t="shared" ca="1" si="398"/>
        <v>1.1111111111111114</v>
      </c>
      <c r="AI794" s="196">
        <f t="shared" ca="1" si="398"/>
        <v>1.0714285714285712</v>
      </c>
      <c r="AJ794" s="196">
        <f t="shared" ca="1" si="398"/>
        <v>0.73170731707317049</v>
      </c>
      <c r="AK794" s="196">
        <f t="shared" ca="1" si="398"/>
        <v>0.54545454545454541</v>
      </c>
      <c r="AL794" s="196">
        <f t="shared" ca="1" si="398"/>
        <v>0.41666666666666669</v>
      </c>
      <c r="AM794" s="267">
        <f t="shared" ca="1" si="398"/>
        <v>0.40540540540540548</v>
      </c>
      <c r="AN794" s="295">
        <f t="shared" ca="1" si="398"/>
        <v>0.39473684210526311</v>
      </c>
      <c r="AO794" s="284">
        <f t="shared" ca="1" si="398"/>
        <v>0.34883720930232553</v>
      </c>
      <c r="AP794" s="189"/>
    </row>
    <row r="795" spans="1:69" ht="18.600000000000001" x14ac:dyDescent="0.4">
      <c r="A795" s="816"/>
      <c r="B795" s="8" t="s">
        <v>560</v>
      </c>
      <c r="C795" s="22" t="s">
        <v>945</v>
      </c>
      <c r="D795" s="814" t="e">
        <f ca="1">($K$189/$K$190)*D794</f>
        <v>#DIV/0!</v>
      </c>
      <c r="E795" s="814"/>
      <c r="F795" s="814"/>
      <c r="G795" s="814"/>
      <c r="H795" s="814"/>
      <c r="N795" s="819"/>
      <c r="O795" s="822"/>
      <c r="P795" s="170" t="s">
        <v>526</v>
      </c>
      <c r="Q795" s="172" t="s">
        <v>948</v>
      </c>
      <c r="R795" s="173">
        <f t="shared" ref="R795:AO795" si="399">0.34*($K$186*(0.8*$F$25-$K$187))</f>
        <v>0</v>
      </c>
      <c r="S795" s="173">
        <f t="shared" si="399"/>
        <v>0</v>
      </c>
      <c r="T795" s="173">
        <f t="shared" si="399"/>
        <v>0</v>
      </c>
      <c r="U795" s="173">
        <f t="shared" si="399"/>
        <v>0</v>
      </c>
      <c r="V795" s="173">
        <f t="shared" si="399"/>
        <v>0</v>
      </c>
      <c r="W795" s="173">
        <f t="shared" si="399"/>
        <v>0</v>
      </c>
      <c r="X795" s="173">
        <f t="shared" si="399"/>
        <v>0</v>
      </c>
      <c r="Y795" s="173">
        <f t="shared" si="399"/>
        <v>0</v>
      </c>
      <c r="Z795" s="173">
        <f t="shared" si="399"/>
        <v>0</v>
      </c>
      <c r="AA795" s="173">
        <f t="shared" si="399"/>
        <v>0</v>
      </c>
      <c r="AB795" s="173">
        <f t="shared" si="399"/>
        <v>0</v>
      </c>
      <c r="AC795" s="173">
        <f t="shared" si="399"/>
        <v>0</v>
      </c>
      <c r="AD795" s="173">
        <f t="shared" si="399"/>
        <v>0</v>
      </c>
      <c r="AE795" s="173">
        <f t="shared" si="399"/>
        <v>0</v>
      </c>
      <c r="AF795" s="173">
        <f t="shared" si="399"/>
        <v>0</v>
      </c>
      <c r="AG795" s="173">
        <f t="shared" si="399"/>
        <v>0</v>
      </c>
      <c r="AH795" s="173">
        <f t="shared" si="399"/>
        <v>0</v>
      </c>
      <c r="AI795" s="173">
        <f t="shared" si="399"/>
        <v>0</v>
      </c>
      <c r="AJ795" s="173">
        <f t="shared" si="399"/>
        <v>0</v>
      </c>
      <c r="AK795" s="173">
        <f t="shared" si="399"/>
        <v>0</v>
      </c>
      <c r="AL795" s="173">
        <f t="shared" si="399"/>
        <v>0</v>
      </c>
      <c r="AM795" s="173">
        <f t="shared" si="399"/>
        <v>0</v>
      </c>
      <c r="AN795" s="173">
        <f t="shared" si="399"/>
        <v>0</v>
      </c>
      <c r="AO795" s="173">
        <f t="shared" si="399"/>
        <v>0</v>
      </c>
      <c r="AP795" s="189"/>
    </row>
    <row r="796" spans="1:69" ht="18" x14ac:dyDescent="0.35">
      <c r="N796" s="819"/>
      <c r="O796" s="822"/>
      <c r="P796" s="174" t="s">
        <v>527</v>
      </c>
      <c r="Q796" s="175" t="s">
        <v>945</v>
      </c>
      <c r="R796" s="186">
        <f t="shared" ref="R796:AO796" ca="1" si="400">(1/1000)*(R795*($K$183-R787))*O$207</f>
        <v>0</v>
      </c>
      <c r="S796" s="186">
        <f t="shared" ca="1" si="400"/>
        <v>0</v>
      </c>
      <c r="T796" s="186">
        <f t="shared" ca="1" si="400"/>
        <v>0</v>
      </c>
      <c r="U796" s="186">
        <f t="shared" ca="1" si="400"/>
        <v>0</v>
      </c>
      <c r="V796" s="186">
        <f t="shared" ca="1" si="400"/>
        <v>0</v>
      </c>
      <c r="W796" s="186">
        <f t="shared" ca="1" si="400"/>
        <v>0</v>
      </c>
      <c r="X796" s="186">
        <f t="shared" ca="1" si="400"/>
        <v>0</v>
      </c>
      <c r="Y796" s="186">
        <f t="shared" ca="1" si="400"/>
        <v>0</v>
      </c>
      <c r="Z796" s="186">
        <f t="shared" ca="1" si="400"/>
        <v>0</v>
      </c>
      <c r="AA796" s="186">
        <f t="shared" ca="1" si="400"/>
        <v>0</v>
      </c>
      <c r="AB796" s="186">
        <f t="shared" ca="1" si="400"/>
        <v>0</v>
      </c>
      <c r="AC796" s="186">
        <f t="shared" ca="1" si="400"/>
        <v>0</v>
      </c>
      <c r="AD796" s="186">
        <f t="shared" ca="1" si="400"/>
        <v>0</v>
      </c>
      <c r="AE796" s="186">
        <f t="shared" ca="1" si="400"/>
        <v>0</v>
      </c>
      <c r="AF796" s="186">
        <f t="shared" ca="1" si="400"/>
        <v>0</v>
      </c>
      <c r="AG796" s="186">
        <f t="shared" ca="1" si="400"/>
        <v>0</v>
      </c>
      <c r="AH796" s="186">
        <f t="shared" ca="1" si="400"/>
        <v>0</v>
      </c>
      <c r="AI796" s="186">
        <f t="shared" ca="1" si="400"/>
        <v>0</v>
      </c>
      <c r="AJ796" s="186">
        <f t="shared" ca="1" si="400"/>
        <v>0</v>
      </c>
      <c r="AK796" s="186">
        <f t="shared" ca="1" si="400"/>
        <v>0</v>
      </c>
      <c r="AL796" s="186">
        <f t="shared" ca="1" si="400"/>
        <v>0</v>
      </c>
      <c r="AM796" s="268">
        <f t="shared" ca="1" si="400"/>
        <v>0</v>
      </c>
      <c r="AN796" s="209">
        <f t="shared" ca="1" si="400"/>
        <v>0</v>
      </c>
      <c r="AO796" s="285">
        <f t="shared" ca="1" si="400"/>
        <v>0</v>
      </c>
      <c r="AP796" s="189">
        <f ca="1">SUM(R796:AO796)</f>
        <v>0</v>
      </c>
    </row>
    <row r="797" spans="1:69" ht="20.399999999999999" x14ac:dyDescent="0.45">
      <c r="A797" s="667" t="s">
        <v>621</v>
      </c>
      <c r="B797" s="667"/>
      <c r="C797" s="667"/>
      <c r="D797" s="667"/>
      <c r="E797" s="667"/>
      <c r="F797" s="667"/>
      <c r="G797" s="667"/>
      <c r="H797" s="782"/>
      <c r="I797" s="589"/>
      <c r="J797" s="589"/>
      <c r="K797" s="589"/>
      <c r="L797" s="589"/>
      <c r="M797" s="199"/>
      <c r="N797" s="819"/>
      <c r="O797" s="822"/>
      <c r="P797" s="177" t="s">
        <v>528</v>
      </c>
      <c r="Q797" s="178" t="s">
        <v>945</v>
      </c>
      <c r="R797" s="187" t="e">
        <f t="shared" ref="R797:AO797" ca="1" si="401">R796+R791</f>
        <v>#DIV/0!</v>
      </c>
      <c r="S797" s="187" t="e">
        <f t="shared" ca="1" si="401"/>
        <v>#DIV/0!</v>
      </c>
      <c r="T797" s="187" t="e">
        <f t="shared" ca="1" si="401"/>
        <v>#DIV/0!</v>
      </c>
      <c r="U797" s="187" t="e">
        <f t="shared" ca="1" si="401"/>
        <v>#DIV/0!</v>
      </c>
      <c r="V797" s="187" t="e">
        <f t="shared" ca="1" si="401"/>
        <v>#DIV/0!</v>
      </c>
      <c r="W797" s="187" t="e">
        <f t="shared" ca="1" si="401"/>
        <v>#DIV/0!</v>
      </c>
      <c r="X797" s="187" t="e">
        <f t="shared" ca="1" si="401"/>
        <v>#DIV/0!</v>
      </c>
      <c r="Y797" s="187" t="e">
        <f t="shared" ca="1" si="401"/>
        <v>#DIV/0!</v>
      </c>
      <c r="Z797" s="187" t="e">
        <f t="shared" ca="1" si="401"/>
        <v>#DIV/0!</v>
      </c>
      <c r="AA797" s="187" t="e">
        <f t="shared" ca="1" si="401"/>
        <v>#DIV/0!</v>
      </c>
      <c r="AB797" s="187" t="e">
        <f t="shared" ca="1" si="401"/>
        <v>#DIV/0!</v>
      </c>
      <c r="AC797" s="187" t="e">
        <f t="shared" ca="1" si="401"/>
        <v>#DIV/0!</v>
      </c>
      <c r="AD797" s="187" t="e">
        <f t="shared" ca="1" si="401"/>
        <v>#DIV/0!</v>
      </c>
      <c r="AE797" s="187" t="e">
        <f t="shared" ca="1" si="401"/>
        <v>#DIV/0!</v>
      </c>
      <c r="AF797" s="187" t="e">
        <f t="shared" ca="1" si="401"/>
        <v>#DIV/0!</v>
      </c>
      <c r="AG797" s="187" t="e">
        <f t="shared" ca="1" si="401"/>
        <v>#DIV/0!</v>
      </c>
      <c r="AH797" s="187" t="e">
        <f t="shared" ca="1" si="401"/>
        <v>#DIV/0!</v>
      </c>
      <c r="AI797" s="187" t="e">
        <f t="shared" ca="1" si="401"/>
        <v>#DIV/0!</v>
      </c>
      <c r="AJ797" s="187" t="e">
        <f t="shared" ca="1" si="401"/>
        <v>#DIV/0!</v>
      </c>
      <c r="AK797" s="187" t="e">
        <f t="shared" ca="1" si="401"/>
        <v>#DIV/0!</v>
      </c>
      <c r="AL797" s="187" t="e">
        <f t="shared" ca="1" si="401"/>
        <v>#DIV/0!</v>
      </c>
      <c r="AM797" s="269" t="e">
        <f t="shared" ca="1" si="401"/>
        <v>#DIV/0!</v>
      </c>
      <c r="AN797" s="297" t="e">
        <f t="shared" ca="1" si="401"/>
        <v>#DIV/0!</v>
      </c>
      <c r="AO797" s="286" t="e">
        <f t="shared" ca="1" si="401"/>
        <v>#DIV/0!</v>
      </c>
      <c r="AP797" s="189" t="e">
        <f ca="1">SUM(R797:AO797)</f>
        <v>#DIV/0!</v>
      </c>
    </row>
    <row r="798" spans="1:69" ht="18" x14ac:dyDescent="0.35">
      <c r="A798" s="667" t="s">
        <v>624</v>
      </c>
      <c r="B798" s="667"/>
      <c r="C798" s="667"/>
      <c r="D798" s="667"/>
      <c r="E798" s="667"/>
      <c r="F798" s="667"/>
      <c r="G798" s="667"/>
      <c r="H798" s="782"/>
      <c r="I798" s="589"/>
      <c r="J798" s="589"/>
      <c r="K798" s="589"/>
      <c r="L798" s="589"/>
      <c r="M798" s="199"/>
      <c r="N798" s="819"/>
      <c r="O798" s="822"/>
      <c r="P798" s="177" t="s">
        <v>529</v>
      </c>
      <c r="Q798" s="178" t="s">
        <v>945</v>
      </c>
      <c r="R798" s="187">
        <f t="shared" ref="R798:AC798" si="402">IF($O$617=1,(1/1000)*(0.34*A$641)*($K$183-R787)*O$363*R794,0)</f>
        <v>0</v>
      </c>
      <c r="S798" s="187">
        <f t="shared" si="402"/>
        <v>0</v>
      </c>
      <c r="T798" s="187">
        <f t="shared" si="402"/>
        <v>0</v>
      </c>
      <c r="U798" s="187">
        <f t="shared" si="402"/>
        <v>0</v>
      </c>
      <c r="V798" s="187">
        <f t="shared" si="402"/>
        <v>0</v>
      </c>
      <c r="W798" s="187">
        <f t="shared" si="402"/>
        <v>0</v>
      </c>
      <c r="X798" s="187">
        <f t="shared" si="402"/>
        <v>0</v>
      </c>
      <c r="Y798" s="187">
        <f t="shared" si="402"/>
        <v>0</v>
      </c>
      <c r="Z798" s="187">
        <f t="shared" si="402"/>
        <v>0</v>
      </c>
      <c r="AA798" s="187">
        <f t="shared" si="402"/>
        <v>0</v>
      </c>
      <c r="AB798" s="187">
        <f t="shared" si="402"/>
        <v>0</v>
      </c>
      <c r="AC798" s="187">
        <f t="shared" si="402"/>
        <v>0</v>
      </c>
      <c r="AD798" s="187">
        <f t="shared" ref="AD798:AO798" si="403">IF($O$617=1,(1/1000)*(0.34*N$641)*($K$183-AD787)*AA$363*AD794,0)</f>
        <v>0</v>
      </c>
      <c r="AE798" s="187">
        <f t="shared" si="403"/>
        <v>0</v>
      </c>
      <c r="AF798" s="187">
        <f t="shared" si="403"/>
        <v>0</v>
      </c>
      <c r="AG798" s="187">
        <f t="shared" si="403"/>
        <v>0</v>
      </c>
      <c r="AH798" s="187">
        <f t="shared" si="403"/>
        <v>0</v>
      </c>
      <c r="AI798" s="187">
        <f t="shared" si="403"/>
        <v>0</v>
      </c>
      <c r="AJ798" s="187">
        <f t="shared" si="403"/>
        <v>0</v>
      </c>
      <c r="AK798" s="187">
        <f t="shared" si="403"/>
        <v>0</v>
      </c>
      <c r="AL798" s="187">
        <f t="shared" si="403"/>
        <v>0</v>
      </c>
      <c r="AM798" s="269">
        <f t="shared" si="403"/>
        <v>0</v>
      </c>
      <c r="AN798" s="297">
        <f t="shared" si="403"/>
        <v>0</v>
      </c>
      <c r="AO798" s="286">
        <f t="shared" si="403"/>
        <v>0</v>
      </c>
      <c r="AP798" s="189">
        <f>SUM(R798:AO798)</f>
        <v>0</v>
      </c>
    </row>
    <row r="799" spans="1:69" ht="18" x14ac:dyDescent="0.35">
      <c r="N799" s="819"/>
      <c r="O799" s="822"/>
      <c r="P799" s="174" t="s">
        <v>530</v>
      </c>
      <c r="Q799" s="175" t="s">
        <v>945</v>
      </c>
      <c r="R799" s="186">
        <f t="shared" ref="R799:AO799" si="404">(1/1000)*($L$697+$L$698)*O$233</f>
        <v>27.84</v>
      </c>
      <c r="S799" s="186">
        <f t="shared" si="404"/>
        <v>27.84</v>
      </c>
      <c r="T799" s="186">
        <f t="shared" si="404"/>
        <v>27.84</v>
      </c>
      <c r="U799" s="186">
        <f t="shared" si="404"/>
        <v>27.84</v>
      </c>
      <c r="V799" s="186">
        <f t="shared" si="404"/>
        <v>27.84</v>
      </c>
      <c r="W799" s="186">
        <f t="shared" si="404"/>
        <v>27.84</v>
      </c>
      <c r="X799" s="186">
        <f t="shared" si="404"/>
        <v>27.84</v>
      </c>
      <c r="Y799" s="186">
        <f t="shared" si="404"/>
        <v>27.84</v>
      </c>
      <c r="Z799" s="186">
        <f t="shared" si="404"/>
        <v>27.84</v>
      </c>
      <c r="AA799" s="186">
        <f t="shared" si="404"/>
        <v>27.84</v>
      </c>
      <c r="AB799" s="186">
        <f t="shared" si="404"/>
        <v>27.84</v>
      </c>
      <c r="AC799" s="186">
        <f t="shared" si="404"/>
        <v>27.84</v>
      </c>
      <c r="AD799" s="186">
        <f t="shared" si="404"/>
        <v>27.84</v>
      </c>
      <c r="AE799" s="186">
        <f t="shared" si="404"/>
        <v>27.84</v>
      </c>
      <c r="AF799" s="186">
        <f t="shared" si="404"/>
        <v>27.84</v>
      </c>
      <c r="AG799" s="186">
        <f t="shared" si="404"/>
        <v>27.84</v>
      </c>
      <c r="AH799" s="186">
        <f t="shared" si="404"/>
        <v>27.84</v>
      </c>
      <c r="AI799" s="186">
        <f t="shared" si="404"/>
        <v>27.84</v>
      </c>
      <c r="AJ799" s="186">
        <f t="shared" si="404"/>
        <v>27.84</v>
      </c>
      <c r="AK799" s="186">
        <f t="shared" si="404"/>
        <v>27.84</v>
      </c>
      <c r="AL799" s="186">
        <f t="shared" si="404"/>
        <v>27.84</v>
      </c>
      <c r="AM799" s="268">
        <f t="shared" si="404"/>
        <v>27.84</v>
      </c>
      <c r="AN799" s="209">
        <f t="shared" si="404"/>
        <v>27.84</v>
      </c>
      <c r="AO799" s="285">
        <f t="shared" si="404"/>
        <v>27.84</v>
      </c>
      <c r="AP799" s="189">
        <f>SUM(R799:AO799)</f>
        <v>668.16</v>
      </c>
    </row>
    <row r="800" spans="1:69" ht="18" x14ac:dyDescent="0.35">
      <c r="A800" s="644" t="s">
        <v>536</v>
      </c>
      <c r="B800" s="766"/>
      <c r="C800" s="766"/>
      <c r="D800" s="766"/>
      <c r="E800" s="766"/>
      <c r="F800" s="766"/>
      <c r="G800" s="766"/>
      <c r="H800" s="766"/>
      <c r="I800" s="766"/>
      <c r="J800" s="766"/>
      <c r="K800" s="766"/>
      <c r="L800" s="589"/>
      <c r="M800" s="199"/>
      <c r="N800" s="819"/>
      <c r="O800" s="822"/>
      <c r="P800" s="173" t="s">
        <v>532</v>
      </c>
      <c r="Q800" s="173"/>
      <c r="R800" s="196">
        <f ca="1">(2.71828^(77.345+0.0057*(273.15+R787)-7235/(273.15+R787)))/((273.15+R787)^8.2)</f>
        <v>1812.6584860101161</v>
      </c>
      <c r="S800" s="196">
        <f t="shared" ref="S800:AO800" ca="1" si="405">(2.71828^(77.345+0.0057*(273.15+S787)-7235/(273.15+S787)))/((273.15+S787)^8.2)</f>
        <v>1907.3897479583286</v>
      </c>
      <c r="T800" s="196">
        <f t="shared" ca="1" si="405"/>
        <v>1789.6307667738247</v>
      </c>
      <c r="U800" s="196">
        <f t="shared" ca="1" si="405"/>
        <v>1733.1809089027174</v>
      </c>
      <c r="V800" s="196">
        <f t="shared" ca="1" si="405"/>
        <v>1824.2695227128622</v>
      </c>
      <c r="W800" s="196">
        <f t="shared" ca="1" si="405"/>
        <v>1801.1123367038604</v>
      </c>
      <c r="X800" s="196">
        <f t="shared" ca="1" si="405"/>
        <v>2031.8891311575635</v>
      </c>
      <c r="Y800" s="196">
        <f t="shared" ca="1" si="405"/>
        <v>2190.6430403877389</v>
      </c>
      <c r="Z800" s="196">
        <f t="shared" ca="1" si="405"/>
        <v>2525.5101240078739</v>
      </c>
      <c r="AA800" s="196">
        <f t="shared" ca="1" si="405"/>
        <v>2717.3678577654064</v>
      </c>
      <c r="AB800" s="196">
        <f t="shared" ca="1" si="405"/>
        <v>2684.5339051277583</v>
      </c>
      <c r="AC800" s="196">
        <f t="shared" ca="1" si="405"/>
        <v>2939.4688097700932</v>
      </c>
      <c r="AD800" s="196">
        <f t="shared" ca="1" si="405"/>
        <v>2957.1916483388495</v>
      </c>
      <c r="AE800" s="196">
        <f t="shared" ca="1" si="405"/>
        <v>2852.23824166226</v>
      </c>
      <c r="AF800" s="196">
        <f t="shared" ca="1" si="405"/>
        <v>2992.9173279615748</v>
      </c>
      <c r="AG800" s="196">
        <f t="shared" ca="1" si="405"/>
        <v>2939.4688097700932</v>
      </c>
      <c r="AH800" s="196">
        <f t="shared" ca="1" si="405"/>
        <v>2684.5339051277583</v>
      </c>
      <c r="AI800" s="196">
        <f t="shared" ca="1" si="405"/>
        <v>2668.24731491594</v>
      </c>
      <c r="AJ800" s="196">
        <f t="shared" ca="1" si="405"/>
        <v>2464.2451037428377</v>
      </c>
      <c r="AK800" s="196">
        <f t="shared" ca="1" si="405"/>
        <v>2259.931008956255</v>
      </c>
      <c r="AL800" s="196">
        <f t="shared" ca="1" si="405"/>
        <v>2031.8891311575635</v>
      </c>
      <c r="AM800" s="267">
        <f t="shared" ca="1" si="405"/>
        <v>2006.4346367710084</v>
      </c>
      <c r="AN800" s="295">
        <f t="shared" ca="1" si="405"/>
        <v>1981.2600542102634</v>
      </c>
      <c r="AO800" s="284">
        <f t="shared" ca="1" si="405"/>
        <v>1859.4950550453859</v>
      </c>
      <c r="AP800" s="189"/>
    </row>
    <row r="801" spans="1:69" ht="18.600000000000001" x14ac:dyDescent="0.4">
      <c r="N801" s="819"/>
      <c r="O801" s="822"/>
      <c r="P801" s="173" t="s">
        <v>533</v>
      </c>
      <c r="Q801" s="173"/>
      <c r="R801" s="196">
        <f ca="1">0.62198*(R788*R800/100)/(101325-(R788*R800/100))</f>
        <v>1.0063200985886377E-2</v>
      </c>
      <c r="S801" s="196">
        <f t="shared" ref="S801:AO801" ca="1" si="406">0.62198*(S788*S800/100)/(101325-(S788*S800/100))</f>
        <v>1.0598074626699277E-2</v>
      </c>
      <c r="T801" s="196">
        <f t="shared" ca="1" si="406"/>
        <v>1.0046731163707412E-2</v>
      </c>
      <c r="U801" s="196">
        <f t="shared" ca="1" si="406"/>
        <v>9.8346375691901414E-3</v>
      </c>
      <c r="V801" s="196">
        <f t="shared" ca="1" si="406"/>
        <v>1.0013072957057605E-2</v>
      </c>
      <c r="W801" s="196">
        <f t="shared" ca="1" si="406"/>
        <v>9.9980707102637935E-3</v>
      </c>
      <c r="X801" s="196">
        <f t="shared" ca="1" si="406"/>
        <v>1.0527547247176246E-2</v>
      </c>
      <c r="Y801" s="196">
        <f t="shared" ca="1" si="406"/>
        <v>1.0807873248990687E-2</v>
      </c>
      <c r="Z801" s="196">
        <f t="shared" ca="1" si="406"/>
        <v>1.0884087997407744E-2</v>
      </c>
      <c r="AA801" s="196">
        <f t="shared" ca="1" si="406"/>
        <v>1.1034659742623156E-2</v>
      </c>
      <c r="AB801" s="196">
        <f t="shared" ca="1" si="406"/>
        <v>1.1924340118385042E-2</v>
      </c>
      <c r="AC801" s="196">
        <f t="shared" ca="1" si="406"/>
        <v>1.0831246621567614E-2</v>
      </c>
      <c r="AD801" s="196">
        <f t="shared" ca="1" si="406"/>
        <v>1.1085694053620752E-2</v>
      </c>
      <c r="AE801" s="196">
        <f t="shared" ca="1" si="406"/>
        <v>1.2502206656158565E-2</v>
      </c>
      <c r="AF801" s="196">
        <f t="shared" ca="1" si="406"/>
        <v>1.10316848540547E-2</v>
      </c>
      <c r="AG801" s="196">
        <f t="shared" ca="1" si="406"/>
        <v>1.0831246621567614E-2</v>
      </c>
      <c r="AH801" s="196">
        <f t="shared" ca="1" si="406"/>
        <v>1.2266861674833306E-2</v>
      </c>
      <c r="AI801" s="196">
        <f t="shared" ca="1" si="406"/>
        <v>1.0831717823884531E-2</v>
      </c>
      <c r="AJ801" s="196">
        <f t="shared" ca="1" si="406"/>
        <v>1.1085321947898689E-2</v>
      </c>
      <c r="AK801" s="196">
        <f t="shared" ca="1" si="406"/>
        <v>1.1587379472480341E-2</v>
      </c>
      <c r="AL801" s="196">
        <f t="shared" ca="1" si="406"/>
        <v>1.0914738401252509E-2</v>
      </c>
      <c r="AM801" s="267">
        <f t="shared" ca="1" si="406"/>
        <v>1.0903129633581274E-2</v>
      </c>
      <c r="AN801" s="295">
        <f t="shared" ca="1" si="406"/>
        <v>1.1015791319856603E-2</v>
      </c>
      <c r="AO801" s="284">
        <f t="shared" ca="1" si="406"/>
        <v>1.020959300667575E-2</v>
      </c>
      <c r="AP801" s="189"/>
      <c r="AS801" s="206" t="s">
        <v>594</v>
      </c>
      <c r="AT801" s="43">
        <f ca="1">1.006*(R787)+R801*(1.84*(R787)+2501)</f>
        <v>41.560326302726324</v>
      </c>
      <c r="AU801" s="43">
        <f t="shared" ref="AU801:BQ801" ca="1" si="407">1.006*(S787)+S801*(1.84*(S787)+2501)</f>
        <v>43.734192324235416</v>
      </c>
      <c r="AV801" s="43">
        <f t="shared" ca="1" si="407"/>
        <v>41.313753208823542</v>
      </c>
      <c r="AW801" s="43">
        <f t="shared" ca="1" si="407"/>
        <v>40.265093277392381</v>
      </c>
      <c r="AX801" s="43">
        <f t="shared" ca="1" si="407"/>
        <v>41.535922738880942</v>
      </c>
      <c r="AY801" s="43">
        <f t="shared" ca="1" si="407"/>
        <v>41.293078403069224</v>
      </c>
      <c r="AZ801" s="43">
        <f t="shared" ca="1" si="407"/>
        <v>44.580993892627305</v>
      </c>
      <c r="BA801" s="43">
        <f t="shared" ca="1" si="407"/>
        <v>46.522334244510418</v>
      </c>
      <c r="BB801" s="43">
        <f t="shared" ca="1" si="407"/>
        <v>49.075473258311177</v>
      </c>
      <c r="BC801" s="43">
        <f t="shared" ca="1" si="407"/>
        <v>50.689518929645118</v>
      </c>
      <c r="BD801" s="43">
        <f t="shared" ca="1" si="407"/>
        <v>52.745854159818563</v>
      </c>
      <c r="BE801" s="43">
        <f t="shared" ca="1" si="407"/>
        <v>51.506069752592296</v>
      </c>
      <c r="BF801" s="43">
        <f t="shared" ca="1" si="407"/>
        <v>52.256225309807526</v>
      </c>
      <c r="BG801" s="43">
        <f t="shared" ca="1" si="407"/>
        <v>55.243813450815402</v>
      </c>
      <c r="BH801" s="43">
        <f t="shared" ca="1" si="407"/>
        <v>52.324032853159011</v>
      </c>
      <c r="BI801" s="43">
        <f t="shared" ca="1" si="407"/>
        <v>51.506069752592296</v>
      </c>
      <c r="BJ801" s="43">
        <f t="shared" ca="1" si="407"/>
        <v>53.61655491699986</v>
      </c>
      <c r="BK801" s="43">
        <f t="shared" ca="1" si="407"/>
        <v>49.86578028720524</v>
      </c>
      <c r="BL801" s="43">
        <f t="shared" ca="1" si="407"/>
        <v>49.176087332523011</v>
      </c>
      <c r="BM801" s="43">
        <f t="shared" ca="1" si="407"/>
        <v>49.012791236145929</v>
      </c>
      <c r="BN801" s="43">
        <f t="shared" ca="1" si="407"/>
        <v>45.562040253650352</v>
      </c>
      <c r="BO801" s="43">
        <f t="shared" ca="1" si="407"/>
        <v>45.327414163640661</v>
      </c>
      <c r="BP801" s="43">
        <f t="shared" ca="1" si="407"/>
        <v>45.407575665857891</v>
      </c>
      <c r="BQ801" s="43">
        <f t="shared" ca="1" si="407"/>
        <v>42.340676788265498</v>
      </c>
    </row>
    <row r="802" spans="1:69" ht="18" x14ac:dyDescent="0.35">
      <c r="A802" s="836" t="s">
        <v>1234</v>
      </c>
      <c r="B802" s="836"/>
      <c r="C802" s="836"/>
      <c r="D802" s="836"/>
      <c r="E802" s="836"/>
      <c r="F802" s="836"/>
      <c r="G802" s="836"/>
      <c r="H802" s="836"/>
      <c r="I802" s="836"/>
      <c r="J802" s="836"/>
      <c r="K802" s="836"/>
      <c r="L802" s="836"/>
      <c r="N802" s="819"/>
      <c r="O802" s="822"/>
      <c r="P802" s="176" t="s">
        <v>534</v>
      </c>
      <c r="Q802" s="176"/>
      <c r="R802" s="186">
        <f t="shared" ref="R802:AO802" ca="1" si="408">((0.3*(0.8*$F$25-$K$187)*(R801+$AR$784)*(101325/(286.9*(273.15+R787)))*2501)/3600)*O$207</f>
        <v>0</v>
      </c>
      <c r="S802" s="186">
        <f t="shared" ca="1" si="408"/>
        <v>0</v>
      </c>
      <c r="T802" s="186">
        <f t="shared" ca="1" si="408"/>
        <v>0</v>
      </c>
      <c r="U802" s="186">
        <f t="shared" ca="1" si="408"/>
        <v>0</v>
      </c>
      <c r="V802" s="186">
        <f t="shared" ca="1" si="408"/>
        <v>0</v>
      </c>
      <c r="W802" s="186">
        <f t="shared" ca="1" si="408"/>
        <v>0</v>
      </c>
      <c r="X802" s="186">
        <f t="shared" ca="1" si="408"/>
        <v>0</v>
      </c>
      <c r="Y802" s="186">
        <f t="shared" ca="1" si="408"/>
        <v>0</v>
      </c>
      <c r="Z802" s="186">
        <f t="shared" ca="1" si="408"/>
        <v>0</v>
      </c>
      <c r="AA802" s="186">
        <f t="shared" ca="1" si="408"/>
        <v>0</v>
      </c>
      <c r="AB802" s="186">
        <f t="shared" ca="1" si="408"/>
        <v>0</v>
      </c>
      <c r="AC802" s="186">
        <f t="shared" ca="1" si="408"/>
        <v>0</v>
      </c>
      <c r="AD802" s="186">
        <f t="shared" ca="1" si="408"/>
        <v>0</v>
      </c>
      <c r="AE802" s="186">
        <f t="shared" ca="1" si="408"/>
        <v>0</v>
      </c>
      <c r="AF802" s="186">
        <f t="shared" ca="1" si="408"/>
        <v>0</v>
      </c>
      <c r="AG802" s="186">
        <f t="shared" ca="1" si="408"/>
        <v>0</v>
      </c>
      <c r="AH802" s="186">
        <f t="shared" ca="1" si="408"/>
        <v>0</v>
      </c>
      <c r="AI802" s="186">
        <f t="shared" ca="1" si="408"/>
        <v>0</v>
      </c>
      <c r="AJ802" s="186">
        <f t="shared" ca="1" si="408"/>
        <v>0</v>
      </c>
      <c r="AK802" s="186">
        <f t="shared" ca="1" si="408"/>
        <v>0</v>
      </c>
      <c r="AL802" s="186">
        <f t="shared" ca="1" si="408"/>
        <v>0</v>
      </c>
      <c r="AM802" s="268">
        <f t="shared" ca="1" si="408"/>
        <v>0</v>
      </c>
      <c r="AN802" s="209">
        <f t="shared" ca="1" si="408"/>
        <v>0</v>
      </c>
      <c r="AO802" s="285">
        <f t="shared" ca="1" si="408"/>
        <v>0</v>
      </c>
      <c r="AP802" s="189">
        <f>IF($K$198=0,0,SUM(R802:AO802))</f>
        <v>0</v>
      </c>
      <c r="AT802" s="43">
        <f t="shared" ref="AT802:BQ802" ca="1" si="409">($K$870*AT801-$K$871*$K$868)</f>
        <v>-3.1968635303392716</v>
      </c>
      <c r="AU802" s="43">
        <f t="shared" ca="1" si="409"/>
        <v>-0.65465385469984483</v>
      </c>
      <c r="AV802" s="43">
        <f t="shared" ca="1" si="409"/>
        <v>-3.4852163997754673</v>
      </c>
      <c r="AW802" s="43">
        <f t="shared" ca="1" si="409"/>
        <v>-4.7115631008886325</v>
      </c>
      <c r="AX802" s="43">
        <f t="shared" ca="1" si="409"/>
        <v>-3.2254020766498428</v>
      </c>
      <c r="AY802" s="43">
        <f t="shared" ca="1" si="409"/>
        <v>-3.5093943807138288</v>
      </c>
      <c r="AZ802" s="43">
        <f t="shared" ca="1" si="409"/>
        <v>0.33563124990750737</v>
      </c>
      <c r="BA802" s="43">
        <f t="shared" ca="1" si="409"/>
        <v>2.6059157004829956</v>
      </c>
      <c r="BB802" s="43">
        <f t="shared" ca="1" si="409"/>
        <v>5.5916630464169543</v>
      </c>
      <c r="BC802" s="43">
        <f t="shared" ca="1" si="409"/>
        <v>7.4791954343332137</v>
      </c>
      <c r="BD802" s="43">
        <f t="shared" ca="1" si="409"/>
        <v>9.8839596961510381</v>
      </c>
      <c r="BE802" s="43">
        <f t="shared" ca="1" si="409"/>
        <v>8.4341040543716304</v>
      </c>
      <c r="BF802" s="43">
        <f t="shared" ca="1" si="409"/>
        <v>9.3113672789301418</v>
      </c>
      <c r="BG802" s="43">
        <f t="shared" ca="1" si="409"/>
        <v>12.805177570708544</v>
      </c>
      <c r="BH802" s="43">
        <f t="shared" ca="1" si="409"/>
        <v>9.390664250815199</v>
      </c>
      <c r="BI802" s="43">
        <f t="shared" ca="1" si="409"/>
        <v>8.4341040543716304</v>
      </c>
      <c r="BJ802" s="43">
        <f t="shared" ca="1" si="409"/>
        <v>10.902193509822894</v>
      </c>
      <c r="BK802" s="43">
        <f t="shared" ca="1" si="409"/>
        <v>6.5158810781177365</v>
      </c>
      <c r="BL802" s="43">
        <f t="shared" ca="1" si="409"/>
        <v>5.7093253450296686</v>
      </c>
      <c r="BM802" s="43">
        <f t="shared" ca="1" si="409"/>
        <v>5.5183600729768045</v>
      </c>
      <c r="BN802" s="43">
        <f t="shared" ca="1" si="409"/>
        <v>1.4829078191931728</v>
      </c>
      <c r="BO802" s="43">
        <f t="shared" ca="1" si="409"/>
        <v>1.2085262748485022</v>
      </c>
      <c r="BP802" s="43">
        <f t="shared" ca="1" si="409"/>
        <v>1.3022704819588213</v>
      </c>
      <c r="BQ802" s="43">
        <f t="shared" ca="1" si="409"/>
        <v>-2.2842890960829934</v>
      </c>
    </row>
    <row r="803" spans="1:69" ht="18.600000000000001" thickBot="1" x14ac:dyDescent="0.4">
      <c r="A803" s="13" t="s">
        <v>672</v>
      </c>
      <c r="B803" s="13" t="s">
        <v>922</v>
      </c>
      <c r="C803" s="13" t="s">
        <v>923</v>
      </c>
      <c r="D803" s="13" t="s">
        <v>924</v>
      </c>
      <c r="E803" s="13" t="s">
        <v>169</v>
      </c>
      <c r="F803" s="13" t="s">
        <v>170</v>
      </c>
      <c r="G803" s="13" t="s">
        <v>171</v>
      </c>
      <c r="H803" s="13" t="s">
        <v>674</v>
      </c>
      <c r="I803" s="13" t="s">
        <v>268</v>
      </c>
      <c r="J803" s="13" t="s">
        <v>925</v>
      </c>
      <c r="K803" s="13" t="s">
        <v>673</v>
      </c>
      <c r="L803" s="13" t="s">
        <v>927</v>
      </c>
      <c r="N803" s="820"/>
      <c r="O803" s="823"/>
      <c r="P803" s="185" t="s">
        <v>535</v>
      </c>
      <c r="Q803" s="185"/>
      <c r="R803" s="197" t="e">
        <f t="shared" ref="R803:AO803" ca="1" si="410">((0.3*(A$641)*(R801+$AR$784)*(101325/(286.9*(273.15+R787)))*2501)/3600)*O$363</f>
        <v>#DIV/0!</v>
      </c>
      <c r="S803" s="197" t="e">
        <f t="shared" ca="1" si="410"/>
        <v>#DIV/0!</v>
      </c>
      <c r="T803" s="197" t="e">
        <f t="shared" ca="1" si="410"/>
        <v>#DIV/0!</v>
      </c>
      <c r="U803" s="197" t="e">
        <f t="shared" ca="1" si="410"/>
        <v>#DIV/0!</v>
      </c>
      <c r="V803" s="197" t="e">
        <f t="shared" ca="1" si="410"/>
        <v>#DIV/0!</v>
      </c>
      <c r="W803" s="197" t="e">
        <f t="shared" ca="1" si="410"/>
        <v>#DIV/0!</v>
      </c>
      <c r="X803" s="197" t="e">
        <f t="shared" ca="1" si="410"/>
        <v>#DIV/0!</v>
      </c>
      <c r="Y803" s="197" t="e">
        <f t="shared" ca="1" si="410"/>
        <v>#DIV/0!</v>
      </c>
      <c r="Z803" s="197" t="e">
        <f t="shared" ca="1" si="410"/>
        <v>#DIV/0!</v>
      </c>
      <c r="AA803" s="197" t="e">
        <f t="shared" ca="1" si="410"/>
        <v>#DIV/0!</v>
      </c>
      <c r="AB803" s="197" t="e">
        <f t="shared" ca="1" si="410"/>
        <v>#DIV/0!</v>
      </c>
      <c r="AC803" s="197" t="e">
        <f t="shared" ca="1" si="410"/>
        <v>#DIV/0!</v>
      </c>
      <c r="AD803" s="197">
        <f t="shared" ca="1" si="410"/>
        <v>0</v>
      </c>
      <c r="AE803" s="197" t="e">
        <f t="shared" ca="1" si="410"/>
        <v>#DIV/0!</v>
      </c>
      <c r="AF803" s="197" t="e">
        <f t="shared" ca="1" si="410"/>
        <v>#DIV/0!</v>
      </c>
      <c r="AG803" s="197" t="e">
        <f t="shared" ca="1" si="410"/>
        <v>#DIV/0!</v>
      </c>
      <c r="AH803" s="197" t="e">
        <f t="shared" ca="1" si="410"/>
        <v>#DIV/0!</v>
      </c>
      <c r="AI803" s="197" t="e">
        <f t="shared" ca="1" si="410"/>
        <v>#DIV/0!</v>
      </c>
      <c r="AJ803" s="197" t="e">
        <f t="shared" ca="1" si="410"/>
        <v>#DIV/0!</v>
      </c>
      <c r="AK803" s="197" t="e">
        <f t="shared" ca="1" si="410"/>
        <v>#DIV/0!</v>
      </c>
      <c r="AL803" s="197" t="e">
        <f t="shared" ca="1" si="410"/>
        <v>#DIV/0!</v>
      </c>
      <c r="AM803" s="270" t="e">
        <f t="shared" ca="1" si="410"/>
        <v>#DIV/0!</v>
      </c>
      <c r="AN803" s="209" t="e">
        <f t="shared" ca="1" si="410"/>
        <v>#DIV/0!</v>
      </c>
      <c r="AO803" s="287" t="e">
        <f t="shared" ca="1" si="410"/>
        <v>#DIV/0!</v>
      </c>
      <c r="AP803" s="189">
        <f>IF($K$198=0,0,SUM(R803:AO803))</f>
        <v>0</v>
      </c>
      <c r="AT803" s="43">
        <f t="shared" ref="AT803:BG803" ca="1" si="411">IF(AT802*O363&lt;0,0,AT802*O363)</f>
        <v>0</v>
      </c>
      <c r="AU803" s="43">
        <f t="shared" ca="1" si="411"/>
        <v>0</v>
      </c>
      <c r="AV803" s="43">
        <f t="shared" ca="1" si="411"/>
        <v>0</v>
      </c>
      <c r="AW803" s="43">
        <f t="shared" ca="1" si="411"/>
        <v>0</v>
      </c>
      <c r="AX803" s="43">
        <f t="shared" ca="1" si="411"/>
        <v>0</v>
      </c>
      <c r="AY803" s="43">
        <f t="shared" ca="1" si="411"/>
        <v>0</v>
      </c>
      <c r="AZ803" s="43">
        <f t="shared" ca="1" si="411"/>
        <v>0</v>
      </c>
      <c r="BA803" s="43">
        <f t="shared" ca="1" si="411"/>
        <v>0</v>
      </c>
      <c r="BB803" s="43">
        <f t="shared" ca="1" si="411"/>
        <v>0</v>
      </c>
      <c r="BC803" s="43">
        <f t="shared" ca="1" si="411"/>
        <v>0</v>
      </c>
      <c r="BD803" s="43">
        <f t="shared" ca="1" si="411"/>
        <v>0</v>
      </c>
      <c r="BE803" s="43">
        <f t="shared" ca="1" si="411"/>
        <v>0</v>
      </c>
      <c r="BF803" s="43">
        <f t="shared" ca="1" si="411"/>
        <v>0</v>
      </c>
      <c r="BG803" s="43">
        <f t="shared" ca="1" si="411"/>
        <v>0</v>
      </c>
      <c r="BH803" s="43">
        <f ca="1">BH802*AC363</f>
        <v>0</v>
      </c>
      <c r="BI803" s="43">
        <f t="shared" ref="BI803:BQ803" ca="1" si="412">IF(BI802*AD363&lt;0,0,BI802*AD363)</f>
        <v>0</v>
      </c>
      <c r="BJ803" s="43">
        <f t="shared" ca="1" si="412"/>
        <v>0</v>
      </c>
      <c r="BK803" s="43">
        <f t="shared" ca="1" si="412"/>
        <v>0</v>
      </c>
      <c r="BL803" s="43">
        <f t="shared" ca="1" si="412"/>
        <v>0</v>
      </c>
      <c r="BM803" s="43">
        <f t="shared" ca="1" si="412"/>
        <v>0</v>
      </c>
      <c r="BN803" s="43">
        <f t="shared" ca="1" si="412"/>
        <v>0</v>
      </c>
      <c r="BO803" s="43">
        <f t="shared" ca="1" si="412"/>
        <v>0</v>
      </c>
      <c r="BP803" s="43">
        <f t="shared" ca="1" si="412"/>
        <v>0</v>
      </c>
      <c r="BQ803" s="43">
        <f t="shared" ca="1" si="412"/>
        <v>0</v>
      </c>
    </row>
    <row r="804" spans="1:69" ht="18" x14ac:dyDescent="0.35">
      <c r="A804" s="41">
        <f ca="1">31-A245</f>
        <v>31</v>
      </c>
      <c r="B804" s="41">
        <f ca="1">28-B245</f>
        <v>28</v>
      </c>
      <c r="C804" s="41">
        <f t="shared" ref="C804:L804" ca="1" si="413">31-C245</f>
        <v>31</v>
      </c>
      <c r="D804" s="41">
        <f ca="1">30-D245</f>
        <v>30</v>
      </c>
      <c r="E804" s="41">
        <f t="shared" ca="1" si="413"/>
        <v>31</v>
      </c>
      <c r="F804" s="41">
        <f ca="1">30-F245</f>
        <v>30</v>
      </c>
      <c r="G804" s="41">
        <f t="shared" ca="1" si="413"/>
        <v>31</v>
      </c>
      <c r="H804" s="41">
        <f t="shared" ca="1" si="413"/>
        <v>31</v>
      </c>
      <c r="I804" s="41">
        <f ca="1">30-I245</f>
        <v>30</v>
      </c>
      <c r="J804" s="41">
        <f t="shared" ca="1" si="413"/>
        <v>31</v>
      </c>
      <c r="K804" s="41">
        <f ca="1">30-K245</f>
        <v>30</v>
      </c>
      <c r="L804" s="41">
        <f t="shared" ca="1" si="413"/>
        <v>31</v>
      </c>
      <c r="N804" s="839" t="s">
        <v>171</v>
      </c>
      <c r="O804" s="893">
        <v>7</v>
      </c>
      <c r="P804" s="180" t="s">
        <v>522</v>
      </c>
      <c r="Q804" s="181" t="s">
        <v>946</v>
      </c>
      <c r="R804" s="182">
        <f ca="1">'Климатични зони'!D12</f>
        <v>18.8</v>
      </c>
      <c r="S804" s="182">
        <f ca="1">'Климатични зони'!E12</f>
        <v>19.8</v>
      </c>
      <c r="T804" s="182">
        <f ca="1">'Климатични зони'!F12</f>
        <v>18.5</v>
      </c>
      <c r="U804" s="182">
        <f ca="1">'Климатични зони'!G12</f>
        <v>18.2</v>
      </c>
      <c r="V804" s="182">
        <f ca="1">'Климатични зони'!H12</f>
        <v>19.2</v>
      </c>
      <c r="W804" s="182">
        <f ca="1">'Климатични зони'!I12</f>
        <v>18.5</v>
      </c>
      <c r="X804" s="182">
        <f ca="1">'Климатични зони'!J12</f>
        <v>20.5</v>
      </c>
      <c r="Y804" s="182">
        <f ca="1">'Климатични зони'!K12</f>
        <v>22</v>
      </c>
      <c r="Z804" s="182">
        <f ca="1">'Климатични зони'!L12</f>
        <v>24.1</v>
      </c>
      <c r="AA804" s="182">
        <f ca="1">'Климатични зони'!M12</f>
        <v>25.5</v>
      </c>
      <c r="AB804" s="182">
        <f ca="1">'Климатични зони'!N12</f>
        <v>25.9</v>
      </c>
      <c r="AC804" s="182">
        <f ca="1">'Климатични зони'!O12</f>
        <v>26.6</v>
      </c>
      <c r="AD804" s="182">
        <f ca="1">'Климатични зони'!P12</f>
        <v>26.8</v>
      </c>
      <c r="AE804" s="182">
        <f ca="1">'Климатични зони'!Q12</f>
        <v>26.5</v>
      </c>
      <c r="AF804" s="182">
        <f ca="1">'Климатични зони'!R12</f>
        <v>26.8</v>
      </c>
      <c r="AG804" s="182">
        <f ca="1">'Климатични зони'!S12</f>
        <v>26.5</v>
      </c>
      <c r="AH804" s="182">
        <f ca="1">'Климатични зони'!T12</f>
        <v>25.7</v>
      </c>
      <c r="AI804" s="182">
        <f ca="1">'Климатични зони'!U12</f>
        <v>25.1</v>
      </c>
      <c r="AJ804" s="182">
        <f ca="1">'Климатични зони'!V12</f>
        <v>24</v>
      </c>
      <c r="AK804" s="182">
        <f ca="1">'Климатични зони'!W12</f>
        <v>22.9</v>
      </c>
      <c r="AL804" s="182">
        <f ca="1">'Климатични зони'!X12</f>
        <v>21.1</v>
      </c>
      <c r="AM804" s="262">
        <f ca="1">'Климатични зони'!Y12</f>
        <v>20.2</v>
      </c>
      <c r="AN804" s="207">
        <f ca="1">'Климатични зони'!Z12</f>
        <v>20.8</v>
      </c>
      <c r="AO804" s="275">
        <f ca="1">'Климатични зони'!AA12</f>
        <v>19.100000000000001</v>
      </c>
      <c r="AP804" s="189"/>
      <c r="AT804" s="929">
        <f ca="1">SUM(AT803:BQ803)</f>
        <v>0</v>
      </c>
      <c r="AU804" s="929"/>
      <c r="AV804" s="929"/>
      <c r="AW804" s="929"/>
      <c r="AX804" s="929"/>
      <c r="AY804" s="929"/>
      <c r="AZ804" s="929"/>
      <c r="BA804" s="929"/>
      <c r="BB804" s="929"/>
      <c r="BC804" s="929"/>
      <c r="BD804" s="929"/>
      <c r="BE804" s="929"/>
      <c r="BF804" s="929"/>
      <c r="BG804" s="929"/>
      <c r="BH804" s="929"/>
      <c r="BI804" s="929"/>
      <c r="BJ804" s="929"/>
      <c r="BK804" s="929"/>
      <c r="BL804" s="929"/>
      <c r="BM804" s="929"/>
      <c r="BN804" s="929"/>
      <c r="BO804" s="929"/>
      <c r="BP804" s="929"/>
      <c r="BQ804" s="929"/>
    </row>
    <row r="805" spans="1:69" ht="18" x14ac:dyDescent="0.35">
      <c r="A805" s="36"/>
      <c r="B805" s="36"/>
      <c r="C805" s="36"/>
      <c r="D805" s="36"/>
      <c r="E805" s="36"/>
      <c r="F805" s="36"/>
      <c r="G805" s="36"/>
      <c r="H805" s="36"/>
      <c r="I805" s="14"/>
      <c r="J805" s="14"/>
      <c r="K805" s="14"/>
      <c r="L805" s="14"/>
      <c r="M805" s="339"/>
      <c r="N805" s="840"/>
      <c r="O805" s="894"/>
      <c r="P805" s="183" t="s">
        <v>531</v>
      </c>
      <c r="Q805" s="184" t="s">
        <v>1</v>
      </c>
      <c r="R805" s="173">
        <f ca="1">'Климатични зони'!D13</f>
        <v>87</v>
      </c>
      <c r="S805" s="173">
        <f ca="1">'Климатични зони'!E13</f>
        <v>82</v>
      </c>
      <c r="T805" s="173">
        <f ca="1">'Климатични зони'!F13</f>
        <v>89</v>
      </c>
      <c r="U805" s="173">
        <f ca="1">'Климатични зони'!G13</f>
        <v>89</v>
      </c>
      <c r="V805" s="173">
        <f ca="1">'Климатични зони'!H13</f>
        <v>83</v>
      </c>
      <c r="W805" s="173">
        <f ca="1">'Климатични зони'!I13</f>
        <v>88</v>
      </c>
      <c r="X805" s="173">
        <f ca="1">'Климатични зони'!J13</f>
        <v>81</v>
      </c>
      <c r="Y805" s="173">
        <f ca="1">'Климатични зони'!K13</f>
        <v>77</v>
      </c>
      <c r="Z805" s="173">
        <f ca="1">'Климатични зони'!L13</f>
        <v>68</v>
      </c>
      <c r="AA805" s="173">
        <f ca="1">'Климатични зони'!M13</f>
        <v>61</v>
      </c>
      <c r="AB805" s="173">
        <f ca="1">'Климатични зони'!N13</f>
        <v>65</v>
      </c>
      <c r="AC805" s="173">
        <f ca="1">'Климатични зони'!O13</f>
        <v>55</v>
      </c>
      <c r="AD805" s="173">
        <f ca="1">'Климатични зони'!P13</f>
        <v>56</v>
      </c>
      <c r="AE805" s="173">
        <f ca="1">'Климатични зони'!Q13</f>
        <v>65</v>
      </c>
      <c r="AF805" s="173">
        <f ca="1">'Климатични зони'!R13</f>
        <v>55</v>
      </c>
      <c r="AG805" s="173">
        <f ca="1">'Климатични зони'!S13</f>
        <v>57</v>
      </c>
      <c r="AH805" s="173">
        <f ca="1">'Климатични зони'!T13</f>
        <v>67</v>
      </c>
      <c r="AI805" s="173">
        <f ca="1">'Климатични зони'!U13</f>
        <v>62</v>
      </c>
      <c r="AJ805" s="173">
        <f ca="1">'Климатични зони'!V13</f>
        <v>66</v>
      </c>
      <c r="AK805" s="173">
        <f ca="1">'Климатични зони'!W13</f>
        <v>74</v>
      </c>
      <c r="AL805" s="173">
        <f ca="1">'Климатични зони'!X13</f>
        <v>80</v>
      </c>
      <c r="AM805" s="259">
        <f ca="1">'Климатични зони'!Y13</f>
        <v>84</v>
      </c>
      <c r="AN805" s="207">
        <f ca="1">'Климатични зони'!Z13</f>
        <v>81</v>
      </c>
      <c r="AO805" s="254">
        <f ca="1">'Климатични зони'!AA13</f>
        <v>86</v>
      </c>
      <c r="AP805" s="189"/>
      <c r="AT805" s="55"/>
      <c r="AU805" s="55"/>
      <c r="AV805" s="55"/>
      <c r="AW805" s="55"/>
      <c r="AX805" s="55"/>
      <c r="AY805" s="55"/>
      <c r="AZ805" s="55"/>
      <c r="BA805" s="55"/>
      <c r="BB805" s="55"/>
      <c r="BC805" s="55"/>
      <c r="BD805" s="55"/>
      <c r="BE805" s="55"/>
      <c r="BF805" s="55"/>
      <c r="BG805" s="55"/>
      <c r="BH805" s="55"/>
      <c r="BI805" s="55"/>
      <c r="BJ805" s="55"/>
      <c r="BK805" s="55"/>
      <c r="BL805" s="55"/>
      <c r="BM805" s="55"/>
      <c r="BN805" s="55"/>
      <c r="BO805" s="55"/>
      <c r="BP805" s="55"/>
      <c r="BQ805" s="55"/>
    </row>
    <row r="806" spans="1:69" ht="18.600000000000001" x14ac:dyDescent="0.4">
      <c r="A806" s="667" t="s">
        <v>1217</v>
      </c>
      <c r="B806" s="589"/>
      <c r="C806" s="589"/>
      <c r="D806" s="589"/>
      <c r="E806" s="589"/>
      <c r="F806" s="589"/>
      <c r="G806" s="589"/>
      <c r="H806" s="589"/>
      <c r="I806" s="589"/>
      <c r="J806" s="550" t="s">
        <v>1219</v>
      </c>
      <c r="K806" s="112">
        <f ca="1">Стойности!G25</f>
        <v>80</v>
      </c>
      <c r="L806" s="99" t="s">
        <v>1218</v>
      </c>
      <c r="M806" s="161"/>
      <c r="N806" s="840"/>
      <c r="O806" s="894"/>
      <c r="P806" s="170" t="s">
        <v>523</v>
      </c>
      <c r="Q806" s="172" t="s">
        <v>948</v>
      </c>
      <c r="R806" s="173">
        <f t="shared" ref="R806:AO806" ca="1" si="414">((1/($K$183-R804))*(((-$E$614)*5*COS(2*3.14*(($O804-1)/12))+($F$614*7.5*COS(2*3.14*(($O804-1-1)/12))))))</f>
        <v>-1.8186978144862644E-42</v>
      </c>
      <c r="S806" s="173">
        <f t="shared" ca="1" si="414"/>
        <v>-2.1684473941951618E-42</v>
      </c>
      <c r="T806" s="173">
        <f t="shared" ca="1" si="414"/>
        <v>-1.734757915356129E-42</v>
      </c>
      <c r="U806" s="173">
        <f t="shared" ca="1" si="414"/>
        <v>-1.6582244779139465E-42</v>
      </c>
      <c r="V806" s="173">
        <f t="shared" ca="1" si="414"/>
        <v>-1.9441252499680753E-42</v>
      </c>
      <c r="W806" s="173">
        <f t="shared" ca="1" si="414"/>
        <v>-1.734757915356129E-42</v>
      </c>
      <c r="X806" s="173">
        <f t="shared" ca="1" si="414"/>
        <v>-2.5057614332921861E-42</v>
      </c>
      <c r="Y806" s="173">
        <f t="shared" ca="1" si="414"/>
        <v>-3.758642149938279E-42</v>
      </c>
      <c r="Z806" s="173">
        <f t="shared" ca="1" si="414"/>
        <v>-1.2528807166460951E-41</v>
      </c>
      <c r="AA806" s="173">
        <f t="shared" ca="1" si="414"/>
        <v>2.2551852899629677E-41</v>
      </c>
      <c r="AB806" s="173">
        <f t="shared" ca="1" si="414"/>
        <v>1.2528807166460951E-41</v>
      </c>
      <c r="AC806" s="173">
        <f t="shared" ca="1" si="414"/>
        <v>7.0474540311342673E-42</v>
      </c>
      <c r="AD806" s="173">
        <f t="shared" ca="1" si="414"/>
        <v>6.2644035832304629E-42</v>
      </c>
      <c r="AE806" s="173">
        <f t="shared" ca="1" si="414"/>
        <v>7.517284299876558E-42</v>
      </c>
      <c r="AF806" s="173">
        <f t="shared" ca="1" si="414"/>
        <v>6.2644035832304629E-42</v>
      </c>
      <c r="AG806" s="173">
        <f t="shared" ca="1" si="414"/>
        <v>7.517284299876558E-42</v>
      </c>
      <c r="AH806" s="173">
        <f t="shared" ca="1" si="414"/>
        <v>1.6108466356878355E-41</v>
      </c>
      <c r="AI806" s="173">
        <f t="shared" ca="1" si="414"/>
        <v>1.1275926449814679E-40</v>
      </c>
      <c r="AJ806" s="173">
        <f t="shared" ca="1" si="414"/>
        <v>-1.1275926449814838E-41</v>
      </c>
      <c r="AK806" s="173">
        <f t="shared" ca="1" si="414"/>
        <v>-5.36948878562611E-42</v>
      </c>
      <c r="AL806" s="173">
        <f t="shared" ca="1" si="414"/>
        <v>-2.891263192260216E-42</v>
      </c>
      <c r="AM806" s="259">
        <f t="shared" ca="1" si="414"/>
        <v>-2.3491513437114245E-42</v>
      </c>
      <c r="AN806" s="207">
        <f t="shared" ca="1" si="414"/>
        <v>-2.6847443928130572E-42</v>
      </c>
      <c r="AO806" s="276">
        <f t="shared" ca="1" si="414"/>
        <v>-1.9111739745448882E-42</v>
      </c>
      <c r="AP806" s="189"/>
      <c r="AT806" s="55"/>
      <c r="AU806" s="55"/>
      <c r="AV806" s="55"/>
      <c r="AW806" s="55"/>
      <c r="AX806" s="55"/>
      <c r="AY806" s="55"/>
      <c r="AZ806" s="55"/>
      <c r="BA806" s="55"/>
      <c r="BB806" s="55"/>
      <c r="BC806" s="55"/>
      <c r="BD806" s="55"/>
      <c r="BE806" s="55"/>
      <c r="BF806" s="55"/>
      <c r="BG806" s="55"/>
      <c r="BH806" s="55"/>
      <c r="BI806" s="55"/>
      <c r="BJ806" s="55"/>
      <c r="BK806" s="55"/>
      <c r="BL806" s="55"/>
      <c r="BM806" s="55"/>
      <c r="BN806" s="55"/>
      <c r="BO806" s="55"/>
      <c r="BP806" s="55"/>
      <c r="BQ806" s="55"/>
    </row>
    <row r="807" spans="1:69" ht="18" x14ac:dyDescent="0.35">
      <c r="A807" s="667" t="s">
        <v>1220</v>
      </c>
      <c r="B807" s="589"/>
      <c r="C807" s="589"/>
      <c r="D807" s="589"/>
      <c r="E807" s="589"/>
      <c r="F807" s="589"/>
      <c r="G807" s="589"/>
      <c r="H807" s="589"/>
      <c r="I807" s="589"/>
      <c r="J807" s="550" t="s">
        <v>1031</v>
      </c>
      <c r="K807" s="112">
        <f>K185</f>
        <v>8</v>
      </c>
      <c r="L807" s="99"/>
      <c r="M807" s="161"/>
      <c r="N807" s="840"/>
      <c r="O807" s="894"/>
      <c r="P807" s="174" t="s">
        <v>524</v>
      </c>
      <c r="Q807" s="175" t="s">
        <v>945</v>
      </c>
      <c r="R807" s="176" t="e">
        <f t="shared" ref="R807:AO807" ca="1" si="415">(1/1000)*(($K$455+R806)*($K$183-R804))*O$208</f>
        <v>#DIV/0!</v>
      </c>
      <c r="S807" s="176" t="e">
        <f t="shared" ca="1" si="415"/>
        <v>#DIV/0!</v>
      </c>
      <c r="T807" s="176" t="e">
        <f t="shared" ca="1" si="415"/>
        <v>#DIV/0!</v>
      </c>
      <c r="U807" s="176" t="e">
        <f t="shared" ca="1" si="415"/>
        <v>#DIV/0!</v>
      </c>
      <c r="V807" s="176" t="e">
        <f t="shared" ca="1" si="415"/>
        <v>#DIV/0!</v>
      </c>
      <c r="W807" s="176" t="e">
        <f t="shared" ca="1" si="415"/>
        <v>#DIV/0!</v>
      </c>
      <c r="X807" s="176" t="e">
        <f t="shared" ca="1" si="415"/>
        <v>#DIV/0!</v>
      </c>
      <c r="Y807" s="176" t="e">
        <f t="shared" ca="1" si="415"/>
        <v>#DIV/0!</v>
      </c>
      <c r="Z807" s="176" t="e">
        <f t="shared" ca="1" si="415"/>
        <v>#DIV/0!</v>
      </c>
      <c r="AA807" s="176" t="e">
        <f t="shared" ca="1" si="415"/>
        <v>#DIV/0!</v>
      </c>
      <c r="AB807" s="176" t="e">
        <f t="shared" ca="1" si="415"/>
        <v>#DIV/0!</v>
      </c>
      <c r="AC807" s="176" t="e">
        <f t="shared" ca="1" si="415"/>
        <v>#DIV/0!</v>
      </c>
      <c r="AD807" s="176" t="e">
        <f t="shared" ca="1" si="415"/>
        <v>#DIV/0!</v>
      </c>
      <c r="AE807" s="176" t="e">
        <f t="shared" ca="1" si="415"/>
        <v>#DIV/0!</v>
      </c>
      <c r="AF807" s="176" t="e">
        <f t="shared" ca="1" si="415"/>
        <v>#DIV/0!</v>
      </c>
      <c r="AG807" s="176" t="e">
        <f t="shared" ca="1" si="415"/>
        <v>#DIV/0!</v>
      </c>
      <c r="AH807" s="176" t="e">
        <f t="shared" ca="1" si="415"/>
        <v>#DIV/0!</v>
      </c>
      <c r="AI807" s="176" t="e">
        <f t="shared" ca="1" si="415"/>
        <v>#DIV/0!</v>
      </c>
      <c r="AJ807" s="176" t="e">
        <f t="shared" ca="1" si="415"/>
        <v>#DIV/0!</v>
      </c>
      <c r="AK807" s="176" t="e">
        <f t="shared" ca="1" si="415"/>
        <v>#DIV/0!</v>
      </c>
      <c r="AL807" s="176" t="e">
        <f t="shared" ca="1" si="415"/>
        <v>#DIV/0!</v>
      </c>
      <c r="AM807" s="260" t="e">
        <f t="shared" ca="1" si="415"/>
        <v>#DIV/0!</v>
      </c>
      <c r="AN807" s="208" t="e">
        <f t="shared" ca="1" si="415"/>
        <v>#DIV/0!</v>
      </c>
      <c r="AO807" s="273" t="e">
        <f t="shared" ca="1" si="415"/>
        <v>#DIV/0!</v>
      </c>
      <c r="AP807" s="189" t="e">
        <f ca="1">SUM(R807:AO807)</f>
        <v>#DIV/0!</v>
      </c>
      <c r="AT807" s="55"/>
      <c r="AU807" s="55"/>
      <c r="AV807" s="55"/>
      <c r="AW807" s="55"/>
      <c r="AX807" s="55"/>
      <c r="AY807" s="55"/>
      <c r="AZ807" s="55"/>
      <c r="BA807" s="55"/>
      <c r="BB807" s="55"/>
      <c r="BC807" s="55"/>
      <c r="BD807" s="55"/>
      <c r="BE807" s="55"/>
      <c r="BF807" s="55"/>
      <c r="BG807" s="55"/>
      <c r="BH807" s="55"/>
      <c r="BI807" s="55"/>
      <c r="BJ807" s="55"/>
      <c r="BK807" s="55"/>
      <c r="BL807" s="55"/>
      <c r="BM807" s="55"/>
      <c r="BN807" s="55"/>
      <c r="BO807" s="55"/>
      <c r="BP807" s="55"/>
      <c r="BQ807" s="55"/>
    </row>
    <row r="808" spans="1:69" ht="18" x14ac:dyDescent="0.35">
      <c r="A808" s="667" t="s">
        <v>1221</v>
      </c>
      <c r="B808" s="589"/>
      <c r="C808" s="589"/>
      <c r="D808" s="589"/>
      <c r="E808" s="589"/>
      <c r="F808" s="589"/>
      <c r="G808" s="589"/>
      <c r="H808" s="589"/>
      <c r="I808" s="589"/>
      <c r="J808" s="550" t="s">
        <v>1222</v>
      </c>
      <c r="K808" s="112">
        <v>0.3</v>
      </c>
      <c r="L808" s="99"/>
      <c r="M808" s="199"/>
      <c r="N808" s="840"/>
      <c r="O808" s="894"/>
      <c r="P808" s="170" t="s">
        <v>525</v>
      </c>
      <c r="Q808" s="172" t="s">
        <v>950</v>
      </c>
      <c r="R808" s="196">
        <f t="shared" ref="R808:AO808" ca="1" si="416">IF(($K$183-$L$648)/($K$183-R804)=0,1,($K$183-$L$648)/($K$183-R804))</f>
        <v>0.48387096774193555</v>
      </c>
      <c r="S808" s="196">
        <f t="shared" ca="1" si="416"/>
        <v>0.57692307692307698</v>
      </c>
      <c r="T808" s="196">
        <f t="shared" ca="1" si="416"/>
        <v>0.46153846153846156</v>
      </c>
      <c r="U808" s="196">
        <f t="shared" ca="1" si="416"/>
        <v>0.44117647058823523</v>
      </c>
      <c r="V808" s="196">
        <f t="shared" ca="1" si="416"/>
        <v>0.51724137931034475</v>
      </c>
      <c r="W808" s="196">
        <f t="shared" ca="1" si="416"/>
        <v>0.46153846153846156</v>
      </c>
      <c r="X808" s="196">
        <f t="shared" ca="1" si="416"/>
        <v>0.66666666666666663</v>
      </c>
      <c r="Y808" s="196">
        <f t="shared" ca="1" si="416"/>
        <v>1</v>
      </c>
      <c r="Z808" s="196">
        <f t="shared" ca="1" si="416"/>
        <v>3.3333333333333388</v>
      </c>
      <c r="AA808" s="196">
        <f t="shared" ca="1" si="416"/>
        <v>-6</v>
      </c>
      <c r="AB808" s="196">
        <f t="shared" ca="1" si="416"/>
        <v>-3.3333333333333388</v>
      </c>
      <c r="AC808" s="196">
        <f t="shared" ca="1" si="416"/>
        <v>-1.8749999999999982</v>
      </c>
      <c r="AD808" s="196">
        <f t="shared" ca="1" si="416"/>
        <v>-1.6666666666666661</v>
      </c>
      <c r="AE808" s="196">
        <f t="shared" ca="1" si="416"/>
        <v>-2</v>
      </c>
      <c r="AF808" s="196">
        <f t="shared" ca="1" si="416"/>
        <v>-1.6666666666666661</v>
      </c>
      <c r="AG808" s="196">
        <f t="shared" ca="1" si="416"/>
        <v>-2</v>
      </c>
      <c r="AH808" s="196">
        <f t="shared" ca="1" si="416"/>
        <v>-4.28571428571429</v>
      </c>
      <c r="AI808" s="196">
        <f t="shared" ca="1" si="416"/>
        <v>-29.999999999999574</v>
      </c>
      <c r="AJ808" s="196">
        <f t="shared" ca="1" si="416"/>
        <v>3</v>
      </c>
      <c r="AK808" s="196">
        <f t="shared" ca="1" si="416"/>
        <v>1.4285714285714277</v>
      </c>
      <c r="AL808" s="196">
        <f t="shared" ca="1" si="416"/>
        <v>0.7692307692307695</v>
      </c>
      <c r="AM808" s="267">
        <f t="shared" ca="1" si="416"/>
        <v>0.62499999999999989</v>
      </c>
      <c r="AN808" s="295">
        <f t="shared" ca="1" si="416"/>
        <v>0.71428571428571441</v>
      </c>
      <c r="AO808" s="284">
        <f t="shared" ca="1" si="416"/>
        <v>0.50847457627118653</v>
      </c>
      <c r="AP808" s="189"/>
      <c r="AT808" s="55"/>
      <c r="AU808" s="55"/>
      <c r="AV808" s="55"/>
      <c r="AW808" s="55"/>
      <c r="AX808" s="55"/>
      <c r="AY808" s="55"/>
      <c r="AZ808" s="55"/>
      <c r="BA808" s="55"/>
      <c r="BB808" s="55"/>
      <c r="BC808" s="55"/>
      <c r="BD808" s="55"/>
      <c r="BE808" s="55"/>
      <c r="BF808" s="55"/>
      <c r="BG808" s="55"/>
      <c r="BH808" s="55"/>
      <c r="BI808" s="55"/>
      <c r="BJ808" s="55"/>
      <c r="BK808" s="55"/>
      <c r="BL808" s="55"/>
      <c r="BM808" s="55"/>
      <c r="BN808" s="55"/>
      <c r="BO808" s="55"/>
      <c r="BP808" s="55"/>
      <c r="BQ808" s="55"/>
    </row>
    <row r="809" spans="1:69" ht="18.600000000000001" x14ac:dyDescent="0.4">
      <c r="A809" s="667" t="s">
        <v>1240</v>
      </c>
      <c r="B809" s="589"/>
      <c r="C809" s="589"/>
      <c r="D809" s="589"/>
      <c r="E809" s="589"/>
      <c r="F809" s="589"/>
      <c r="G809" s="589"/>
      <c r="H809" s="589"/>
      <c r="I809" s="589"/>
      <c r="J809" s="550" t="s">
        <v>1223</v>
      </c>
      <c r="K809" s="112">
        <f ca="1">SUM(A804:L804)</f>
        <v>365</v>
      </c>
      <c r="L809" s="99" t="s">
        <v>1224</v>
      </c>
      <c r="N809" s="840"/>
      <c r="O809" s="894"/>
      <c r="P809" s="255"/>
      <c r="Q809" s="256"/>
      <c r="R809" s="257"/>
      <c r="S809" s="257"/>
      <c r="T809" s="257"/>
      <c r="U809" s="257"/>
      <c r="V809" s="257"/>
      <c r="W809" s="257"/>
      <c r="X809" s="257"/>
      <c r="Y809" s="257"/>
      <c r="Z809" s="257"/>
      <c r="AA809" s="257"/>
      <c r="AB809" s="257"/>
      <c r="AC809" s="257"/>
      <c r="AD809" s="257"/>
      <c r="AE809" s="257"/>
      <c r="AF809" s="257"/>
      <c r="AG809" s="257"/>
      <c r="AH809" s="257"/>
      <c r="AI809" s="257"/>
      <c r="AJ809" s="257"/>
      <c r="AK809" s="257"/>
      <c r="AL809" s="257"/>
      <c r="AM809" s="271"/>
      <c r="AN809" s="207"/>
      <c r="AO809" s="288"/>
      <c r="AP809" s="189"/>
      <c r="AT809" s="55"/>
      <c r="AU809" s="55"/>
      <c r="AV809" s="55"/>
      <c r="AW809" s="55"/>
      <c r="AX809" s="55"/>
      <c r="AY809" s="55"/>
      <c r="AZ809" s="55"/>
      <c r="BA809" s="55"/>
      <c r="BB809" s="55"/>
      <c r="BC809" s="55"/>
      <c r="BD809" s="55"/>
      <c r="BE809" s="55"/>
      <c r="BF809" s="55"/>
      <c r="BG809" s="55"/>
      <c r="BH809" s="55"/>
      <c r="BI809" s="55"/>
      <c r="BJ809" s="55"/>
      <c r="BK809" s="55"/>
      <c r="BL809" s="55"/>
      <c r="BM809" s="55"/>
      <c r="BN809" s="55"/>
      <c r="BO809" s="55"/>
      <c r="BP809" s="55"/>
      <c r="BQ809" s="55"/>
    </row>
    <row r="810" spans="1:69" ht="18.600000000000001" x14ac:dyDescent="0.4">
      <c r="A810" s="667" t="s">
        <v>259</v>
      </c>
      <c r="B810" s="589"/>
      <c r="C810" s="589"/>
      <c r="D810" s="589"/>
      <c r="E810" s="589"/>
      <c r="F810" s="589"/>
      <c r="G810" s="589"/>
      <c r="H810" s="589"/>
      <c r="I810" s="589"/>
      <c r="J810" s="45" t="s">
        <v>1225</v>
      </c>
      <c r="K810" s="112">
        <v>55</v>
      </c>
      <c r="L810" s="551" t="s">
        <v>1216</v>
      </c>
      <c r="M810" s="340"/>
      <c r="N810" s="840"/>
      <c r="O810" s="894"/>
      <c r="P810" s="170" t="s">
        <v>526</v>
      </c>
      <c r="Q810" s="172" t="s">
        <v>948</v>
      </c>
      <c r="R810" s="173">
        <f t="shared" ref="R810:AO810" si="417">0.34*($K$186*(0.8*$F$25-$K$187))</f>
        <v>0</v>
      </c>
      <c r="S810" s="173">
        <f t="shared" si="417"/>
        <v>0</v>
      </c>
      <c r="T810" s="173">
        <f t="shared" si="417"/>
        <v>0</v>
      </c>
      <c r="U810" s="173">
        <f t="shared" si="417"/>
        <v>0</v>
      </c>
      <c r="V810" s="173">
        <f t="shared" si="417"/>
        <v>0</v>
      </c>
      <c r="W810" s="173">
        <f t="shared" si="417"/>
        <v>0</v>
      </c>
      <c r="X810" s="173">
        <f t="shared" si="417"/>
        <v>0</v>
      </c>
      <c r="Y810" s="173">
        <f t="shared" si="417"/>
        <v>0</v>
      </c>
      <c r="Z810" s="173">
        <f t="shared" si="417"/>
        <v>0</v>
      </c>
      <c r="AA810" s="173">
        <f t="shared" si="417"/>
        <v>0</v>
      </c>
      <c r="AB810" s="173">
        <f t="shared" si="417"/>
        <v>0</v>
      </c>
      <c r="AC810" s="173">
        <f t="shared" si="417"/>
        <v>0</v>
      </c>
      <c r="AD810" s="173">
        <f t="shared" si="417"/>
        <v>0</v>
      </c>
      <c r="AE810" s="173">
        <f t="shared" si="417"/>
        <v>0</v>
      </c>
      <c r="AF810" s="173">
        <f t="shared" si="417"/>
        <v>0</v>
      </c>
      <c r="AG810" s="173">
        <f t="shared" si="417"/>
        <v>0</v>
      </c>
      <c r="AH810" s="173">
        <f t="shared" si="417"/>
        <v>0</v>
      </c>
      <c r="AI810" s="173">
        <f t="shared" si="417"/>
        <v>0</v>
      </c>
      <c r="AJ810" s="173">
        <f t="shared" si="417"/>
        <v>0</v>
      </c>
      <c r="AK810" s="173">
        <f t="shared" si="417"/>
        <v>0</v>
      </c>
      <c r="AL810" s="173">
        <f t="shared" si="417"/>
        <v>0</v>
      </c>
      <c r="AM810" s="173">
        <f t="shared" si="417"/>
        <v>0</v>
      </c>
      <c r="AN810" s="173">
        <f t="shared" si="417"/>
        <v>0</v>
      </c>
      <c r="AO810" s="173">
        <f t="shared" si="417"/>
        <v>0</v>
      </c>
      <c r="AP810" s="189"/>
    </row>
    <row r="811" spans="1:69" ht="18.600000000000001" x14ac:dyDescent="0.4">
      <c r="A811" s="667" t="s">
        <v>1226</v>
      </c>
      <c r="B811" s="589"/>
      <c r="C811" s="589"/>
      <c r="D811" s="589"/>
      <c r="E811" s="589"/>
      <c r="F811" s="589"/>
      <c r="G811" s="589"/>
      <c r="H811" s="589"/>
      <c r="I811" s="589"/>
      <c r="J811" s="45" t="s">
        <v>1227</v>
      </c>
      <c r="K811" s="112">
        <v>37.5</v>
      </c>
      <c r="L811" s="551" t="s">
        <v>1216</v>
      </c>
      <c r="M811" s="99"/>
      <c r="N811" s="840"/>
      <c r="O811" s="894"/>
      <c r="P811" s="174" t="s">
        <v>527</v>
      </c>
      <c r="Q811" s="175" t="s">
        <v>945</v>
      </c>
      <c r="R811" s="186">
        <f t="shared" ref="R811:AO811" ca="1" si="418">(1/1000)*(R810*($K$183-R804))*O$208</f>
        <v>0</v>
      </c>
      <c r="S811" s="186">
        <f t="shared" ca="1" si="418"/>
        <v>0</v>
      </c>
      <c r="T811" s="186">
        <f t="shared" ca="1" si="418"/>
        <v>0</v>
      </c>
      <c r="U811" s="186">
        <f t="shared" ca="1" si="418"/>
        <v>0</v>
      </c>
      <c r="V811" s="186">
        <f t="shared" ca="1" si="418"/>
        <v>0</v>
      </c>
      <c r="W811" s="186">
        <f t="shared" ca="1" si="418"/>
        <v>0</v>
      </c>
      <c r="X811" s="186">
        <f t="shared" ca="1" si="418"/>
        <v>0</v>
      </c>
      <c r="Y811" s="186">
        <f t="shared" ca="1" si="418"/>
        <v>0</v>
      </c>
      <c r="Z811" s="186">
        <f t="shared" ca="1" si="418"/>
        <v>0</v>
      </c>
      <c r="AA811" s="186">
        <f t="shared" ca="1" si="418"/>
        <v>0</v>
      </c>
      <c r="AB811" s="186">
        <f t="shared" ca="1" si="418"/>
        <v>0</v>
      </c>
      <c r="AC811" s="186">
        <f t="shared" ca="1" si="418"/>
        <v>0</v>
      </c>
      <c r="AD811" s="186">
        <f t="shared" ca="1" si="418"/>
        <v>0</v>
      </c>
      <c r="AE811" s="186">
        <f t="shared" ca="1" si="418"/>
        <v>0</v>
      </c>
      <c r="AF811" s="186">
        <f t="shared" ca="1" si="418"/>
        <v>0</v>
      </c>
      <c r="AG811" s="186">
        <f t="shared" ca="1" si="418"/>
        <v>0</v>
      </c>
      <c r="AH811" s="186">
        <f t="shared" ca="1" si="418"/>
        <v>0</v>
      </c>
      <c r="AI811" s="186">
        <f t="shared" ca="1" si="418"/>
        <v>0</v>
      </c>
      <c r="AJ811" s="186">
        <f t="shared" ca="1" si="418"/>
        <v>0</v>
      </c>
      <c r="AK811" s="186">
        <f t="shared" ca="1" si="418"/>
        <v>0</v>
      </c>
      <c r="AL811" s="186">
        <f t="shared" ca="1" si="418"/>
        <v>0</v>
      </c>
      <c r="AM811" s="268">
        <f t="shared" ca="1" si="418"/>
        <v>0</v>
      </c>
      <c r="AN811" s="209">
        <f t="shared" ca="1" si="418"/>
        <v>0</v>
      </c>
      <c r="AO811" s="285">
        <f t="shared" ca="1" si="418"/>
        <v>0</v>
      </c>
      <c r="AP811" s="189">
        <f ca="1">SUM(R811:AO811)</f>
        <v>0</v>
      </c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</row>
    <row r="812" spans="1:69" ht="18.600000000000001" x14ac:dyDescent="0.4">
      <c r="A812" s="667" t="s">
        <v>538</v>
      </c>
      <c r="B812" s="589"/>
      <c r="C812" s="589"/>
      <c r="D812" s="589"/>
      <c r="E812" s="589"/>
      <c r="F812" s="589"/>
      <c r="G812" s="589"/>
      <c r="H812" s="589"/>
      <c r="I812" s="589"/>
      <c r="J812" s="45" t="s">
        <v>1228</v>
      </c>
      <c r="K812" s="112">
        <v>10</v>
      </c>
      <c r="L812" s="551" t="s">
        <v>1216</v>
      </c>
      <c r="M812" s="99"/>
      <c r="N812" s="840"/>
      <c r="O812" s="894"/>
      <c r="P812" s="177" t="s">
        <v>528</v>
      </c>
      <c r="Q812" s="178" t="s">
        <v>945</v>
      </c>
      <c r="R812" s="187" t="e">
        <f t="shared" ref="R812:AO812" ca="1" si="419">R811+R807</f>
        <v>#DIV/0!</v>
      </c>
      <c r="S812" s="187" t="e">
        <f t="shared" ca="1" si="419"/>
        <v>#DIV/0!</v>
      </c>
      <c r="T812" s="187" t="e">
        <f t="shared" ca="1" si="419"/>
        <v>#DIV/0!</v>
      </c>
      <c r="U812" s="187" t="e">
        <f t="shared" ca="1" si="419"/>
        <v>#DIV/0!</v>
      </c>
      <c r="V812" s="187" t="e">
        <f t="shared" ca="1" si="419"/>
        <v>#DIV/0!</v>
      </c>
      <c r="W812" s="187" t="e">
        <f t="shared" ca="1" si="419"/>
        <v>#DIV/0!</v>
      </c>
      <c r="X812" s="187" t="e">
        <f t="shared" ca="1" si="419"/>
        <v>#DIV/0!</v>
      </c>
      <c r="Y812" s="187" t="e">
        <f t="shared" ca="1" si="419"/>
        <v>#DIV/0!</v>
      </c>
      <c r="Z812" s="187" t="e">
        <f t="shared" ca="1" si="419"/>
        <v>#DIV/0!</v>
      </c>
      <c r="AA812" s="187" t="e">
        <f t="shared" ca="1" si="419"/>
        <v>#DIV/0!</v>
      </c>
      <c r="AB812" s="187" t="e">
        <f t="shared" ca="1" si="419"/>
        <v>#DIV/0!</v>
      </c>
      <c r="AC812" s="187" t="e">
        <f t="shared" ca="1" si="419"/>
        <v>#DIV/0!</v>
      </c>
      <c r="AD812" s="187" t="e">
        <f t="shared" ca="1" si="419"/>
        <v>#DIV/0!</v>
      </c>
      <c r="AE812" s="187" t="e">
        <f t="shared" ca="1" si="419"/>
        <v>#DIV/0!</v>
      </c>
      <c r="AF812" s="187" t="e">
        <f t="shared" ca="1" si="419"/>
        <v>#DIV/0!</v>
      </c>
      <c r="AG812" s="187" t="e">
        <f t="shared" ca="1" si="419"/>
        <v>#DIV/0!</v>
      </c>
      <c r="AH812" s="187" t="e">
        <f t="shared" ca="1" si="419"/>
        <v>#DIV/0!</v>
      </c>
      <c r="AI812" s="187" t="e">
        <f t="shared" ca="1" si="419"/>
        <v>#DIV/0!</v>
      </c>
      <c r="AJ812" s="187" t="e">
        <f t="shared" ca="1" si="419"/>
        <v>#DIV/0!</v>
      </c>
      <c r="AK812" s="187" t="e">
        <f t="shared" ca="1" si="419"/>
        <v>#DIV/0!</v>
      </c>
      <c r="AL812" s="187" t="e">
        <f t="shared" ca="1" si="419"/>
        <v>#DIV/0!</v>
      </c>
      <c r="AM812" s="269" t="e">
        <f t="shared" ca="1" si="419"/>
        <v>#DIV/0!</v>
      </c>
      <c r="AN812" s="297" t="e">
        <f t="shared" ca="1" si="419"/>
        <v>#DIV/0!</v>
      </c>
      <c r="AO812" s="286" t="e">
        <f t="shared" ca="1" si="419"/>
        <v>#DIV/0!</v>
      </c>
      <c r="AP812" s="189" t="e">
        <f ca="1">SUM(R812:AO812)</f>
        <v>#DIV/0!</v>
      </c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</row>
    <row r="813" spans="1:69" ht="18.600000000000001" x14ac:dyDescent="0.4">
      <c r="A813" s="667" t="s">
        <v>1229</v>
      </c>
      <c r="B813" s="589"/>
      <c r="C813" s="589"/>
      <c r="D813" s="589"/>
      <c r="E813" s="589"/>
      <c r="F813" s="589"/>
      <c r="G813" s="589"/>
      <c r="H813" s="589"/>
      <c r="I813" s="589"/>
      <c r="J813" s="45" t="s">
        <v>1230</v>
      </c>
      <c r="K813" s="99">
        <f ca="1">K806*((K810-K812)/(K811-K812))</f>
        <v>130.90909090909091</v>
      </c>
      <c r="L813" s="198" t="s">
        <v>1215</v>
      </c>
      <c r="M813" s="99"/>
      <c r="N813" s="840"/>
      <c r="O813" s="894"/>
      <c r="P813" s="177"/>
      <c r="Q813" s="178"/>
      <c r="R813" s="187"/>
      <c r="S813" s="187"/>
      <c r="T813" s="187"/>
      <c r="U813" s="187"/>
      <c r="V813" s="187"/>
      <c r="W813" s="187"/>
      <c r="X813" s="187"/>
      <c r="Y813" s="187"/>
      <c r="Z813" s="187"/>
      <c r="AA813" s="187"/>
      <c r="AB813" s="187"/>
      <c r="AC813" s="187"/>
      <c r="AD813" s="187"/>
      <c r="AE813" s="187"/>
      <c r="AF813" s="187"/>
      <c r="AG813" s="187"/>
      <c r="AH813" s="187"/>
      <c r="AI813" s="187"/>
      <c r="AJ813" s="187"/>
      <c r="AK813" s="187"/>
      <c r="AL813" s="187"/>
      <c r="AM813" s="269"/>
      <c r="AN813" s="297"/>
      <c r="AO813" s="286"/>
      <c r="AP813" s="189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</row>
    <row r="814" spans="1:69" ht="19.2" x14ac:dyDescent="0.4">
      <c r="A814" s="667" t="s">
        <v>1232</v>
      </c>
      <c r="B814" s="589"/>
      <c r="C814" s="589"/>
      <c r="D814" s="589"/>
      <c r="E814" s="589"/>
      <c r="F814" s="589"/>
      <c r="G814" s="589"/>
      <c r="H814" s="589"/>
      <c r="I814" s="589"/>
      <c r="J814" s="45" t="s">
        <v>537</v>
      </c>
      <c r="K814" s="99" t="e">
        <f ca="1">K813*K807*K808*K809/C25</f>
        <v>#DIV/0!</v>
      </c>
      <c r="L814" s="55" t="s">
        <v>1231</v>
      </c>
      <c r="M814" s="99"/>
      <c r="N814" s="840"/>
      <c r="O814" s="894"/>
      <c r="P814" s="177"/>
      <c r="Q814" s="178"/>
      <c r="R814" s="187"/>
      <c r="S814" s="187"/>
      <c r="T814" s="187"/>
      <c r="U814" s="187"/>
      <c r="V814" s="187"/>
      <c r="W814" s="187"/>
      <c r="X814" s="187"/>
      <c r="Y814" s="187"/>
      <c r="Z814" s="187"/>
      <c r="AA814" s="187"/>
      <c r="AB814" s="187"/>
      <c r="AC814" s="187"/>
      <c r="AD814" s="187"/>
      <c r="AE814" s="187"/>
      <c r="AF814" s="187"/>
      <c r="AG814" s="187"/>
      <c r="AH814" s="187"/>
      <c r="AI814" s="187"/>
      <c r="AJ814" s="187"/>
      <c r="AK814" s="187"/>
      <c r="AL814" s="187"/>
      <c r="AM814" s="269"/>
      <c r="AN814" s="297"/>
      <c r="AO814" s="286"/>
      <c r="AP814" s="189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</row>
    <row r="815" spans="1:69" ht="18" x14ac:dyDescent="0.35">
      <c r="N815" s="840"/>
      <c r="O815" s="894"/>
      <c r="P815" s="177" t="s">
        <v>529</v>
      </c>
      <c r="Q815" s="178" t="s">
        <v>945</v>
      </c>
      <c r="R815" s="187">
        <f t="shared" ref="R815:AC815" si="420">IF($O$617=1,(1/1000)*(0.34*A$641)*($K$183-R804)*O$364*R808,0)</f>
        <v>0</v>
      </c>
      <c r="S815" s="187">
        <f t="shared" si="420"/>
        <v>0</v>
      </c>
      <c r="T815" s="187">
        <f t="shared" si="420"/>
        <v>0</v>
      </c>
      <c r="U815" s="187">
        <f t="shared" si="420"/>
        <v>0</v>
      </c>
      <c r="V815" s="187">
        <f t="shared" si="420"/>
        <v>0</v>
      </c>
      <c r="W815" s="187">
        <f t="shared" si="420"/>
        <v>0</v>
      </c>
      <c r="X815" s="187">
        <f t="shared" si="420"/>
        <v>0</v>
      </c>
      <c r="Y815" s="187">
        <f t="shared" si="420"/>
        <v>0</v>
      </c>
      <c r="Z815" s="187">
        <f t="shared" si="420"/>
        <v>0</v>
      </c>
      <c r="AA815" s="187">
        <f t="shared" si="420"/>
        <v>0</v>
      </c>
      <c r="AB815" s="187">
        <f t="shared" si="420"/>
        <v>0</v>
      </c>
      <c r="AC815" s="187">
        <f t="shared" si="420"/>
        <v>0</v>
      </c>
      <c r="AD815" s="187">
        <f t="shared" ref="AD815:AO815" si="421">IF($O$617=1,(1/1000)*(0.34*N$641)*($K$183-AD804)*AA$364*AD808,0)</f>
        <v>0</v>
      </c>
      <c r="AE815" s="187">
        <f t="shared" si="421"/>
        <v>0</v>
      </c>
      <c r="AF815" s="187">
        <f t="shared" si="421"/>
        <v>0</v>
      </c>
      <c r="AG815" s="187">
        <f t="shared" si="421"/>
        <v>0</v>
      </c>
      <c r="AH815" s="187">
        <f t="shared" si="421"/>
        <v>0</v>
      </c>
      <c r="AI815" s="187">
        <f t="shared" si="421"/>
        <v>0</v>
      </c>
      <c r="AJ815" s="187">
        <f t="shared" si="421"/>
        <v>0</v>
      </c>
      <c r="AK815" s="187">
        <f t="shared" si="421"/>
        <v>0</v>
      </c>
      <c r="AL815" s="187">
        <f t="shared" si="421"/>
        <v>0</v>
      </c>
      <c r="AM815" s="269">
        <f t="shared" si="421"/>
        <v>0</v>
      </c>
      <c r="AN815" s="297">
        <f t="shared" si="421"/>
        <v>0</v>
      </c>
      <c r="AO815" s="286">
        <f t="shared" si="421"/>
        <v>0</v>
      </c>
      <c r="AP815" s="189">
        <f>SUM(R815:AO815)</f>
        <v>0</v>
      </c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</row>
    <row r="816" spans="1:69" ht="19.8" x14ac:dyDescent="0.4">
      <c r="A816" s="780" t="s">
        <v>1233</v>
      </c>
      <c r="B816" s="589"/>
      <c r="C816" s="589"/>
      <c r="D816" s="589"/>
      <c r="E816" s="589"/>
      <c r="F816" s="589"/>
      <c r="G816" s="589"/>
      <c r="H816" s="589"/>
      <c r="I816" s="589"/>
      <c r="J816" s="19" t="s">
        <v>539</v>
      </c>
      <c r="K816" s="767">
        <f ca="1">1.161*K806*(K810-K812)/1000</f>
        <v>4.1795999999999998</v>
      </c>
      <c r="L816" s="768"/>
      <c r="M816" s="341"/>
      <c r="N816" s="840"/>
      <c r="O816" s="894"/>
      <c r="P816" s="174" t="s">
        <v>530</v>
      </c>
      <c r="Q816" s="175" t="s">
        <v>945</v>
      </c>
      <c r="R816" s="186">
        <f t="shared" ref="R816:AO816" si="422">(1/1000)*($L$697+$L$698)*O$234</f>
        <v>28.768000000000001</v>
      </c>
      <c r="S816" s="186">
        <f t="shared" si="422"/>
        <v>28.768000000000001</v>
      </c>
      <c r="T816" s="186">
        <f t="shared" si="422"/>
        <v>28.768000000000001</v>
      </c>
      <c r="U816" s="186">
        <f t="shared" si="422"/>
        <v>28.768000000000001</v>
      </c>
      <c r="V816" s="186">
        <f t="shared" si="422"/>
        <v>28.768000000000001</v>
      </c>
      <c r="W816" s="186">
        <f t="shared" si="422"/>
        <v>28.768000000000001</v>
      </c>
      <c r="X816" s="186">
        <f t="shared" si="422"/>
        <v>28.768000000000001</v>
      </c>
      <c r="Y816" s="186">
        <f t="shared" si="422"/>
        <v>28.768000000000001</v>
      </c>
      <c r="Z816" s="186">
        <f t="shared" si="422"/>
        <v>28.768000000000001</v>
      </c>
      <c r="AA816" s="186">
        <f t="shared" si="422"/>
        <v>28.768000000000001</v>
      </c>
      <c r="AB816" s="186">
        <f t="shared" si="422"/>
        <v>28.768000000000001</v>
      </c>
      <c r="AC816" s="186">
        <f t="shared" si="422"/>
        <v>28.768000000000001</v>
      </c>
      <c r="AD816" s="186">
        <f t="shared" si="422"/>
        <v>28.768000000000001</v>
      </c>
      <c r="AE816" s="186">
        <f t="shared" si="422"/>
        <v>28.768000000000001</v>
      </c>
      <c r="AF816" s="186">
        <f t="shared" si="422"/>
        <v>28.768000000000001</v>
      </c>
      <c r="AG816" s="186">
        <f t="shared" si="422"/>
        <v>28.768000000000001</v>
      </c>
      <c r="AH816" s="186">
        <f t="shared" si="422"/>
        <v>28.768000000000001</v>
      </c>
      <c r="AI816" s="186">
        <f t="shared" si="422"/>
        <v>28.768000000000001</v>
      </c>
      <c r="AJ816" s="186">
        <f t="shared" si="422"/>
        <v>28.768000000000001</v>
      </c>
      <c r="AK816" s="186">
        <f t="shared" si="422"/>
        <v>28.768000000000001</v>
      </c>
      <c r="AL816" s="186">
        <f t="shared" si="422"/>
        <v>28.768000000000001</v>
      </c>
      <c r="AM816" s="268">
        <f t="shared" si="422"/>
        <v>28.768000000000001</v>
      </c>
      <c r="AN816" s="209">
        <f t="shared" si="422"/>
        <v>28.768000000000001</v>
      </c>
      <c r="AO816" s="285">
        <f t="shared" si="422"/>
        <v>28.768000000000001</v>
      </c>
      <c r="AP816" s="189">
        <f>SUM(R816:AO816)</f>
        <v>690.43200000000047</v>
      </c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</row>
    <row r="817" spans="1:100" ht="19.8" x14ac:dyDescent="0.4">
      <c r="A817" s="637" t="s">
        <v>742</v>
      </c>
      <c r="B817" s="589"/>
      <c r="C817" s="589"/>
      <c r="D817" s="589"/>
      <c r="E817" s="589"/>
      <c r="F817" s="589"/>
      <c r="G817" s="589"/>
      <c r="H817" s="589"/>
      <c r="I817" s="589"/>
      <c r="J817" s="19" t="s">
        <v>539</v>
      </c>
      <c r="K817" s="767">
        <f ca="1">K816*(SUM(J804:L804,A804:D804))*K807*K808</f>
        <v>2126.5804800000001</v>
      </c>
      <c r="L817" s="768"/>
      <c r="M817" s="341"/>
      <c r="N817" s="840"/>
      <c r="O817" s="894"/>
      <c r="P817" s="173" t="s">
        <v>532</v>
      </c>
      <c r="Q817" s="173"/>
      <c r="R817" s="196">
        <f t="shared" ref="R817:AO817" ca="1" si="423">(2.71828^(77.345+0.0057*(273.15+R804)-7235/(273.15+R804)))/((273.15+R804)^8.2)</f>
        <v>2163.4531031744409</v>
      </c>
      <c r="S817" s="196">
        <f t="shared" ca="1" si="423"/>
        <v>2302.4181707410376</v>
      </c>
      <c r="T817" s="196">
        <f t="shared" ca="1" si="423"/>
        <v>2123.2223491734558</v>
      </c>
      <c r="U817" s="196">
        <f t="shared" ca="1" si="423"/>
        <v>2083.6484043369678</v>
      </c>
      <c r="V817" s="196">
        <f t="shared" ca="1" si="423"/>
        <v>2218.1317330838101</v>
      </c>
      <c r="W817" s="196">
        <f t="shared" ca="1" si="423"/>
        <v>2123.2223491734558</v>
      </c>
      <c r="X817" s="196">
        <f t="shared" ca="1" si="423"/>
        <v>2404.2838213449604</v>
      </c>
      <c r="Y817" s="196">
        <f t="shared" ca="1" si="423"/>
        <v>2635.932965205317</v>
      </c>
      <c r="Z817" s="196">
        <f t="shared" ca="1" si="423"/>
        <v>2992.9173279615748</v>
      </c>
      <c r="AA817" s="196">
        <f t="shared" ca="1" si="423"/>
        <v>3253.7155552804497</v>
      </c>
      <c r="AB817" s="196">
        <f t="shared" ca="1" si="423"/>
        <v>3331.7766199232728</v>
      </c>
      <c r="AC817" s="196">
        <f t="shared" ca="1" si="423"/>
        <v>3472.3167431478105</v>
      </c>
      <c r="AD817" s="196">
        <f t="shared" ca="1" si="423"/>
        <v>3513.4078951615065</v>
      </c>
      <c r="AE817" s="196">
        <f t="shared" ca="1" si="423"/>
        <v>3451.9286529755009</v>
      </c>
      <c r="AF817" s="196">
        <f t="shared" ca="1" si="423"/>
        <v>3513.4078951615065</v>
      </c>
      <c r="AG817" s="196">
        <f t="shared" ca="1" si="423"/>
        <v>3451.9286529755009</v>
      </c>
      <c r="AH817" s="196">
        <f t="shared" ca="1" si="423"/>
        <v>3292.5444094905524</v>
      </c>
      <c r="AI817" s="196">
        <f t="shared" ca="1" si="423"/>
        <v>3177.253977162095</v>
      </c>
      <c r="AJ817" s="196">
        <f t="shared" ca="1" si="423"/>
        <v>2975.0076836712683</v>
      </c>
      <c r="AK817" s="196">
        <f t="shared" ca="1" si="423"/>
        <v>2784.0898113386893</v>
      </c>
      <c r="AL817" s="196">
        <f t="shared" ca="1" si="423"/>
        <v>2494.7131639276895</v>
      </c>
      <c r="AM817" s="267">
        <f t="shared" ca="1" si="423"/>
        <v>2360.1542815439079</v>
      </c>
      <c r="AN817" s="295">
        <f t="shared" ca="1" si="423"/>
        <v>2449.1334819150002</v>
      </c>
      <c r="AO817" s="284">
        <f t="shared" ca="1" si="423"/>
        <v>2204.3498695005323</v>
      </c>
      <c r="AP817" s="189"/>
    </row>
    <row r="818" spans="1:100" ht="19.8" x14ac:dyDescent="0.4">
      <c r="A818" s="637" t="s">
        <v>745</v>
      </c>
      <c r="B818" s="589"/>
      <c r="C818" s="589"/>
      <c r="D818" s="589"/>
      <c r="E818" s="589"/>
      <c r="F818" s="589"/>
      <c r="G818" s="589"/>
      <c r="H818" s="589"/>
      <c r="I818" s="589"/>
      <c r="J818" s="19" t="s">
        <v>539</v>
      </c>
      <c r="K818" s="767">
        <f ca="1">K816*(SUM(E804:I804))*K807*K808</f>
        <v>1534.7491199999999</v>
      </c>
      <c r="L818" s="768"/>
      <c r="M818" s="341"/>
      <c r="N818" s="840"/>
      <c r="O818" s="894"/>
      <c r="P818" s="177"/>
      <c r="Q818" s="178"/>
      <c r="R818" s="187"/>
      <c r="S818" s="187"/>
      <c r="T818" s="187"/>
      <c r="U818" s="187"/>
      <c r="V818" s="187"/>
      <c r="W818" s="187"/>
      <c r="X818" s="187"/>
      <c r="Y818" s="187"/>
      <c r="Z818" s="187"/>
      <c r="AA818" s="187"/>
      <c r="AB818" s="187"/>
      <c r="AC818" s="187"/>
      <c r="AD818" s="187"/>
      <c r="AE818" s="187"/>
      <c r="AF818" s="187"/>
      <c r="AG818" s="187"/>
      <c r="AH818" s="187"/>
      <c r="AI818" s="187"/>
      <c r="AJ818" s="187"/>
      <c r="AK818" s="187"/>
      <c r="AL818" s="187"/>
      <c r="AM818" s="269"/>
      <c r="AN818" s="297"/>
      <c r="AO818" s="286"/>
      <c r="AP818" s="189"/>
    </row>
    <row r="819" spans="1:100" ht="18.600000000000001" x14ac:dyDescent="0.4">
      <c r="N819" s="840"/>
      <c r="O819" s="894"/>
      <c r="P819" s="173" t="s">
        <v>533</v>
      </c>
      <c r="Q819" s="173"/>
      <c r="R819" s="196">
        <f t="shared" ref="R819:AO819" ca="1" si="424">0.62198*(R805*R817/100)/(101325-(R805*R817/100))</f>
        <v>1.1772530717252993E-2</v>
      </c>
      <c r="S819" s="196">
        <f t="shared" ca="1" si="424"/>
        <v>1.1809360722937949E-2</v>
      </c>
      <c r="T819" s="196">
        <f t="shared" ca="1" si="424"/>
        <v>1.1820100660059649E-2</v>
      </c>
      <c r="U819" s="196">
        <f t="shared" ca="1" si="424"/>
        <v>1.159568295209228E-2</v>
      </c>
      <c r="V819" s="196">
        <f t="shared" ca="1" si="424"/>
        <v>1.1510357800635291E-2</v>
      </c>
      <c r="W819" s="196">
        <f t="shared" ca="1" si="424"/>
        <v>1.1684795509750229E-2</v>
      </c>
      <c r="X819" s="196">
        <f t="shared" ca="1" si="424"/>
        <v>1.2188744519971685E-2</v>
      </c>
      <c r="Y819" s="196">
        <f t="shared" ca="1" si="424"/>
        <v>1.2713720981966917E-2</v>
      </c>
      <c r="Z819" s="196">
        <f t="shared" ca="1" si="424"/>
        <v>1.2748977262608844E-2</v>
      </c>
      <c r="AA819" s="196">
        <f t="shared" ca="1" si="424"/>
        <v>1.2426838724056073E-2</v>
      </c>
      <c r="AB819" s="196">
        <f t="shared" ca="1" si="424"/>
        <v>1.3584135430323467E-2</v>
      </c>
      <c r="AC819" s="196">
        <f t="shared" ca="1" si="424"/>
        <v>1.1948284107312416E-2</v>
      </c>
      <c r="AD819" s="196">
        <f t="shared" ca="1" si="424"/>
        <v>1.2316644355949672E-2</v>
      </c>
      <c r="AE819" s="196">
        <f t="shared" ca="1" si="424"/>
        <v>1.4085106217130336E-2</v>
      </c>
      <c r="AF819" s="196">
        <f t="shared" ca="1" si="424"/>
        <v>1.2092428240980495E-2</v>
      </c>
      <c r="AG819" s="196">
        <f t="shared" ca="1" si="424"/>
        <v>1.2317224730254601E-2</v>
      </c>
      <c r="AH819" s="196">
        <f t="shared" ca="1" si="424"/>
        <v>1.3842864667015902E-2</v>
      </c>
      <c r="AI819" s="196">
        <f t="shared" ca="1" si="424"/>
        <v>1.2331896345054067E-2</v>
      </c>
      <c r="AJ819" s="196">
        <f t="shared" ca="1" si="424"/>
        <v>1.2291088062581114E-2</v>
      </c>
      <c r="AK819" s="196">
        <f t="shared" ca="1" si="424"/>
        <v>1.2909107714051677E-2</v>
      </c>
      <c r="AL819" s="196">
        <f t="shared" ca="1" si="424"/>
        <v>1.2497120551498713E-2</v>
      </c>
      <c r="AM819" s="267">
        <f t="shared" ca="1" si="424"/>
        <v>1.2412553799202164E-2</v>
      </c>
      <c r="AN819" s="295">
        <f t="shared" ca="1" si="424"/>
        <v>1.2420654587920615E-2</v>
      </c>
      <c r="AO819" s="284">
        <f t="shared" ca="1" si="424"/>
        <v>1.1858812264150134E-2</v>
      </c>
      <c r="AP819" s="189"/>
      <c r="AS819" s="206" t="s">
        <v>594</v>
      </c>
      <c r="AT819" s="43">
        <f t="shared" ref="AT819:BQ819" ca="1" si="425">1.006*(R804)+R819*(1.84*(R804)+2501)</f>
        <v>48.763134706420956</v>
      </c>
      <c r="AU819" s="43">
        <f t="shared" ca="1" si="425"/>
        <v>49.884249797925882</v>
      </c>
      <c r="AV819" s="43">
        <f t="shared" ca="1" si="425"/>
        <v>48.575427977277613</v>
      </c>
      <c r="AW819" s="43">
        <f t="shared" ca="1" si="425"/>
        <v>47.698319293882456</v>
      </c>
      <c r="AX819" s="43">
        <f t="shared" ca="1" si="425"/>
        <v>48.509242779769707</v>
      </c>
      <c r="AY819" s="43">
        <f t="shared" ca="1" si="425"/>
        <v>48.232424009037217</v>
      </c>
      <c r="AZ819" s="43">
        <f t="shared" ca="1" si="425"/>
        <v>51.566809487742518</v>
      </c>
      <c r="BA819" s="43">
        <f t="shared" ca="1" si="425"/>
        <v>54.443667601249288</v>
      </c>
      <c r="BB819" s="43">
        <f t="shared" ca="1" si="425"/>
        <v>56.695132781517842</v>
      </c>
      <c r="BC819" s="43">
        <f t="shared" ca="1" si="425"/>
        <v>57.315590921796954</v>
      </c>
      <c r="BD819" s="43">
        <f t="shared" ca="1" si="425"/>
        <v>60.676688269306482</v>
      </c>
      <c r="BE819" s="43">
        <f t="shared" ca="1" si="425"/>
        <v>57.227055369736654</v>
      </c>
      <c r="BF819" s="43">
        <f t="shared" ca="1" si="425"/>
        <v>58.372085900710722</v>
      </c>
      <c r="BG819" s="43">
        <f t="shared" ca="1" si="425"/>
        <v>62.572640428190248</v>
      </c>
      <c r="BH819" s="43">
        <f t="shared" ca="1" si="425"/>
        <v>57.800264852111454</v>
      </c>
      <c r="BI819" s="43">
        <f t="shared" ca="1" si="425"/>
        <v>58.064966928213977</v>
      </c>
      <c r="BJ819" s="43">
        <f t="shared" ca="1" si="425"/>
        <v>61.129805916580622</v>
      </c>
      <c r="BK819" s="43">
        <f t="shared" ca="1" si="425"/>
        <v>56.662209059780203</v>
      </c>
      <c r="BL819" s="43">
        <f t="shared" ca="1" si="425"/>
        <v>55.426785693358944</v>
      </c>
      <c r="BM819" s="43">
        <f t="shared" ca="1" si="425"/>
        <v>55.867016555482522</v>
      </c>
      <c r="BN819" s="43">
        <f t="shared" ca="1" si="425"/>
        <v>52.967086707589672</v>
      </c>
      <c r="BO819" s="43">
        <f t="shared" ca="1" si="425"/>
        <v>51.826346851413362</v>
      </c>
      <c r="BP819" s="43">
        <f t="shared" ca="1" si="425"/>
        <v>52.46422041677836</v>
      </c>
      <c r="BQ819" s="43">
        <f t="shared" ca="1" si="425"/>
        <v>49.290255570850782</v>
      </c>
    </row>
    <row r="820" spans="1:100" ht="18" x14ac:dyDescent="0.35">
      <c r="A820" s="644" t="s">
        <v>1246</v>
      </c>
      <c r="B820" s="766"/>
      <c r="C820" s="766"/>
      <c r="D820" s="766"/>
      <c r="E820" s="766"/>
      <c r="F820" s="766"/>
      <c r="G820" s="766"/>
      <c r="H820" s="766"/>
      <c r="I820" s="766"/>
      <c r="J820" s="766"/>
      <c r="K820" s="766"/>
      <c r="L820" s="589"/>
      <c r="M820" s="199"/>
      <c r="N820" s="840"/>
      <c r="O820" s="894"/>
      <c r="P820" s="176" t="s">
        <v>534</v>
      </c>
      <c r="Q820" s="176"/>
      <c r="R820" s="186">
        <f t="shared" ref="R820:AO820" ca="1" si="426">((0.3*(0.8*$F$25-$K$187)*(R819+$AR$784)*(101325/(286.9*(273.15+R804)))*2501)/3600)*O$208</f>
        <v>0</v>
      </c>
      <c r="S820" s="186">
        <f t="shared" ca="1" si="426"/>
        <v>0</v>
      </c>
      <c r="T820" s="186">
        <f t="shared" ca="1" si="426"/>
        <v>0</v>
      </c>
      <c r="U820" s="186">
        <f t="shared" ca="1" si="426"/>
        <v>0</v>
      </c>
      <c r="V820" s="186">
        <f t="shared" ca="1" si="426"/>
        <v>0</v>
      </c>
      <c r="W820" s="186">
        <f t="shared" ca="1" si="426"/>
        <v>0</v>
      </c>
      <c r="X820" s="186">
        <f t="shared" ca="1" si="426"/>
        <v>0</v>
      </c>
      <c r="Y820" s="186">
        <f t="shared" ca="1" si="426"/>
        <v>0</v>
      </c>
      <c r="Z820" s="186">
        <f t="shared" ca="1" si="426"/>
        <v>0</v>
      </c>
      <c r="AA820" s="186">
        <f t="shared" ca="1" si="426"/>
        <v>0</v>
      </c>
      <c r="AB820" s="186">
        <f t="shared" ca="1" si="426"/>
        <v>0</v>
      </c>
      <c r="AC820" s="186">
        <f t="shared" ca="1" si="426"/>
        <v>0</v>
      </c>
      <c r="AD820" s="186">
        <f t="shared" ca="1" si="426"/>
        <v>0</v>
      </c>
      <c r="AE820" s="186">
        <f t="shared" ca="1" si="426"/>
        <v>0</v>
      </c>
      <c r="AF820" s="186">
        <f t="shared" ca="1" si="426"/>
        <v>0</v>
      </c>
      <c r="AG820" s="186">
        <f t="shared" ca="1" si="426"/>
        <v>0</v>
      </c>
      <c r="AH820" s="186">
        <f t="shared" ca="1" si="426"/>
        <v>0</v>
      </c>
      <c r="AI820" s="186">
        <f t="shared" ca="1" si="426"/>
        <v>0</v>
      </c>
      <c r="AJ820" s="186">
        <f t="shared" ca="1" si="426"/>
        <v>0</v>
      </c>
      <c r="AK820" s="186">
        <f t="shared" ca="1" si="426"/>
        <v>0</v>
      </c>
      <c r="AL820" s="186">
        <f t="shared" ca="1" si="426"/>
        <v>0</v>
      </c>
      <c r="AM820" s="268">
        <f t="shared" ca="1" si="426"/>
        <v>0</v>
      </c>
      <c r="AN820" s="209">
        <f t="shared" ca="1" si="426"/>
        <v>0</v>
      </c>
      <c r="AO820" s="285">
        <f t="shared" ca="1" si="426"/>
        <v>0</v>
      </c>
      <c r="AP820" s="189">
        <f>IF($K$198=0,0,SUM(R820:AO820))</f>
        <v>0</v>
      </c>
      <c r="AT820" s="43">
        <f t="shared" ref="AT820:BQ820" ca="1" si="427">($K$870*AT819-$K$871*$K$868)</f>
        <v>5.226401304969194</v>
      </c>
      <c r="AU820" s="43">
        <f t="shared" ca="1" si="427"/>
        <v>6.5374800949815892</v>
      </c>
      <c r="AV820" s="43">
        <f t="shared" ca="1" si="427"/>
        <v>5.0068892199145836</v>
      </c>
      <c r="AW820" s="43">
        <f t="shared" ca="1" si="427"/>
        <v>3.9811617098233185</v>
      </c>
      <c r="AX820" s="43">
        <f t="shared" ca="1" si="427"/>
        <v>4.9294894869853678</v>
      </c>
      <c r="AY820" s="43">
        <f t="shared" ca="1" si="427"/>
        <v>4.6057660604302129</v>
      </c>
      <c r="AZ820" s="43">
        <f t="shared" ca="1" si="427"/>
        <v>8.5051356362938151</v>
      </c>
      <c r="BA820" s="43">
        <f t="shared" ca="1" si="427"/>
        <v>11.869453611383022</v>
      </c>
      <c r="BB820" s="43">
        <f t="shared" ca="1" si="427"/>
        <v>14.502410982725799</v>
      </c>
      <c r="BC820" s="43">
        <f t="shared" ca="1" si="427"/>
        <v>15.228000633578269</v>
      </c>
      <c r="BD820" s="43">
        <f t="shared" ca="1" si="427"/>
        <v>19.158608183933673</v>
      </c>
      <c r="BE820" s="43">
        <f t="shared" ca="1" si="427"/>
        <v>15.124463462998854</v>
      </c>
      <c r="BF820" s="43">
        <f t="shared" ca="1" si="427"/>
        <v>16.463509966299036</v>
      </c>
      <c r="BG820" s="43">
        <f t="shared" ca="1" si="427"/>
        <v>21.375813786842819</v>
      </c>
      <c r="BH820" s="43">
        <f t="shared" ca="1" si="427"/>
        <v>15.794798560858233</v>
      </c>
      <c r="BI820" s="43">
        <f t="shared" ca="1" si="427"/>
        <v>16.104352218890263</v>
      </c>
      <c r="BJ820" s="43">
        <f t="shared" ca="1" si="427"/>
        <v>19.688502876479468</v>
      </c>
      <c r="BK820" s="43">
        <f t="shared" ca="1" si="427"/>
        <v>14.463908608094009</v>
      </c>
      <c r="BL820" s="43">
        <f t="shared" ca="1" si="427"/>
        <v>13.01915294948774</v>
      </c>
      <c r="BM820" s="43">
        <f t="shared" ca="1" si="427"/>
        <v>13.533977297507455</v>
      </c>
      <c r="BN820" s="43">
        <f t="shared" ca="1" si="427"/>
        <v>10.142678273075866</v>
      </c>
      <c r="BO820" s="43">
        <f t="shared" ca="1" si="427"/>
        <v>8.8086494640024497</v>
      </c>
      <c r="BP820" s="43">
        <f t="shared" ca="1" si="427"/>
        <v>9.5546054399736846</v>
      </c>
      <c r="BQ820" s="43">
        <f t="shared" ca="1" si="427"/>
        <v>5.8428384489909178</v>
      </c>
    </row>
    <row r="821" spans="1:100" ht="18.600000000000001" thickBot="1" x14ac:dyDescent="0.4">
      <c r="L821" s="1"/>
      <c r="N821" s="841"/>
      <c r="O821" s="895"/>
      <c r="P821" s="185" t="s">
        <v>535</v>
      </c>
      <c r="Q821" s="185"/>
      <c r="R821" s="197" t="e">
        <f t="shared" ref="R821:AO821" ca="1" si="428">((0.3*(A$641)*(R819+$AR$784)*(101325/(286.9*(273.15+R804)))*2501)/3600)*O$364</f>
        <v>#DIV/0!</v>
      </c>
      <c r="S821" s="197" t="e">
        <f t="shared" ca="1" si="428"/>
        <v>#DIV/0!</v>
      </c>
      <c r="T821" s="197" t="e">
        <f t="shared" ca="1" si="428"/>
        <v>#DIV/0!</v>
      </c>
      <c r="U821" s="197" t="e">
        <f t="shared" ca="1" si="428"/>
        <v>#DIV/0!</v>
      </c>
      <c r="V821" s="197" t="e">
        <f t="shared" ca="1" si="428"/>
        <v>#DIV/0!</v>
      </c>
      <c r="W821" s="197" t="e">
        <f t="shared" ca="1" si="428"/>
        <v>#DIV/0!</v>
      </c>
      <c r="X821" s="197" t="e">
        <f t="shared" ca="1" si="428"/>
        <v>#DIV/0!</v>
      </c>
      <c r="Y821" s="197" t="e">
        <f t="shared" ca="1" si="428"/>
        <v>#DIV/0!</v>
      </c>
      <c r="Z821" s="197" t="e">
        <f t="shared" ca="1" si="428"/>
        <v>#DIV/0!</v>
      </c>
      <c r="AA821" s="197" t="e">
        <f t="shared" ca="1" si="428"/>
        <v>#DIV/0!</v>
      </c>
      <c r="AB821" s="197" t="e">
        <f t="shared" ca="1" si="428"/>
        <v>#DIV/0!</v>
      </c>
      <c r="AC821" s="197" t="e">
        <f t="shared" ca="1" si="428"/>
        <v>#DIV/0!</v>
      </c>
      <c r="AD821" s="197">
        <f t="shared" ca="1" si="428"/>
        <v>0</v>
      </c>
      <c r="AE821" s="197" t="e">
        <f t="shared" ca="1" si="428"/>
        <v>#DIV/0!</v>
      </c>
      <c r="AF821" s="197" t="e">
        <f t="shared" ca="1" si="428"/>
        <v>#DIV/0!</v>
      </c>
      <c r="AG821" s="197" t="e">
        <f t="shared" ca="1" si="428"/>
        <v>#DIV/0!</v>
      </c>
      <c r="AH821" s="197" t="e">
        <f t="shared" ca="1" si="428"/>
        <v>#DIV/0!</v>
      </c>
      <c r="AI821" s="197" t="e">
        <f t="shared" ca="1" si="428"/>
        <v>#DIV/0!</v>
      </c>
      <c r="AJ821" s="197" t="e">
        <f t="shared" ca="1" si="428"/>
        <v>#DIV/0!</v>
      </c>
      <c r="AK821" s="197" t="e">
        <f t="shared" ca="1" si="428"/>
        <v>#DIV/0!</v>
      </c>
      <c r="AL821" s="197" t="e">
        <f t="shared" ca="1" si="428"/>
        <v>#DIV/0!</v>
      </c>
      <c r="AM821" s="270" t="e">
        <f t="shared" ca="1" si="428"/>
        <v>#DIV/0!</v>
      </c>
      <c r="AN821" s="209" t="e">
        <f t="shared" ca="1" si="428"/>
        <v>#DIV/0!</v>
      </c>
      <c r="AO821" s="287" t="e">
        <f t="shared" ca="1" si="428"/>
        <v>#DIV/0!</v>
      </c>
      <c r="AP821" s="189">
        <f>IF($K$198=0,0,SUM(R821:AO821))</f>
        <v>0</v>
      </c>
      <c r="AT821" s="43">
        <f t="shared" ref="AT821:BQ821" ca="1" si="429">IF(AT820*O364&lt;0,0,AT820*O364)</f>
        <v>0</v>
      </c>
      <c r="AU821" s="43">
        <f t="shared" ca="1" si="429"/>
        <v>0</v>
      </c>
      <c r="AV821" s="43">
        <f t="shared" ca="1" si="429"/>
        <v>0</v>
      </c>
      <c r="AW821" s="43">
        <f t="shared" ca="1" si="429"/>
        <v>0</v>
      </c>
      <c r="AX821" s="43">
        <f t="shared" ca="1" si="429"/>
        <v>0</v>
      </c>
      <c r="AY821" s="43">
        <f t="shared" ca="1" si="429"/>
        <v>0</v>
      </c>
      <c r="AZ821" s="43">
        <f t="shared" ca="1" si="429"/>
        <v>0</v>
      </c>
      <c r="BA821" s="43">
        <f t="shared" ca="1" si="429"/>
        <v>0</v>
      </c>
      <c r="BB821" s="43">
        <f t="shared" ca="1" si="429"/>
        <v>0</v>
      </c>
      <c r="BC821" s="43">
        <f t="shared" ca="1" si="429"/>
        <v>0</v>
      </c>
      <c r="BD821" s="43">
        <f t="shared" ca="1" si="429"/>
        <v>0</v>
      </c>
      <c r="BE821" s="43">
        <f t="shared" ca="1" si="429"/>
        <v>0</v>
      </c>
      <c r="BF821" s="43">
        <f t="shared" ca="1" si="429"/>
        <v>0</v>
      </c>
      <c r="BG821" s="43">
        <f t="shared" ca="1" si="429"/>
        <v>0</v>
      </c>
      <c r="BH821" s="43">
        <f t="shared" ca="1" si="429"/>
        <v>0</v>
      </c>
      <c r="BI821" s="43">
        <f t="shared" ca="1" si="429"/>
        <v>0</v>
      </c>
      <c r="BJ821" s="43">
        <f t="shared" ca="1" si="429"/>
        <v>0</v>
      </c>
      <c r="BK821" s="43">
        <f t="shared" ca="1" si="429"/>
        <v>0</v>
      </c>
      <c r="BL821" s="43">
        <f t="shared" ca="1" si="429"/>
        <v>0</v>
      </c>
      <c r="BM821" s="43">
        <f t="shared" ca="1" si="429"/>
        <v>0</v>
      </c>
      <c r="BN821" s="43">
        <f t="shared" ca="1" si="429"/>
        <v>0</v>
      </c>
      <c r="BO821" s="43">
        <f t="shared" ca="1" si="429"/>
        <v>0</v>
      </c>
      <c r="BP821" s="43">
        <f t="shared" ca="1" si="429"/>
        <v>0</v>
      </c>
      <c r="BQ821" s="43">
        <f t="shared" ca="1" si="429"/>
        <v>0</v>
      </c>
    </row>
    <row r="822" spans="1:100" ht="18" x14ac:dyDescent="0.35">
      <c r="N822" s="818" t="s">
        <v>172</v>
      </c>
      <c r="O822" s="821">
        <v>8</v>
      </c>
      <c r="P822" s="180" t="s">
        <v>522</v>
      </c>
      <c r="Q822" s="181" t="s">
        <v>946</v>
      </c>
      <c r="R822" s="182">
        <f ca="1">'Климатични зони'!D14</f>
        <v>19.100000000000001</v>
      </c>
      <c r="S822" s="182">
        <f ca="1">'Климатични зони'!E14</f>
        <v>18.8</v>
      </c>
      <c r="T822" s="182">
        <f ca="1">'Климатични зони'!F14</f>
        <v>18.5</v>
      </c>
      <c r="U822" s="182">
        <f ca="1">'Климатични зони'!G14</f>
        <v>18.3</v>
      </c>
      <c r="V822" s="182">
        <f ca="1">'Климатични зони'!H14</f>
        <v>18</v>
      </c>
      <c r="W822" s="182">
        <f ca="1">'Климатични зони'!I14</f>
        <v>18.7</v>
      </c>
      <c r="X822" s="182">
        <f ca="1">'Климатични зони'!J14</f>
        <v>19.5</v>
      </c>
      <c r="Y822" s="182">
        <f ca="1">'Климатични зони'!K14</f>
        <v>20</v>
      </c>
      <c r="Z822" s="182">
        <f ca="1">'Климатични зони'!L14</f>
        <v>21.5</v>
      </c>
      <c r="AA822" s="182">
        <f ca="1">'Климатични зони'!M14</f>
        <v>22.9</v>
      </c>
      <c r="AB822" s="182">
        <f ca="1">'Климатични зони'!N14</f>
        <v>24.3</v>
      </c>
      <c r="AC822" s="182">
        <f ca="1">'Климатични зони'!O14</f>
        <v>24.6</v>
      </c>
      <c r="AD822" s="182">
        <f ca="1">'Климатични зони'!P14</f>
        <v>24.9</v>
      </c>
      <c r="AE822" s="182">
        <f ca="1">'Климатични зони'!Q14</f>
        <v>25.3</v>
      </c>
      <c r="AF822" s="182">
        <f ca="1">'Климатични зони'!R14</f>
        <v>25.1</v>
      </c>
      <c r="AG822" s="182">
        <f ca="1">'Климатични зони'!S14</f>
        <v>24.8</v>
      </c>
      <c r="AH822" s="182">
        <f ca="1">'Климатични зони'!T14</f>
        <v>24.5</v>
      </c>
      <c r="AI822" s="182">
        <f ca="1">'Климатични зони'!U14</f>
        <v>23.5</v>
      </c>
      <c r="AJ822" s="182">
        <f ca="1">'Климатични зони'!V14</f>
        <v>22.5</v>
      </c>
      <c r="AK822" s="182">
        <f ca="1">'Климатични зони'!W14</f>
        <v>21.5</v>
      </c>
      <c r="AL822" s="182">
        <f ca="1">'Климатични зони'!X14</f>
        <v>20.9</v>
      </c>
      <c r="AM822" s="262">
        <f ca="1">'Климатични зони'!Y14</f>
        <v>20.3</v>
      </c>
      <c r="AN822" s="207">
        <f ca="1">'Климатични зони'!Z14</f>
        <v>19.8</v>
      </c>
      <c r="AO822" s="275">
        <f ca="1">'Климатични зони'!AA14</f>
        <v>19.5</v>
      </c>
      <c r="AP822" s="189"/>
      <c r="AS822" s="1"/>
      <c r="AT822" s="929">
        <f ca="1">SUM(AT821:BQ821)</f>
        <v>0</v>
      </c>
      <c r="AU822" s="929"/>
      <c r="AV822" s="929"/>
      <c r="AW822" s="929"/>
      <c r="AX822" s="929"/>
      <c r="AY822" s="929"/>
      <c r="AZ822" s="929"/>
      <c r="BA822" s="929"/>
      <c r="BB822" s="929"/>
      <c r="BC822" s="929"/>
      <c r="BD822" s="929"/>
      <c r="BE822" s="929"/>
      <c r="BF822" s="929"/>
      <c r="BG822" s="929"/>
      <c r="BH822" s="929"/>
      <c r="BI822" s="929"/>
      <c r="BJ822" s="929"/>
      <c r="BK822" s="929"/>
      <c r="BL822" s="929"/>
      <c r="BM822" s="929"/>
      <c r="BN822" s="929"/>
      <c r="BO822" s="929"/>
      <c r="BP822" s="929"/>
      <c r="BQ822" s="929"/>
    </row>
    <row r="823" spans="1:100" ht="18" x14ac:dyDescent="0.35">
      <c r="N823" s="819"/>
      <c r="O823" s="822"/>
      <c r="P823" s="183" t="s">
        <v>531</v>
      </c>
      <c r="Q823" s="184" t="s">
        <v>1</v>
      </c>
      <c r="R823" s="173">
        <f ca="1">'Климатични зони'!D15</f>
        <v>87</v>
      </c>
      <c r="S823" s="173">
        <f ca="1">'Климатични зони'!E15</f>
        <v>87</v>
      </c>
      <c r="T823" s="173">
        <f ca="1">'Климатични зони'!F15</f>
        <v>89</v>
      </c>
      <c r="U823" s="173">
        <f ca="1">'Климатични зони'!G15</f>
        <v>89</v>
      </c>
      <c r="V823" s="173">
        <f ca="1">'Климатични зони'!H15</f>
        <v>90</v>
      </c>
      <c r="W823" s="173">
        <f ca="1">'Климатични зони'!I15</f>
        <v>89</v>
      </c>
      <c r="X823" s="173">
        <f ca="1">'Климатични зони'!J15</f>
        <v>87</v>
      </c>
      <c r="Y823" s="173">
        <f ca="1">'Климатични зони'!K15</f>
        <v>85</v>
      </c>
      <c r="Z823" s="173">
        <f ca="1">'Климатични зони'!L15</f>
        <v>81</v>
      </c>
      <c r="AA823" s="173">
        <f ca="1">'Климатични зони'!M15</f>
        <v>77</v>
      </c>
      <c r="AB823" s="173">
        <f ca="1">'Климатични зони'!N15</f>
        <v>73</v>
      </c>
      <c r="AC823" s="173">
        <f ca="1">'Климатични зони'!O15</f>
        <v>72</v>
      </c>
      <c r="AD823" s="173">
        <f ca="1">'Климатични зони'!P15</f>
        <v>71</v>
      </c>
      <c r="AE823" s="173">
        <f ca="1">'Климатични зони'!Q15</f>
        <v>68</v>
      </c>
      <c r="AF823" s="173">
        <f ca="1">'Климатични зони'!R15</f>
        <v>70</v>
      </c>
      <c r="AG823" s="173">
        <f ca="1">'Климатични зони'!S15</f>
        <v>71</v>
      </c>
      <c r="AH823" s="173">
        <f ca="1">'Климатични зони'!T15</f>
        <v>72</v>
      </c>
      <c r="AI823" s="173">
        <f ca="1">'Климатични зони'!U15</f>
        <v>75</v>
      </c>
      <c r="AJ823" s="173">
        <f ca="1">'Климатични зони'!V15</f>
        <v>78</v>
      </c>
      <c r="AK823" s="173">
        <f ca="1">'Климатични зони'!W15</f>
        <v>81</v>
      </c>
      <c r="AL823" s="173">
        <f ca="1">'Климатични зони'!X15</f>
        <v>83</v>
      </c>
      <c r="AM823" s="259">
        <f ca="1">'Климатични зони'!Y15</f>
        <v>85</v>
      </c>
      <c r="AN823" s="207">
        <f ca="1">'Климатични зони'!Z15</f>
        <v>86</v>
      </c>
      <c r="AO823" s="254">
        <f ca="1">'Климатични зони'!AA15</f>
        <v>87</v>
      </c>
      <c r="AP823" s="189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</row>
    <row r="824" spans="1:100" ht="19.8" x14ac:dyDescent="0.4">
      <c r="A824" s="667" t="s">
        <v>551</v>
      </c>
      <c r="B824" s="589"/>
      <c r="C824" s="589"/>
      <c r="D824" s="589"/>
      <c r="E824" s="589"/>
      <c r="F824" s="589"/>
      <c r="G824" s="589"/>
      <c r="I824" s="19" t="s">
        <v>549</v>
      </c>
      <c r="J824" s="677">
        <f ca="1">1/1*J371*SUM(O202:AL205,O211:AL213)</f>
        <v>0</v>
      </c>
      <c r="K824" s="678"/>
      <c r="L824" s="25" t="s">
        <v>945</v>
      </c>
      <c r="M824" s="329"/>
      <c r="N824" s="819"/>
      <c r="O824" s="822"/>
      <c r="P824" s="170" t="s">
        <v>523</v>
      </c>
      <c r="Q824" s="172" t="s">
        <v>948</v>
      </c>
      <c r="R824" s="173">
        <f t="shared" ref="R824:AO824" ca="1" si="430">((1/($K$183-R822))*(((-$E$614)*5*COS(2*3.14*(($O822-1)/12))+($F$614*7.5*COS(2*3.14*(($O822-1-1)/12))))))</f>
        <v>-2.9646255995180254E-42</v>
      </c>
      <c r="S824" s="173">
        <f t="shared" ca="1" si="430"/>
        <v>-2.8211759737348946E-42</v>
      </c>
      <c r="T824" s="173">
        <f t="shared" ca="1" si="430"/>
        <v>-2.6909678518702069E-42</v>
      </c>
      <c r="U824" s="173">
        <f t="shared" ca="1" si="430"/>
        <v>-2.6106404533069174E-42</v>
      </c>
      <c r="V824" s="173">
        <f t="shared" ca="1" si="430"/>
        <v>-2.4987558624509063E-42</v>
      </c>
      <c r="W824" s="173">
        <f t="shared" ca="1" si="430"/>
        <v>-2.7763954027232291E-42</v>
      </c>
      <c r="X824" s="173">
        <f t="shared" ca="1" si="430"/>
        <v>-3.1802347340284266E-42</v>
      </c>
      <c r="Y824" s="173">
        <f t="shared" ca="1" si="430"/>
        <v>-3.4982582074312694E-42</v>
      </c>
      <c r="Z824" s="173">
        <f t="shared" ca="1" si="430"/>
        <v>-4.9975117249018126E-42</v>
      </c>
      <c r="AA824" s="173">
        <f t="shared" ca="1" si="430"/>
        <v>-8.3291862081696823E-42</v>
      </c>
      <c r="AB824" s="173">
        <f t="shared" ca="1" si="430"/>
        <v>-2.4987558624509085E-41</v>
      </c>
      <c r="AC824" s="173">
        <f t="shared" ca="1" si="430"/>
        <v>-4.3728227592891016E-41</v>
      </c>
      <c r="AD824" s="173">
        <f t="shared" ca="1" si="430"/>
        <v>-1.7491291037156097E-40</v>
      </c>
      <c r="AE824" s="173">
        <f t="shared" ca="1" si="430"/>
        <v>5.8304303457187682E-41</v>
      </c>
      <c r="AF824" s="173">
        <f t="shared" ca="1" si="430"/>
        <v>1.7491291037156097E-40</v>
      </c>
      <c r="AG824" s="173">
        <f t="shared" ca="1" si="430"/>
        <v>-8.7456455185782032E-41</v>
      </c>
      <c r="AH824" s="173">
        <f t="shared" ca="1" si="430"/>
        <v>-3.4982582074312689E-41</v>
      </c>
      <c r="AI824" s="173">
        <f t="shared" ca="1" si="430"/>
        <v>-1.1660860691437563E-41</v>
      </c>
      <c r="AJ824" s="173">
        <f t="shared" ca="1" si="430"/>
        <v>-6.9965164148625387E-42</v>
      </c>
      <c r="AK824" s="173">
        <f t="shared" ca="1" si="430"/>
        <v>-4.9975117249018126E-42</v>
      </c>
      <c r="AL824" s="173">
        <f t="shared" ca="1" si="430"/>
        <v>-4.2661685456478871E-42</v>
      </c>
      <c r="AM824" s="259">
        <f t="shared" ca="1" si="430"/>
        <v>-3.7215512845013502E-42</v>
      </c>
      <c r="AN824" s="207">
        <f t="shared" ca="1" si="430"/>
        <v>-3.3637098148377591E-42</v>
      </c>
      <c r="AO824" s="276">
        <f t="shared" ca="1" si="430"/>
        <v>-3.1802347340284266E-42</v>
      </c>
      <c r="AP824" s="189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</row>
    <row r="825" spans="1:100" ht="19.8" x14ac:dyDescent="0.4">
      <c r="A825" s="667" t="s">
        <v>552</v>
      </c>
      <c r="B825" s="589"/>
      <c r="C825" s="589"/>
      <c r="D825" s="589"/>
      <c r="E825" s="589"/>
      <c r="F825" s="589"/>
      <c r="G825" s="589"/>
      <c r="I825" s="19" t="s">
        <v>550</v>
      </c>
      <c r="J825" s="677">
        <f>1/1*J372*SUM(O206:AL210)</f>
        <v>0</v>
      </c>
      <c r="K825" s="678"/>
      <c r="L825" s="25" t="s">
        <v>945</v>
      </c>
      <c r="M825" s="329"/>
      <c r="N825" s="819"/>
      <c r="O825" s="822"/>
      <c r="P825" s="174" t="s">
        <v>524</v>
      </c>
      <c r="Q825" s="175" t="s">
        <v>945</v>
      </c>
      <c r="R825" s="176" t="e">
        <f t="shared" ref="R825:AO825" ca="1" si="431">(1/1000)*(($K$455+R824)*($K$183-R822))*O$209</f>
        <v>#DIV/0!</v>
      </c>
      <c r="S825" s="176" t="e">
        <f t="shared" ca="1" si="431"/>
        <v>#DIV/0!</v>
      </c>
      <c r="T825" s="176" t="e">
        <f t="shared" ca="1" si="431"/>
        <v>#DIV/0!</v>
      </c>
      <c r="U825" s="176" t="e">
        <f t="shared" ca="1" si="431"/>
        <v>#DIV/0!</v>
      </c>
      <c r="V825" s="176" t="e">
        <f t="shared" ca="1" si="431"/>
        <v>#DIV/0!</v>
      </c>
      <c r="W825" s="176" t="e">
        <f t="shared" ca="1" si="431"/>
        <v>#DIV/0!</v>
      </c>
      <c r="X825" s="176" t="e">
        <f t="shared" ca="1" si="431"/>
        <v>#DIV/0!</v>
      </c>
      <c r="Y825" s="176" t="e">
        <f t="shared" ca="1" si="431"/>
        <v>#DIV/0!</v>
      </c>
      <c r="Z825" s="176" t="e">
        <f t="shared" ca="1" si="431"/>
        <v>#DIV/0!</v>
      </c>
      <c r="AA825" s="176" t="e">
        <f t="shared" ca="1" si="431"/>
        <v>#DIV/0!</v>
      </c>
      <c r="AB825" s="176" t="e">
        <f t="shared" ca="1" si="431"/>
        <v>#DIV/0!</v>
      </c>
      <c r="AC825" s="176" t="e">
        <f t="shared" ca="1" si="431"/>
        <v>#DIV/0!</v>
      </c>
      <c r="AD825" s="176" t="e">
        <f t="shared" ca="1" si="431"/>
        <v>#DIV/0!</v>
      </c>
      <c r="AE825" s="176" t="e">
        <f t="shared" ca="1" si="431"/>
        <v>#DIV/0!</v>
      </c>
      <c r="AF825" s="176" t="e">
        <f t="shared" ca="1" si="431"/>
        <v>#DIV/0!</v>
      </c>
      <c r="AG825" s="176" t="e">
        <f t="shared" ca="1" si="431"/>
        <v>#DIV/0!</v>
      </c>
      <c r="AH825" s="176" t="e">
        <f t="shared" ca="1" si="431"/>
        <v>#DIV/0!</v>
      </c>
      <c r="AI825" s="176" t="e">
        <f t="shared" ca="1" si="431"/>
        <v>#DIV/0!</v>
      </c>
      <c r="AJ825" s="176" t="e">
        <f t="shared" ca="1" si="431"/>
        <v>#DIV/0!</v>
      </c>
      <c r="AK825" s="176" t="e">
        <f t="shared" ca="1" si="431"/>
        <v>#DIV/0!</v>
      </c>
      <c r="AL825" s="176" t="e">
        <f t="shared" ca="1" si="431"/>
        <v>#DIV/0!</v>
      </c>
      <c r="AM825" s="260" t="e">
        <f t="shared" ca="1" si="431"/>
        <v>#DIV/0!</v>
      </c>
      <c r="AN825" s="208" t="e">
        <f t="shared" ca="1" si="431"/>
        <v>#DIV/0!</v>
      </c>
      <c r="AO825" s="273" t="e">
        <f t="shared" ca="1" si="431"/>
        <v>#DIV/0!</v>
      </c>
      <c r="AP825" s="189" t="e">
        <f ca="1">SUM(R825:AO825)</f>
        <v>#DIV/0!</v>
      </c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</row>
    <row r="826" spans="1:100" ht="19.8" x14ac:dyDescent="0.4">
      <c r="A826" s="667" t="s">
        <v>553</v>
      </c>
      <c r="B826" s="589"/>
      <c r="C826" s="589"/>
      <c r="D826" s="589"/>
      <c r="E826" s="589"/>
      <c r="F826" s="589"/>
      <c r="G826" s="589"/>
      <c r="I826" s="19" t="s">
        <v>555</v>
      </c>
      <c r="J826" s="677">
        <f>1/1*(J373+J374)*SUM(O356:AL359,O367:AL369)*1000</f>
        <v>0</v>
      </c>
      <c r="K826" s="678"/>
      <c r="L826" s="25" t="s">
        <v>945</v>
      </c>
      <c r="M826" s="329"/>
      <c r="N826" s="819"/>
      <c r="O826" s="822"/>
      <c r="P826" s="170" t="s">
        <v>525</v>
      </c>
      <c r="Q826" s="172" t="s">
        <v>950</v>
      </c>
      <c r="R826" s="196">
        <f t="shared" ref="R826:AO826" ca="1" si="432">IF(($K$183-$L$648)/($K$183-R822)=0,1,($K$183-$L$648)/($K$183-R822))</f>
        <v>0.50847457627118653</v>
      </c>
      <c r="S826" s="196">
        <f t="shared" ca="1" si="432"/>
        <v>0.48387096774193555</v>
      </c>
      <c r="T826" s="196">
        <f t="shared" ca="1" si="432"/>
        <v>0.46153846153846156</v>
      </c>
      <c r="U826" s="196">
        <f t="shared" ca="1" si="432"/>
        <v>0.44776119402985082</v>
      </c>
      <c r="V826" s="196">
        <f t="shared" ca="1" si="432"/>
        <v>0.42857142857142855</v>
      </c>
      <c r="W826" s="196">
        <f t="shared" ca="1" si="432"/>
        <v>0.47619047619047616</v>
      </c>
      <c r="X826" s="196">
        <f t="shared" ca="1" si="432"/>
        <v>0.54545454545454541</v>
      </c>
      <c r="Y826" s="196">
        <f t="shared" ca="1" si="432"/>
        <v>0.6</v>
      </c>
      <c r="Z826" s="196">
        <f t="shared" ca="1" si="432"/>
        <v>0.8571428571428571</v>
      </c>
      <c r="AA826" s="196">
        <f t="shared" ca="1" si="432"/>
        <v>1.4285714285714277</v>
      </c>
      <c r="AB826" s="196">
        <f t="shared" ca="1" si="432"/>
        <v>4.28571428571429</v>
      </c>
      <c r="AC826" s="196">
        <f t="shared" ca="1" si="432"/>
        <v>7.5000000000000266</v>
      </c>
      <c r="AD826" s="196">
        <f t="shared" ca="1" si="432"/>
        <v>29.999999999999574</v>
      </c>
      <c r="AE826" s="196">
        <f t="shared" ca="1" si="432"/>
        <v>-9.9999999999999769</v>
      </c>
      <c r="AF826" s="196">
        <f t="shared" ca="1" si="432"/>
        <v>-29.999999999999574</v>
      </c>
      <c r="AG826" s="196">
        <f t="shared" ca="1" si="432"/>
        <v>15.000000000000053</v>
      </c>
      <c r="AH826" s="196">
        <f t="shared" ca="1" si="432"/>
        <v>6</v>
      </c>
      <c r="AI826" s="196">
        <f t="shared" ca="1" si="432"/>
        <v>2</v>
      </c>
      <c r="AJ826" s="196">
        <f t="shared" ca="1" si="432"/>
        <v>1.2</v>
      </c>
      <c r="AK826" s="196">
        <f t="shared" ca="1" si="432"/>
        <v>0.8571428571428571</v>
      </c>
      <c r="AL826" s="196">
        <f t="shared" ca="1" si="432"/>
        <v>0.73170731707317049</v>
      </c>
      <c r="AM826" s="267">
        <f t="shared" ca="1" si="432"/>
        <v>0.63829787234042568</v>
      </c>
      <c r="AN826" s="295">
        <f t="shared" ca="1" si="432"/>
        <v>0.57692307692307698</v>
      </c>
      <c r="AO826" s="284">
        <f t="shared" ca="1" si="432"/>
        <v>0.54545454545454541</v>
      </c>
      <c r="AP826" s="189"/>
    </row>
    <row r="827" spans="1:100" ht="19.8" x14ac:dyDescent="0.4">
      <c r="A827" s="667" t="s">
        <v>554</v>
      </c>
      <c r="B827" s="589"/>
      <c r="C827" s="589"/>
      <c r="D827" s="589"/>
      <c r="E827" s="589"/>
      <c r="F827" s="589"/>
      <c r="G827" s="589"/>
      <c r="I827" s="19" t="s">
        <v>555</v>
      </c>
      <c r="J827" s="677">
        <f>1/1*(J373+J374)*SUM(O360:AL369)*1000</f>
        <v>0</v>
      </c>
      <c r="K827" s="678"/>
      <c r="L827" s="25" t="s">
        <v>945</v>
      </c>
      <c r="M827" s="329"/>
      <c r="N827" s="819"/>
      <c r="O827" s="822"/>
      <c r="P827" s="170" t="s">
        <v>526</v>
      </c>
      <c r="Q827" s="172" t="s">
        <v>948</v>
      </c>
      <c r="R827" s="173">
        <f t="shared" ref="R827:AO827" si="433">0.34*($K$186*(0.8*$F$25-$K$187))</f>
        <v>0</v>
      </c>
      <c r="S827" s="173">
        <f t="shared" si="433"/>
        <v>0</v>
      </c>
      <c r="T827" s="173">
        <f t="shared" si="433"/>
        <v>0</v>
      </c>
      <c r="U827" s="173">
        <f t="shared" si="433"/>
        <v>0</v>
      </c>
      <c r="V827" s="173">
        <f t="shared" si="433"/>
        <v>0</v>
      </c>
      <c r="W827" s="173">
        <f t="shared" si="433"/>
        <v>0</v>
      </c>
      <c r="X827" s="173">
        <f t="shared" si="433"/>
        <v>0</v>
      </c>
      <c r="Y827" s="173">
        <f t="shared" si="433"/>
        <v>0</v>
      </c>
      <c r="Z827" s="173">
        <f t="shared" si="433"/>
        <v>0</v>
      </c>
      <c r="AA827" s="173">
        <f t="shared" si="433"/>
        <v>0</v>
      </c>
      <c r="AB827" s="173">
        <f t="shared" si="433"/>
        <v>0</v>
      </c>
      <c r="AC827" s="173">
        <f t="shared" si="433"/>
        <v>0</v>
      </c>
      <c r="AD827" s="173">
        <f t="shared" si="433"/>
        <v>0</v>
      </c>
      <c r="AE827" s="173">
        <f t="shared" si="433"/>
        <v>0</v>
      </c>
      <c r="AF827" s="173">
        <f t="shared" si="433"/>
        <v>0</v>
      </c>
      <c r="AG827" s="173">
        <f t="shared" si="433"/>
        <v>0</v>
      </c>
      <c r="AH827" s="173">
        <f t="shared" si="433"/>
        <v>0</v>
      </c>
      <c r="AI827" s="173">
        <f t="shared" si="433"/>
        <v>0</v>
      </c>
      <c r="AJ827" s="173">
        <f t="shared" si="433"/>
        <v>0</v>
      </c>
      <c r="AK827" s="173">
        <f t="shared" si="433"/>
        <v>0</v>
      </c>
      <c r="AL827" s="173">
        <f t="shared" si="433"/>
        <v>0</v>
      </c>
      <c r="AM827" s="173">
        <f t="shared" si="433"/>
        <v>0</v>
      </c>
      <c r="AN827" s="173">
        <f t="shared" si="433"/>
        <v>0</v>
      </c>
      <c r="AO827" s="173">
        <f t="shared" si="433"/>
        <v>0</v>
      </c>
      <c r="AP827" s="189"/>
    </row>
    <row r="828" spans="1:100" ht="18" x14ac:dyDescent="0.35">
      <c r="N828" s="819"/>
      <c r="O828" s="822"/>
      <c r="P828" s="174" t="s">
        <v>527</v>
      </c>
      <c r="Q828" s="175" t="s">
        <v>945</v>
      </c>
      <c r="R828" s="186">
        <f t="shared" ref="R828:AO828" ca="1" si="434">(1/1000)*(R827*($K$183-R822))*O$209</f>
        <v>0</v>
      </c>
      <c r="S828" s="186">
        <f t="shared" ca="1" si="434"/>
        <v>0</v>
      </c>
      <c r="T828" s="186">
        <f t="shared" ca="1" si="434"/>
        <v>0</v>
      </c>
      <c r="U828" s="186">
        <f t="shared" ca="1" si="434"/>
        <v>0</v>
      </c>
      <c r="V828" s="186">
        <f t="shared" ca="1" si="434"/>
        <v>0</v>
      </c>
      <c r="W828" s="186">
        <f t="shared" ca="1" si="434"/>
        <v>0</v>
      </c>
      <c r="X828" s="186">
        <f t="shared" ca="1" si="434"/>
        <v>0</v>
      </c>
      <c r="Y828" s="186">
        <f t="shared" ca="1" si="434"/>
        <v>0</v>
      </c>
      <c r="Z828" s="186">
        <f t="shared" ca="1" si="434"/>
        <v>0</v>
      </c>
      <c r="AA828" s="186">
        <f t="shared" ca="1" si="434"/>
        <v>0</v>
      </c>
      <c r="AB828" s="186">
        <f t="shared" ca="1" si="434"/>
        <v>0</v>
      </c>
      <c r="AC828" s="186">
        <f t="shared" ca="1" si="434"/>
        <v>0</v>
      </c>
      <c r="AD828" s="186">
        <f t="shared" ca="1" si="434"/>
        <v>0</v>
      </c>
      <c r="AE828" s="186">
        <f t="shared" ca="1" si="434"/>
        <v>0</v>
      </c>
      <c r="AF828" s="186">
        <f t="shared" ca="1" si="434"/>
        <v>0</v>
      </c>
      <c r="AG828" s="186">
        <f t="shared" ca="1" si="434"/>
        <v>0</v>
      </c>
      <c r="AH828" s="186">
        <f t="shared" ca="1" si="434"/>
        <v>0</v>
      </c>
      <c r="AI828" s="186">
        <f t="shared" ca="1" si="434"/>
        <v>0</v>
      </c>
      <c r="AJ828" s="186">
        <f t="shared" ca="1" si="434"/>
        <v>0</v>
      </c>
      <c r="AK828" s="186">
        <f t="shared" ca="1" si="434"/>
        <v>0</v>
      </c>
      <c r="AL828" s="186">
        <f t="shared" ca="1" si="434"/>
        <v>0</v>
      </c>
      <c r="AM828" s="268">
        <f t="shared" ca="1" si="434"/>
        <v>0</v>
      </c>
      <c r="AN828" s="209">
        <f t="shared" ca="1" si="434"/>
        <v>0</v>
      </c>
      <c r="AO828" s="285">
        <f t="shared" ca="1" si="434"/>
        <v>0</v>
      </c>
      <c r="AP828" s="189">
        <f ca="1">SUM(R828:AO828)</f>
        <v>0</v>
      </c>
      <c r="BV828" s="205"/>
      <c r="BW828" s="43"/>
      <c r="BX828" s="43"/>
      <c r="BY828" s="43"/>
      <c r="BZ828" s="43"/>
      <c r="CA828" s="43"/>
      <c r="CB828" s="43"/>
      <c r="CC828" s="43"/>
      <c r="CD828" s="43"/>
      <c r="CE828" s="43"/>
      <c r="CF828" s="43"/>
      <c r="CG828" s="43"/>
      <c r="CH828" s="43"/>
      <c r="CI828" s="43"/>
      <c r="CJ828" s="43"/>
      <c r="CK828" s="43"/>
      <c r="CL828" s="43"/>
      <c r="CM828" s="43"/>
      <c r="CN828" s="43"/>
      <c r="CO828" s="43"/>
      <c r="CP828" s="43"/>
      <c r="CQ828" s="43"/>
      <c r="CR828" s="43"/>
      <c r="CS828" s="43"/>
      <c r="CT828" s="43"/>
      <c r="CU828" s="43"/>
      <c r="CV828" s="43"/>
    </row>
    <row r="829" spans="1:100" ht="18" x14ac:dyDescent="0.35">
      <c r="A829" s="644" t="s">
        <v>625</v>
      </c>
      <c r="B829" s="674"/>
      <c r="C829" s="674"/>
      <c r="D829" s="674"/>
      <c r="E829" s="674"/>
      <c r="F829" s="674"/>
      <c r="G829" s="674"/>
      <c r="H829" s="674"/>
      <c r="N829" s="819"/>
      <c r="O829" s="822"/>
      <c r="P829" s="177" t="s">
        <v>528</v>
      </c>
      <c r="Q829" s="178" t="s">
        <v>945</v>
      </c>
      <c r="R829" s="187" t="e">
        <f t="shared" ref="R829:AO829" ca="1" si="435">R828+R825</f>
        <v>#DIV/0!</v>
      </c>
      <c r="S829" s="187" t="e">
        <f t="shared" ca="1" si="435"/>
        <v>#DIV/0!</v>
      </c>
      <c r="T829" s="187" t="e">
        <f t="shared" ca="1" si="435"/>
        <v>#DIV/0!</v>
      </c>
      <c r="U829" s="187" t="e">
        <f t="shared" ca="1" si="435"/>
        <v>#DIV/0!</v>
      </c>
      <c r="V829" s="187" t="e">
        <f t="shared" ca="1" si="435"/>
        <v>#DIV/0!</v>
      </c>
      <c r="W829" s="187" t="e">
        <f t="shared" ca="1" si="435"/>
        <v>#DIV/0!</v>
      </c>
      <c r="X829" s="187" t="e">
        <f t="shared" ca="1" si="435"/>
        <v>#DIV/0!</v>
      </c>
      <c r="Y829" s="187" t="e">
        <f t="shared" ca="1" si="435"/>
        <v>#DIV/0!</v>
      </c>
      <c r="Z829" s="187" t="e">
        <f t="shared" ca="1" si="435"/>
        <v>#DIV/0!</v>
      </c>
      <c r="AA829" s="187" t="e">
        <f t="shared" ca="1" si="435"/>
        <v>#DIV/0!</v>
      </c>
      <c r="AB829" s="187" t="e">
        <f t="shared" ca="1" si="435"/>
        <v>#DIV/0!</v>
      </c>
      <c r="AC829" s="187" t="e">
        <f t="shared" ca="1" si="435"/>
        <v>#DIV/0!</v>
      </c>
      <c r="AD829" s="187" t="e">
        <f t="shared" ca="1" si="435"/>
        <v>#DIV/0!</v>
      </c>
      <c r="AE829" s="187" t="e">
        <f t="shared" ca="1" si="435"/>
        <v>#DIV/0!</v>
      </c>
      <c r="AF829" s="187" t="e">
        <f t="shared" ca="1" si="435"/>
        <v>#DIV/0!</v>
      </c>
      <c r="AG829" s="187" t="e">
        <f t="shared" ca="1" si="435"/>
        <v>#DIV/0!</v>
      </c>
      <c r="AH829" s="187" t="e">
        <f t="shared" ca="1" si="435"/>
        <v>#DIV/0!</v>
      </c>
      <c r="AI829" s="187" t="e">
        <f t="shared" ca="1" si="435"/>
        <v>#DIV/0!</v>
      </c>
      <c r="AJ829" s="187" t="e">
        <f t="shared" ca="1" si="435"/>
        <v>#DIV/0!</v>
      </c>
      <c r="AK829" s="187" t="e">
        <f t="shared" ca="1" si="435"/>
        <v>#DIV/0!</v>
      </c>
      <c r="AL829" s="187" t="e">
        <f t="shared" ca="1" si="435"/>
        <v>#DIV/0!</v>
      </c>
      <c r="AM829" s="269" t="e">
        <f t="shared" ca="1" si="435"/>
        <v>#DIV/0!</v>
      </c>
      <c r="AN829" s="297" t="e">
        <f t="shared" ca="1" si="435"/>
        <v>#DIV/0!</v>
      </c>
      <c r="AO829" s="286" t="e">
        <f t="shared" ca="1" si="435"/>
        <v>#DIV/0!</v>
      </c>
      <c r="AP829" s="189" t="e">
        <f ca="1">SUM(R829:AO829)</f>
        <v>#DIV/0!</v>
      </c>
      <c r="BV829" s="205"/>
      <c r="BW829" s="43"/>
      <c r="BX829" s="43"/>
      <c r="BY829" s="43"/>
      <c r="BZ829" s="43"/>
      <c r="CA829" s="43"/>
      <c r="CB829" s="43"/>
      <c r="CC829" s="43"/>
      <c r="CD829" s="43"/>
      <c r="CE829" s="43"/>
      <c r="CF829" s="43"/>
      <c r="CG829" s="43"/>
      <c r="CH829" s="43"/>
      <c r="CI829" s="43"/>
      <c r="CJ829" s="43"/>
      <c r="CK829" s="43"/>
      <c r="CL829" s="43"/>
      <c r="CM829" s="43"/>
      <c r="CN829" s="43"/>
      <c r="CO829" s="43"/>
      <c r="CP829" s="43"/>
      <c r="CQ829" s="43"/>
      <c r="CR829" s="43"/>
      <c r="CS829" s="43"/>
      <c r="CT829" s="43"/>
    </row>
    <row r="830" spans="1:100" ht="18" x14ac:dyDescent="0.35">
      <c r="N830" s="819"/>
      <c r="O830" s="822"/>
      <c r="P830" s="177" t="s">
        <v>529</v>
      </c>
      <c r="Q830" s="178" t="s">
        <v>945</v>
      </c>
      <c r="R830" s="187">
        <f t="shared" ref="R830:AC830" si="436">IF($O$617=1,(1/1000)*(0.34*A$641)*($K$183-R822)*O$365*R826,0)</f>
        <v>0</v>
      </c>
      <c r="S830" s="187">
        <f t="shared" si="436"/>
        <v>0</v>
      </c>
      <c r="T830" s="187">
        <f t="shared" si="436"/>
        <v>0</v>
      </c>
      <c r="U830" s="187">
        <f t="shared" si="436"/>
        <v>0</v>
      </c>
      <c r="V830" s="187">
        <f t="shared" si="436"/>
        <v>0</v>
      </c>
      <c r="W830" s="187">
        <f t="shared" si="436"/>
        <v>0</v>
      </c>
      <c r="X830" s="187">
        <f t="shared" si="436"/>
        <v>0</v>
      </c>
      <c r="Y830" s="187">
        <f t="shared" si="436"/>
        <v>0</v>
      </c>
      <c r="Z830" s="187">
        <f t="shared" si="436"/>
        <v>0</v>
      </c>
      <c r="AA830" s="187">
        <f t="shared" si="436"/>
        <v>0</v>
      </c>
      <c r="AB830" s="187">
        <f t="shared" si="436"/>
        <v>0</v>
      </c>
      <c r="AC830" s="187">
        <f t="shared" si="436"/>
        <v>0</v>
      </c>
      <c r="AD830" s="187">
        <f t="shared" ref="AD830:AO830" si="437">IF($O$617=1,(1/1000)*(0.34*N$641)*($K$183-AD822)*AA$365*AD826,0)</f>
        <v>0</v>
      </c>
      <c r="AE830" s="187">
        <f t="shared" si="437"/>
        <v>0</v>
      </c>
      <c r="AF830" s="187">
        <f t="shared" si="437"/>
        <v>0</v>
      </c>
      <c r="AG830" s="187">
        <f t="shared" si="437"/>
        <v>0</v>
      </c>
      <c r="AH830" s="187">
        <f t="shared" si="437"/>
        <v>0</v>
      </c>
      <c r="AI830" s="187">
        <f t="shared" si="437"/>
        <v>0</v>
      </c>
      <c r="AJ830" s="187">
        <f t="shared" si="437"/>
        <v>0</v>
      </c>
      <c r="AK830" s="187">
        <f t="shared" si="437"/>
        <v>0</v>
      </c>
      <c r="AL830" s="187">
        <f t="shared" si="437"/>
        <v>0</v>
      </c>
      <c r="AM830" s="269">
        <f t="shared" si="437"/>
        <v>0</v>
      </c>
      <c r="AN830" s="297">
        <f t="shared" si="437"/>
        <v>0</v>
      </c>
      <c r="AO830" s="286">
        <f t="shared" si="437"/>
        <v>0</v>
      </c>
      <c r="AP830" s="189">
        <f>SUM(R830:AO830)</f>
        <v>0</v>
      </c>
      <c r="BV830" s="205"/>
      <c r="BW830" s="43"/>
      <c r="BX830" s="43"/>
      <c r="BY830" s="43"/>
      <c r="BZ830" s="43"/>
      <c r="CA830" s="43"/>
      <c r="CB830" s="43"/>
      <c r="CC830" s="43"/>
      <c r="CD830" s="43"/>
      <c r="CE830" s="43"/>
      <c r="CF830" s="43"/>
      <c r="CG830" s="43"/>
      <c r="CH830" s="43"/>
      <c r="CI830" s="43"/>
      <c r="CJ830" s="43"/>
      <c r="CK830" s="43"/>
      <c r="CL830" s="43"/>
      <c r="CM830" s="43"/>
      <c r="CN830" s="43"/>
      <c r="CO830" s="43"/>
      <c r="CP830" s="43"/>
      <c r="CQ830" s="43"/>
      <c r="CR830" s="43"/>
      <c r="CS830" s="43"/>
      <c r="CT830" s="43"/>
    </row>
    <row r="831" spans="1:100" ht="19.8" x14ac:dyDescent="0.4">
      <c r="I831" s="19" t="s">
        <v>556</v>
      </c>
      <c r="J831" s="665" t="e">
        <f ca="1">D751/((G208*G209*G211*G214)/100000000)</f>
        <v>#DIV/0!</v>
      </c>
      <c r="K831" s="666"/>
      <c r="L831" s="25" t="s">
        <v>945</v>
      </c>
      <c r="M831" s="329"/>
      <c r="N831" s="819"/>
      <c r="O831" s="822"/>
      <c r="P831" s="174" t="s">
        <v>530</v>
      </c>
      <c r="Q831" s="175" t="s">
        <v>945</v>
      </c>
      <c r="R831" s="186">
        <f t="shared" ref="R831:AO831" si="438">(1/1000)*($L$697+$L$698)*O$235</f>
        <v>28.768000000000001</v>
      </c>
      <c r="S831" s="186">
        <f t="shared" si="438"/>
        <v>28.768000000000001</v>
      </c>
      <c r="T831" s="186">
        <f t="shared" si="438"/>
        <v>28.768000000000001</v>
      </c>
      <c r="U831" s="186">
        <f t="shared" si="438"/>
        <v>28.768000000000001</v>
      </c>
      <c r="V831" s="186">
        <f t="shared" si="438"/>
        <v>28.768000000000001</v>
      </c>
      <c r="W831" s="186">
        <f t="shared" si="438"/>
        <v>28.768000000000001</v>
      </c>
      <c r="X831" s="186">
        <f t="shared" si="438"/>
        <v>28.768000000000001</v>
      </c>
      <c r="Y831" s="186">
        <f t="shared" si="438"/>
        <v>28.768000000000001</v>
      </c>
      <c r="Z831" s="186">
        <f t="shared" si="438"/>
        <v>28.768000000000001</v>
      </c>
      <c r="AA831" s="186">
        <f t="shared" si="438"/>
        <v>28.768000000000001</v>
      </c>
      <c r="AB831" s="186">
        <f t="shared" si="438"/>
        <v>28.768000000000001</v>
      </c>
      <c r="AC831" s="186">
        <f t="shared" si="438"/>
        <v>28.768000000000001</v>
      </c>
      <c r="AD831" s="186">
        <f t="shared" si="438"/>
        <v>28.768000000000001</v>
      </c>
      <c r="AE831" s="186">
        <f t="shared" si="438"/>
        <v>28.768000000000001</v>
      </c>
      <c r="AF831" s="186">
        <f t="shared" si="438"/>
        <v>28.768000000000001</v>
      </c>
      <c r="AG831" s="186">
        <f t="shared" si="438"/>
        <v>28.768000000000001</v>
      </c>
      <c r="AH831" s="186">
        <f t="shared" si="438"/>
        <v>28.768000000000001</v>
      </c>
      <c r="AI831" s="186">
        <f t="shared" si="438"/>
        <v>28.768000000000001</v>
      </c>
      <c r="AJ831" s="186">
        <f t="shared" si="438"/>
        <v>28.768000000000001</v>
      </c>
      <c r="AK831" s="186">
        <f t="shared" si="438"/>
        <v>28.768000000000001</v>
      </c>
      <c r="AL831" s="186">
        <f t="shared" si="438"/>
        <v>28.768000000000001</v>
      </c>
      <c r="AM831" s="268">
        <f t="shared" si="438"/>
        <v>28.768000000000001</v>
      </c>
      <c r="AN831" s="209">
        <f t="shared" si="438"/>
        <v>28.768000000000001</v>
      </c>
      <c r="AO831" s="285">
        <f t="shared" si="438"/>
        <v>28.768000000000001</v>
      </c>
      <c r="AP831" s="189">
        <f>SUM(R831:AO831)</f>
        <v>690.43200000000047</v>
      </c>
      <c r="BV831" s="205"/>
      <c r="BW831" s="43"/>
      <c r="BX831" s="43"/>
      <c r="BY831" s="43"/>
      <c r="BZ831" s="43"/>
      <c r="CA831" s="43"/>
      <c r="CB831" s="43"/>
      <c r="CC831" s="43"/>
      <c r="CD831" s="43"/>
      <c r="CE831" s="43"/>
      <c r="CF831" s="43"/>
      <c r="CG831" s="43"/>
      <c r="CH831" s="43"/>
      <c r="CI831" s="43"/>
      <c r="CJ831" s="43"/>
      <c r="CK831" s="43"/>
      <c r="CL831" s="43"/>
      <c r="CM831" s="43"/>
      <c r="CN831" s="43"/>
      <c r="CO831" s="43"/>
      <c r="CP831" s="43"/>
      <c r="CQ831" s="43"/>
      <c r="CR831" s="43"/>
      <c r="CS831" s="43"/>
      <c r="CT831" s="43"/>
    </row>
    <row r="832" spans="1:100" ht="18" x14ac:dyDescent="0.35">
      <c r="N832" s="819"/>
      <c r="O832" s="822"/>
      <c r="P832" s="173" t="s">
        <v>532</v>
      </c>
      <c r="Q832" s="173"/>
      <c r="R832" s="196">
        <f ca="1">(2.71828^(77.345+0.0057*(273.15+R822)-7235/(273.15+R822)))/((273.15+R822)^8.2)</f>
        <v>2204.3498695005323</v>
      </c>
      <c r="S832" s="196">
        <f t="shared" ref="S832:AO832" ca="1" si="439">(2.71828^(77.345+0.0057*(273.15+S822)-7235/(273.15+S822)))/((273.15+S822)^8.2)</f>
        <v>2163.4531031744409</v>
      </c>
      <c r="T832" s="196">
        <f t="shared" ca="1" si="439"/>
        <v>2123.2223491734558</v>
      </c>
      <c r="U832" s="196">
        <f t="shared" ca="1" si="439"/>
        <v>2096.7673043927775</v>
      </c>
      <c r="V832" s="196">
        <f t="shared" ca="1" si="439"/>
        <v>2057.6261696743491</v>
      </c>
      <c r="W832" s="196">
        <f t="shared" ca="1" si="439"/>
        <v>2149.9693070476505</v>
      </c>
      <c r="X832" s="196">
        <f t="shared" ca="1" si="439"/>
        <v>2259.931008956255</v>
      </c>
      <c r="Y832" s="196">
        <f t="shared" ca="1" si="439"/>
        <v>2331.1298146179497</v>
      </c>
      <c r="Z832" s="196">
        <f t="shared" ca="1" si="439"/>
        <v>2556.6389761680184</v>
      </c>
      <c r="AA832" s="196">
        <f t="shared" ca="1" si="439"/>
        <v>2784.0898113386893</v>
      </c>
      <c r="AB832" s="196">
        <f t="shared" ca="1" si="439"/>
        <v>3029.0190993745009</v>
      </c>
      <c r="AC832" s="196">
        <f t="shared" ca="1" si="439"/>
        <v>3083.8842112680222</v>
      </c>
      <c r="AD832" s="196">
        <f t="shared" ca="1" si="439"/>
        <v>3139.6143434212286</v>
      </c>
      <c r="AE832" s="196">
        <f t="shared" ca="1" si="439"/>
        <v>3215.2865667555975</v>
      </c>
      <c r="AF832" s="196">
        <f t="shared" ca="1" si="439"/>
        <v>3177.253977162095</v>
      </c>
      <c r="AG832" s="196">
        <f t="shared" ca="1" si="439"/>
        <v>3120.9408154803546</v>
      </c>
      <c r="AH832" s="196">
        <f t="shared" ca="1" si="439"/>
        <v>3065.5002889067091</v>
      </c>
      <c r="AI832" s="196">
        <f t="shared" ca="1" si="439"/>
        <v>2886.8553741691885</v>
      </c>
      <c r="AJ832" s="196">
        <f t="shared" ca="1" si="439"/>
        <v>2717.3678577654064</v>
      </c>
      <c r="AK832" s="196">
        <f t="shared" ca="1" si="439"/>
        <v>2556.6389761680184</v>
      </c>
      <c r="AL832" s="196">
        <f t="shared" ca="1" si="439"/>
        <v>2464.2451037428377</v>
      </c>
      <c r="AM832" s="267">
        <f t="shared" ca="1" si="439"/>
        <v>2374.784721471377</v>
      </c>
      <c r="AN832" s="295">
        <f t="shared" ca="1" si="439"/>
        <v>2302.4181707410376</v>
      </c>
      <c r="AO832" s="284">
        <f t="shared" ca="1" si="439"/>
        <v>2259.931008956255</v>
      </c>
      <c r="AP832" s="189"/>
      <c r="BV832" s="205"/>
      <c r="BW832" s="43"/>
      <c r="BX832" s="43"/>
      <c r="BY832" s="43"/>
      <c r="BZ832" s="43"/>
      <c r="CA832" s="43"/>
      <c r="CB832" s="43"/>
      <c r="CC832" s="43"/>
      <c r="CD832" s="43"/>
      <c r="CE832" s="43"/>
      <c r="CF832" s="43"/>
      <c r="CG832" s="43"/>
      <c r="CH832" s="43"/>
      <c r="CI832" s="43"/>
      <c r="CJ832" s="43"/>
      <c r="CK832" s="43"/>
      <c r="CL832" s="43"/>
      <c r="CM832" s="43"/>
      <c r="CN832" s="43"/>
      <c r="CO832" s="43"/>
      <c r="CP832" s="43"/>
      <c r="CQ832" s="43"/>
      <c r="CR832" s="43"/>
      <c r="CS832" s="43"/>
      <c r="CT832" s="43"/>
    </row>
    <row r="833" spans="1:98" ht="18.600000000000001" x14ac:dyDescent="0.4">
      <c r="A833" s="644" t="s">
        <v>626</v>
      </c>
      <c r="B833" s="674"/>
      <c r="C833" s="674"/>
      <c r="D833" s="674"/>
      <c r="E833" s="674"/>
      <c r="F833" s="674"/>
      <c r="G833" s="674"/>
      <c r="H833" s="674"/>
      <c r="N833" s="819"/>
      <c r="O833" s="822"/>
      <c r="P833" s="173" t="s">
        <v>533</v>
      </c>
      <c r="Q833" s="173"/>
      <c r="R833" s="196">
        <f ca="1">0.62198*(R823*R832/100)/(101325-(R823*R832/100))</f>
        <v>1.1999365693242319E-2</v>
      </c>
      <c r="S833" s="196">
        <f t="shared" ref="S833:AO833" ca="1" si="440">0.62198*(S823*S832/100)/(101325-(S823*S832/100))</f>
        <v>1.1772530717252993E-2</v>
      </c>
      <c r="T833" s="196">
        <f t="shared" ca="1" si="440"/>
        <v>1.1820100660059649E-2</v>
      </c>
      <c r="U833" s="196">
        <f t="shared" ca="1" si="440"/>
        <v>1.1670060589477036E-2</v>
      </c>
      <c r="V833" s="196">
        <f t="shared" ca="1" si="440"/>
        <v>1.1579227655327342E-2</v>
      </c>
      <c r="W833" s="196">
        <f t="shared" ca="1" si="440"/>
        <v>1.1971868571639099E-2</v>
      </c>
      <c r="X833" s="196">
        <f t="shared" ca="1" si="440"/>
        <v>1.2307908354762698E-2</v>
      </c>
      <c r="Y833" s="196">
        <f t="shared" ca="1" si="440"/>
        <v>1.2405725707274929E-2</v>
      </c>
      <c r="Z833" s="196">
        <f t="shared" ca="1" si="440"/>
        <v>1.2977238626425788E-2</v>
      </c>
      <c r="AA833" s="196">
        <f t="shared" ca="1" si="440"/>
        <v>1.344376167769472E-2</v>
      </c>
      <c r="AB833" s="196">
        <f t="shared" ca="1" si="440"/>
        <v>1.3876089563395097E-2</v>
      </c>
      <c r="AC833" s="196">
        <f t="shared" ca="1" si="440"/>
        <v>1.3935198268389714E-2</v>
      </c>
      <c r="AD833" s="196">
        <f t="shared" ca="1" si="440"/>
        <v>1.3991217297200476E-2</v>
      </c>
      <c r="AE833" s="196">
        <f t="shared" ca="1" si="440"/>
        <v>1.3717097154345005E-2</v>
      </c>
      <c r="AF833" s="196">
        <f t="shared" ca="1" si="440"/>
        <v>1.395881964736694E-2</v>
      </c>
      <c r="AG833" s="196">
        <f t="shared" ca="1" si="440"/>
        <v>1.3906141013127841E-2</v>
      </c>
      <c r="AH833" s="196">
        <f t="shared" ca="1" si="440"/>
        <v>1.3850276691470029E-2</v>
      </c>
      <c r="AI833" s="196">
        <f t="shared" ca="1" si="440"/>
        <v>1.3580845616427063E-2</v>
      </c>
      <c r="AJ833" s="196">
        <f t="shared" ca="1" si="440"/>
        <v>1.3288743291078367E-2</v>
      </c>
      <c r="AK833" s="196">
        <f t="shared" ca="1" si="440"/>
        <v>1.2977238626425788E-2</v>
      </c>
      <c r="AL833" s="196">
        <f t="shared" ca="1" si="440"/>
        <v>1.281380353783523E-2</v>
      </c>
      <c r="AM833" s="267">
        <f t="shared" ca="1" si="440"/>
        <v>1.2642769185649607E-2</v>
      </c>
      <c r="AN833" s="295">
        <f t="shared" ca="1" si="440"/>
        <v>1.2396908887482065E-2</v>
      </c>
      <c r="AO833" s="284">
        <f t="shared" ca="1" si="440"/>
        <v>1.2307908354762698E-2</v>
      </c>
      <c r="AP833" s="189"/>
      <c r="AS833" s="206" t="s">
        <v>594</v>
      </c>
      <c r="AT833" s="43">
        <f ca="1">1.006*(R822)+R833*(1.84*(R822)+2501)</f>
        <v>49.646719306722353</v>
      </c>
      <c r="AU833" s="43">
        <f t="shared" ref="AU833:BQ833" ca="1" si="441">1.006*(S822)+S833*(1.84*(S822)+2501)</f>
        <v>48.763134706420956</v>
      </c>
      <c r="AV833" s="43">
        <f t="shared" ca="1" si="441"/>
        <v>48.575427977277613</v>
      </c>
      <c r="AW833" s="43">
        <f t="shared" ca="1" si="441"/>
        <v>47.989575814450937</v>
      </c>
      <c r="AX833" s="43">
        <f t="shared" ca="1" si="441"/>
        <v>47.451152385918121</v>
      </c>
      <c r="AY833" s="43">
        <f t="shared" ca="1" si="441"/>
        <v>49.165771351482348</v>
      </c>
      <c r="AZ833" s="43">
        <f t="shared" ca="1" si="441"/>
        <v>50.840686547030394</v>
      </c>
      <c r="BA833" s="43">
        <f t="shared" ca="1" si="441"/>
        <v>51.603250699922313</v>
      </c>
      <c r="BB833" s="43">
        <f t="shared" ca="1" si="441"/>
        <v>54.598453364752302</v>
      </c>
      <c r="BC833" s="43">
        <f t="shared" ca="1" si="441"/>
        <v>57.226714297965835</v>
      </c>
      <c r="BD833" s="43">
        <f t="shared" ca="1" si="441"/>
        <v>59.770327714609664</v>
      </c>
      <c r="BE833" s="43">
        <f t="shared" ca="1" si="441"/>
        <v>60.230293683663078</v>
      </c>
      <c r="BF833" s="43">
        <f t="shared" ca="1" si="441"/>
        <v>60.682456071986927</v>
      </c>
      <c r="BG833" s="43">
        <f t="shared" ca="1" si="441"/>
        <v>60.396818289745923</v>
      </c>
      <c r="BH833" s="43">
        <f t="shared" ca="1" si="441"/>
        <v>60.806282064658717</v>
      </c>
      <c r="BI833" s="43">
        <f t="shared" ca="1" si="441"/>
        <v>60.362623700543779</v>
      </c>
      <c r="BJ833" s="43">
        <f t="shared" ca="1" si="441"/>
        <v>59.910912478618009</v>
      </c>
      <c r="BK833" s="43">
        <f t="shared" ca="1" si="441"/>
        <v>58.193930651138388</v>
      </c>
      <c r="BL833" s="43">
        <f t="shared" ca="1" si="441"/>
        <v>56.420300943237649</v>
      </c>
      <c r="BM833" s="43">
        <f t="shared" ca="1" si="441"/>
        <v>54.598453364752302</v>
      </c>
      <c r="BN833" s="43">
        <f t="shared" ca="1" si="441"/>
        <v>53.565490276976902</v>
      </c>
      <c r="BO833" s="43">
        <f t="shared" ca="1" si="441"/>
        <v>52.513598447932054</v>
      </c>
      <c r="BP833" s="43">
        <f t="shared" ca="1" si="441"/>
        <v>51.375113312181391</v>
      </c>
      <c r="BQ833" s="43">
        <f t="shared" ca="1" si="441"/>
        <v>50.840686547030394</v>
      </c>
      <c r="BV833" s="205"/>
      <c r="BW833" s="43"/>
      <c r="BX833" s="43"/>
      <c r="BY833" s="43"/>
      <c r="BZ833" s="43"/>
      <c r="CA833" s="43"/>
      <c r="CB833" s="43"/>
      <c r="CC833" s="43"/>
      <c r="CD833" s="43"/>
      <c r="CE833" s="43"/>
      <c r="CF833" s="43"/>
      <c r="CG833" s="43"/>
      <c r="CH833" s="43"/>
      <c r="CI833" s="43"/>
      <c r="CJ833" s="43"/>
      <c r="CK833" s="43"/>
      <c r="CL833" s="43"/>
      <c r="CM833" s="43"/>
      <c r="CN833" s="43"/>
      <c r="CO833" s="43"/>
      <c r="CP833" s="43"/>
      <c r="CQ833" s="43"/>
      <c r="CR833" s="43"/>
      <c r="CS833" s="43"/>
      <c r="CT833" s="43"/>
    </row>
    <row r="834" spans="1:98" ht="18" x14ac:dyDescent="0.35">
      <c r="A834"/>
      <c r="N834" s="819"/>
      <c r="O834" s="822"/>
      <c r="P834" s="176" t="s">
        <v>534</v>
      </c>
      <c r="Q834" s="176"/>
      <c r="R834" s="186">
        <f t="shared" ref="R834:AO834" ca="1" si="442">((0.3*(0.8*$F$25-$K$187)*(R833+$AR$784)*(101325/(286.9*(273.15+R822)))*2501)/3600)*O$209</f>
        <v>0</v>
      </c>
      <c r="S834" s="186">
        <f t="shared" ca="1" si="442"/>
        <v>0</v>
      </c>
      <c r="T834" s="186">
        <f t="shared" ca="1" si="442"/>
        <v>0</v>
      </c>
      <c r="U834" s="186">
        <f t="shared" ca="1" si="442"/>
        <v>0</v>
      </c>
      <c r="V834" s="186">
        <f t="shared" ca="1" si="442"/>
        <v>0</v>
      </c>
      <c r="W834" s="186">
        <f t="shared" ca="1" si="442"/>
        <v>0</v>
      </c>
      <c r="X834" s="186">
        <f t="shared" ca="1" si="442"/>
        <v>0</v>
      </c>
      <c r="Y834" s="186">
        <f t="shared" ca="1" si="442"/>
        <v>0</v>
      </c>
      <c r="Z834" s="186">
        <f t="shared" ca="1" si="442"/>
        <v>0</v>
      </c>
      <c r="AA834" s="186">
        <f t="shared" ca="1" si="442"/>
        <v>0</v>
      </c>
      <c r="AB834" s="186">
        <f t="shared" ca="1" si="442"/>
        <v>0</v>
      </c>
      <c r="AC834" s="186">
        <f t="shared" ca="1" si="442"/>
        <v>0</v>
      </c>
      <c r="AD834" s="186">
        <f t="shared" ca="1" si="442"/>
        <v>0</v>
      </c>
      <c r="AE834" s="186">
        <f t="shared" ca="1" si="442"/>
        <v>0</v>
      </c>
      <c r="AF834" s="186">
        <f t="shared" ca="1" si="442"/>
        <v>0</v>
      </c>
      <c r="AG834" s="186">
        <f t="shared" ca="1" si="442"/>
        <v>0</v>
      </c>
      <c r="AH834" s="186">
        <f t="shared" ca="1" si="442"/>
        <v>0</v>
      </c>
      <c r="AI834" s="186">
        <f t="shared" ca="1" si="442"/>
        <v>0</v>
      </c>
      <c r="AJ834" s="186">
        <f t="shared" ca="1" si="442"/>
        <v>0</v>
      </c>
      <c r="AK834" s="186">
        <f t="shared" ca="1" si="442"/>
        <v>0</v>
      </c>
      <c r="AL834" s="186">
        <f t="shared" ca="1" si="442"/>
        <v>0</v>
      </c>
      <c r="AM834" s="268">
        <f t="shared" ca="1" si="442"/>
        <v>0</v>
      </c>
      <c r="AN834" s="209">
        <f t="shared" ca="1" si="442"/>
        <v>0</v>
      </c>
      <c r="AO834" s="285">
        <f t="shared" ca="1" si="442"/>
        <v>0</v>
      </c>
      <c r="AP834" s="189">
        <f>IF($K$198=0,0,SUM(R834:AO834))</f>
        <v>0</v>
      </c>
      <c r="AT834" s="43">
        <f t="shared" ref="AT834:BQ834" ca="1" si="443">($K$870*AT833-$K$871*$K$868)</f>
        <v>6.2597020226338742</v>
      </c>
      <c r="AU834" s="43">
        <f t="shared" ca="1" si="443"/>
        <v>5.226401304969194</v>
      </c>
      <c r="AV834" s="43">
        <f t="shared" ca="1" si="443"/>
        <v>5.0068892199145836</v>
      </c>
      <c r="AW834" s="43">
        <f t="shared" ca="1" si="443"/>
        <v>4.3217692437541615</v>
      </c>
      <c r="AX834" s="43">
        <f t="shared" ca="1" si="443"/>
        <v>3.6921144094342111</v>
      </c>
      <c r="AY834" s="43">
        <f t="shared" ca="1" si="443"/>
        <v>5.6972614061503606</v>
      </c>
      <c r="AZ834" s="43">
        <f t="shared" ca="1" si="443"/>
        <v>7.6559771567382739</v>
      </c>
      <c r="BA834" s="43">
        <f t="shared" ca="1" si="443"/>
        <v>8.5477515110896292</v>
      </c>
      <c r="BB834" s="43">
        <f t="shared" ca="1" si="443"/>
        <v>12.050466544901077</v>
      </c>
      <c r="BC834" s="43">
        <f t="shared" ca="1" si="443"/>
        <v>15.124064599431698</v>
      </c>
      <c r="BD834" s="43">
        <f t="shared" ca="1" si="443"/>
        <v>18.098672314395309</v>
      </c>
      <c r="BE834" s="43">
        <f t="shared" ca="1" si="443"/>
        <v>18.636575720319421</v>
      </c>
      <c r="BF834" s="43">
        <f t="shared" ca="1" si="443"/>
        <v>19.165353293170547</v>
      </c>
      <c r="BG834" s="43">
        <f t="shared" ca="1" si="443"/>
        <v>18.831316546399385</v>
      </c>
      <c r="BH834" s="43">
        <f t="shared" ca="1" si="443"/>
        <v>19.310160578233756</v>
      </c>
      <c r="BI834" s="43">
        <f t="shared" ca="1" si="443"/>
        <v>18.791327966301033</v>
      </c>
      <c r="BJ834" s="43">
        <f t="shared" ca="1" si="443"/>
        <v>18.263078006270185</v>
      </c>
      <c r="BK834" s="43">
        <f t="shared" ca="1" si="443"/>
        <v>16.25516778019027</v>
      </c>
      <c r="BL834" s="43">
        <f t="shared" ca="1" si="443"/>
        <v>14.18101115792674</v>
      </c>
      <c r="BM834" s="43">
        <f t="shared" ca="1" si="443"/>
        <v>12.050466544901077</v>
      </c>
      <c r="BN834" s="43">
        <f t="shared" ca="1" si="443"/>
        <v>10.842476388038499</v>
      </c>
      <c r="BO834" s="43">
        <f t="shared" ca="1" si="443"/>
        <v>9.6123501709372761</v>
      </c>
      <c r="BP834" s="43">
        <f t="shared" ca="1" si="443"/>
        <v>8.2809581260550402</v>
      </c>
      <c r="BQ834" s="43">
        <f t="shared" ca="1" si="443"/>
        <v>7.6559771567382739</v>
      </c>
      <c r="BV834" s="205"/>
      <c r="BW834" s="43"/>
      <c r="BX834" s="43"/>
      <c r="BY834" s="43"/>
      <c r="BZ834" s="43"/>
      <c r="CA834" s="43"/>
      <c r="CB834" s="43"/>
      <c r="CC834" s="43"/>
      <c r="CD834" s="43"/>
      <c r="CE834" s="43"/>
      <c r="CF834" s="43"/>
      <c r="CG834" s="43"/>
      <c r="CH834" s="43"/>
      <c r="CI834" s="43"/>
      <c r="CJ834" s="43"/>
      <c r="CK834" s="43"/>
      <c r="CL834" s="43"/>
      <c r="CM834" s="43"/>
      <c r="CN834" s="43"/>
      <c r="CO834" s="43"/>
      <c r="CP834" s="43"/>
      <c r="CQ834" s="43"/>
      <c r="CR834" s="43"/>
      <c r="CS834" s="43"/>
      <c r="CT834" s="43"/>
    </row>
    <row r="835" spans="1:98" ht="20.399999999999999" thickBot="1" x14ac:dyDescent="0.45">
      <c r="I835" s="19" t="s">
        <v>557</v>
      </c>
      <c r="J835" s="665" t="e">
        <f ca="1">D795/((H208*H209*H211*H214)/100000000)</f>
        <v>#DIV/0!</v>
      </c>
      <c r="K835" s="666"/>
      <c r="L835" s="25" t="s">
        <v>945</v>
      </c>
      <c r="M835" s="329"/>
      <c r="N835" s="820"/>
      <c r="O835" s="823"/>
      <c r="P835" s="185" t="s">
        <v>535</v>
      </c>
      <c r="Q835" s="185"/>
      <c r="R835" s="197" t="e">
        <f t="shared" ref="R835:AO835" ca="1" si="444">((0.3*(A$641)*(R833+$AR$784)*(101325/(286.9*(273.15+R822)))*2501)/3600)*O$365</f>
        <v>#DIV/0!</v>
      </c>
      <c r="S835" s="197" t="e">
        <f t="shared" ca="1" si="444"/>
        <v>#DIV/0!</v>
      </c>
      <c r="T835" s="197" t="e">
        <f t="shared" ca="1" si="444"/>
        <v>#DIV/0!</v>
      </c>
      <c r="U835" s="197" t="e">
        <f t="shared" ca="1" si="444"/>
        <v>#DIV/0!</v>
      </c>
      <c r="V835" s="197" t="e">
        <f t="shared" ca="1" si="444"/>
        <v>#DIV/0!</v>
      </c>
      <c r="W835" s="197" t="e">
        <f t="shared" ca="1" si="444"/>
        <v>#DIV/0!</v>
      </c>
      <c r="X835" s="197" t="e">
        <f t="shared" ca="1" si="444"/>
        <v>#DIV/0!</v>
      </c>
      <c r="Y835" s="197" t="e">
        <f t="shared" ca="1" si="444"/>
        <v>#DIV/0!</v>
      </c>
      <c r="Z835" s="197" t="e">
        <f t="shared" ca="1" si="444"/>
        <v>#DIV/0!</v>
      </c>
      <c r="AA835" s="197" t="e">
        <f t="shared" ca="1" si="444"/>
        <v>#DIV/0!</v>
      </c>
      <c r="AB835" s="197" t="e">
        <f t="shared" ca="1" si="444"/>
        <v>#DIV/0!</v>
      </c>
      <c r="AC835" s="197" t="e">
        <f t="shared" ca="1" si="444"/>
        <v>#DIV/0!</v>
      </c>
      <c r="AD835" s="197">
        <f t="shared" ca="1" si="444"/>
        <v>0</v>
      </c>
      <c r="AE835" s="197" t="e">
        <f t="shared" ca="1" si="444"/>
        <v>#DIV/0!</v>
      </c>
      <c r="AF835" s="197" t="e">
        <f t="shared" ca="1" si="444"/>
        <v>#DIV/0!</v>
      </c>
      <c r="AG835" s="197" t="e">
        <f t="shared" ca="1" si="444"/>
        <v>#DIV/0!</v>
      </c>
      <c r="AH835" s="197" t="e">
        <f t="shared" ca="1" si="444"/>
        <v>#DIV/0!</v>
      </c>
      <c r="AI835" s="197" t="e">
        <f t="shared" ca="1" si="444"/>
        <v>#DIV/0!</v>
      </c>
      <c r="AJ835" s="197" t="e">
        <f t="shared" ca="1" si="444"/>
        <v>#DIV/0!</v>
      </c>
      <c r="AK835" s="197" t="e">
        <f t="shared" ca="1" si="444"/>
        <v>#DIV/0!</v>
      </c>
      <c r="AL835" s="197" t="e">
        <f t="shared" ca="1" si="444"/>
        <v>#DIV/0!</v>
      </c>
      <c r="AM835" s="270" t="e">
        <f t="shared" ca="1" si="444"/>
        <v>#DIV/0!</v>
      </c>
      <c r="AN835" s="209" t="e">
        <f t="shared" ca="1" si="444"/>
        <v>#DIV/0!</v>
      </c>
      <c r="AO835" s="287" t="e">
        <f t="shared" ca="1" si="444"/>
        <v>#DIV/0!</v>
      </c>
      <c r="AP835" s="189">
        <f>IF($K$198=0,0,SUM(R835:AO835))</f>
        <v>0</v>
      </c>
      <c r="AT835" s="43">
        <f t="shared" ref="AT835:BQ835" ca="1" si="445">IF(AT834*O365&lt;0,0,AT834*O365)</f>
        <v>0</v>
      </c>
      <c r="AU835" s="43">
        <f t="shared" ca="1" si="445"/>
        <v>0</v>
      </c>
      <c r="AV835" s="43">
        <f t="shared" ca="1" si="445"/>
        <v>0</v>
      </c>
      <c r="AW835" s="43">
        <f t="shared" ca="1" si="445"/>
        <v>0</v>
      </c>
      <c r="AX835" s="43">
        <f t="shared" ca="1" si="445"/>
        <v>0</v>
      </c>
      <c r="AY835" s="43">
        <f t="shared" ca="1" si="445"/>
        <v>0</v>
      </c>
      <c r="AZ835" s="43">
        <f t="shared" ca="1" si="445"/>
        <v>0</v>
      </c>
      <c r="BA835" s="43">
        <f t="shared" ca="1" si="445"/>
        <v>0</v>
      </c>
      <c r="BB835" s="43">
        <f t="shared" ca="1" si="445"/>
        <v>0</v>
      </c>
      <c r="BC835" s="43">
        <f t="shared" ca="1" si="445"/>
        <v>0</v>
      </c>
      <c r="BD835" s="43">
        <f t="shared" ca="1" si="445"/>
        <v>0</v>
      </c>
      <c r="BE835" s="43">
        <f t="shared" ca="1" si="445"/>
        <v>0</v>
      </c>
      <c r="BF835" s="43">
        <f t="shared" ca="1" si="445"/>
        <v>0</v>
      </c>
      <c r="BG835" s="43">
        <f t="shared" ca="1" si="445"/>
        <v>0</v>
      </c>
      <c r="BH835" s="43">
        <f t="shared" ca="1" si="445"/>
        <v>0</v>
      </c>
      <c r="BI835" s="43">
        <f t="shared" ca="1" si="445"/>
        <v>0</v>
      </c>
      <c r="BJ835" s="43">
        <f t="shared" ca="1" si="445"/>
        <v>0</v>
      </c>
      <c r="BK835" s="43">
        <f t="shared" ca="1" si="445"/>
        <v>0</v>
      </c>
      <c r="BL835" s="43">
        <f t="shared" ca="1" si="445"/>
        <v>0</v>
      </c>
      <c r="BM835" s="43">
        <f t="shared" ca="1" si="445"/>
        <v>0</v>
      </c>
      <c r="BN835" s="43">
        <f t="shared" ca="1" si="445"/>
        <v>0</v>
      </c>
      <c r="BO835" s="43">
        <f t="shared" ca="1" si="445"/>
        <v>0</v>
      </c>
      <c r="BP835" s="43">
        <f t="shared" ca="1" si="445"/>
        <v>0</v>
      </c>
      <c r="BQ835" s="43">
        <f t="shared" ca="1" si="445"/>
        <v>0</v>
      </c>
      <c r="BV835" s="205"/>
      <c r="BW835" s="43"/>
      <c r="BX835" s="43"/>
      <c r="BY835" s="43"/>
      <c r="BZ835" s="43"/>
      <c r="CA835" s="43"/>
      <c r="CB835" s="43"/>
      <c r="CC835" s="43"/>
      <c r="CD835" s="43"/>
      <c r="CE835" s="43"/>
      <c r="CF835" s="43"/>
      <c r="CG835" s="43"/>
      <c r="CH835" s="43"/>
      <c r="CI835" s="43"/>
      <c r="CJ835" s="43"/>
      <c r="CK835" s="43"/>
      <c r="CL835" s="43"/>
      <c r="CM835" s="43"/>
      <c r="CN835" s="43"/>
      <c r="CO835" s="43"/>
      <c r="CP835" s="43"/>
      <c r="CQ835" s="43"/>
      <c r="CR835" s="43"/>
      <c r="CS835" s="43"/>
      <c r="CT835" s="43"/>
    </row>
    <row r="836" spans="1:98" ht="18" x14ac:dyDescent="0.35">
      <c r="N836" s="818" t="s">
        <v>173</v>
      </c>
      <c r="O836" s="821">
        <v>9</v>
      </c>
      <c r="P836" s="180" t="s">
        <v>522</v>
      </c>
      <c r="Q836" s="181" t="s">
        <v>946</v>
      </c>
      <c r="R836" s="182">
        <f ca="1">'Климатични зони'!D16</f>
        <v>15.3</v>
      </c>
      <c r="S836" s="182">
        <f ca="1">'Климатични зони'!E16</f>
        <v>15.5</v>
      </c>
      <c r="T836" s="182">
        <f ca="1">'Климатични зони'!F16</f>
        <v>15.2</v>
      </c>
      <c r="U836" s="182">
        <f ca="1">'Климатични зони'!G16</f>
        <v>14.7</v>
      </c>
      <c r="V836" s="182">
        <f ca="1">'Климатични зони'!H16</f>
        <v>14.7</v>
      </c>
      <c r="W836" s="182">
        <f ca="1">'Климатични зони'!I16</f>
        <v>14.6</v>
      </c>
      <c r="X836" s="182">
        <f ca="1">'Климатични зони'!J16</f>
        <v>15.5</v>
      </c>
      <c r="Y836" s="182">
        <f ca="1">'Климатични зони'!K16</f>
        <v>16.7</v>
      </c>
      <c r="Z836" s="182">
        <f ca="1">'Климатични зони'!L16</f>
        <v>18.399999999999999</v>
      </c>
      <c r="AA836" s="182">
        <f ca="1">'Климатични зони'!M16</f>
        <v>20.100000000000001</v>
      </c>
      <c r="AB836" s="182">
        <f ca="1">'Климатични зони'!N16</f>
        <v>21.8</v>
      </c>
      <c r="AC836" s="182">
        <f ca="1">'Климатични зони'!O16</f>
        <v>22</v>
      </c>
      <c r="AD836" s="182">
        <f ca="1">'Климатични зони'!P16</f>
        <v>22.8</v>
      </c>
      <c r="AE836" s="182">
        <f ca="1">'Климатични зони'!Q16</f>
        <v>23.1</v>
      </c>
      <c r="AF836" s="182">
        <f ca="1">'Климатични зони'!R16</f>
        <v>22.7</v>
      </c>
      <c r="AG836" s="182">
        <f ca="1">'Климатични зони'!S16</f>
        <v>22.2</v>
      </c>
      <c r="AH836" s="182">
        <f ca="1">'Климатични зони'!T16</f>
        <v>21.3</v>
      </c>
      <c r="AI836" s="182">
        <f ca="1">'Климатични зони'!U16</f>
        <v>20.5</v>
      </c>
      <c r="AJ836" s="182">
        <f ca="1">'Климатични зони'!V16</f>
        <v>19.2</v>
      </c>
      <c r="AK836" s="182">
        <f ca="1">'Климатични зони'!W16</f>
        <v>17.899999999999999</v>
      </c>
      <c r="AL836" s="182">
        <f ca="1">'Климатични зони'!X16</f>
        <v>17.3</v>
      </c>
      <c r="AM836" s="262">
        <f ca="1">'Климатични зони'!Y16</f>
        <v>16.5</v>
      </c>
      <c r="AN836" s="207">
        <f ca="1">'Климатични зони'!Z16</f>
        <v>16.5</v>
      </c>
      <c r="AO836" s="275">
        <f ca="1">'Климатични зони'!AA16</f>
        <v>15.7</v>
      </c>
      <c r="AP836" s="189"/>
      <c r="AT836" s="929">
        <f ca="1">SUM(AT835:BQ835)</f>
        <v>0</v>
      </c>
      <c r="AU836" s="929"/>
      <c r="AV836" s="929"/>
      <c r="AW836" s="929"/>
      <c r="AX836" s="929"/>
      <c r="AY836" s="929"/>
      <c r="AZ836" s="929"/>
      <c r="BA836" s="929"/>
      <c r="BB836" s="929"/>
      <c r="BC836" s="929"/>
      <c r="BD836" s="929"/>
      <c r="BE836" s="929"/>
      <c r="BF836" s="929"/>
      <c r="BG836" s="929"/>
      <c r="BH836" s="929"/>
      <c r="BI836" s="929"/>
      <c r="BJ836" s="929"/>
      <c r="BK836" s="929"/>
      <c r="BL836" s="929"/>
      <c r="BM836" s="929"/>
      <c r="BN836" s="929"/>
      <c r="BO836" s="929"/>
      <c r="BP836" s="929"/>
      <c r="BQ836" s="929"/>
      <c r="BV836" s="205"/>
      <c r="BW836" s="43"/>
      <c r="BX836" s="43"/>
      <c r="BY836" s="43"/>
      <c r="BZ836" s="43"/>
      <c r="CA836" s="43"/>
      <c r="CB836" s="43"/>
      <c r="CC836" s="43"/>
      <c r="CD836" s="43"/>
      <c r="CE836" s="43"/>
      <c r="CF836" s="43"/>
      <c r="CG836" s="43"/>
      <c r="CH836" s="43"/>
      <c r="CI836" s="43"/>
      <c r="CJ836" s="43"/>
      <c r="CK836" s="43"/>
      <c r="CL836" s="43"/>
      <c r="CM836" s="43"/>
      <c r="CN836" s="43"/>
      <c r="CO836" s="43"/>
      <c r="CP836" s="43"/>
      <c r="CQ836" s="43"/>
      <c r="CR836" s="43"/>
      <c r="CS836" s="43"/>
      <c r="CT836" s="43"/>
    </row>
    <row r="837" spans="1:98" ht="18" x14ac:dyDescent="0.35">
      <c r="A837" s="647" t="s">
        <v>561</v>
      </c>
      <c r="B837" s="673"/>
      <c r="C837" s="673"/>
      <c r="D837" s="673"/>
      <c r="E837" s="673"/>
      <c r="F837" s="673"/>
      <c r="G837" s="673"/>
      <c r="H837" s="673"/>
      <c r="N837" s="819"/>
      <c r="O837" s="822"/>
      <c r="P837" s="183" t="s">
        <v>531</v>
      </c>
      <c r="Q837" s="184" t="s">
        <v>1</v>
      </c>
      <c r="R837" s="173">
        <f ca="1">'Климатични зони'!D17</f>
        <v>80</v>
      </c>
      <c r="S837" s="173">
        <f ca="1">'Климатични зони'!E17</f>
        <v>79</v>
      </c>
      <c r="T837" s="173">
        <f ca="1">'Климатични зони'!F17</f>
        <v>80</v>
      </c>
      <c r="U837" s="173">
        <f ca="1">'Климатични зони'!G17</f>
        <v>81</v>
      </c>
      <c r="V837" s="173">
        <f ca="1">'Климатични зони'!H17</f>
        <v>80</v>
      </c>
      <c r="W837" s="173">
        <f ca="1">'Климатични зони'!I17</f>
        <v>80</v>
      </c>
      <c r="X837" s="173">
        <f ca="1">'Климатични зони'!J17</f>
        <v>78</v>
      </c>
      <c r="Y837" s="173">
        <f ca="1">'Климатични зони'!K17</f>
        <v>73</v>
      </c>
      <c r="Z837" s="173">
        <f ca="1">'Климатични зони'!L17</f>
        <v>67</v>
      </c>
      <c r="AA837" s="173">
        <f ca="1">'Климатични зони'!M17</f>
        <v>61</v>
      </c>
      <c r="AB837" s="173">
        <f ca="1">'Климатични зони'!N17</f>
        <v>58</v>
      </c>
      <c r="AC837" s="173">
        <f ca="1">'Климатични зони'!O17</f>
        <v>56</v>
      </c>
      <c r="AD837" s="173">
        <f ca="1">'Климатични зони'!P17</f>
        <v>55</v>
      </c>
      <c r="AE837" s="173">
        <f ca="1">'Климатични зони'!Q17</f>
        <v>56</v>
      </c>
      <c r="AF837" s="173">
        <f ca="1">'Климатични зони'!R17</f>
        <v>55</v>
      </c>
      <c r="AG837" s="173">
        <f ca="1">'Климатични зони'!S17</f>
        <v>58</v>
      </c>
      <c r="AH837" s="173">
        <f ca="1">'Климатични зони'!T17</f>
        <v>63</v>
      </c>
      <c r="AI837" s="173">
        <f ca="1">'Климатични зони'!U17</f>
        <v>64</v>
      </c>
      <c r="AJ837" s="173">
        <f ca="1">'Климатични зони'!V17</f>
        <v>68</v>
      </c>
      <c r="AK837" s="173">
        <f ca="1">'Климатични зони'!W17</f>
        <v>73</v>
      </c>
      <c r="AL837" s="173">
        <f ca="1">'Климатични зони'!X17</f>
        <v>74</v>
      </c>
      <c r="AM837" s="259">
        <f ca="1">'Климатични зони'!Y17</f>
        <v>78</v>
      </c>
      <c r="AN837" s="207">
        <f ca="1">'Климатични зони'!Z17</f>
        <v>77</v>
      </c>
      <c r="AO837" s="254">
        <f ca="1">'Климатични зони'!AA17</f>
        <v>79</v>
      </c>
      <c r="AP837" s="189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V837" s="205"/>
      <c r="BW837" s="43"/>
      <c r="BX837" s="43"/>
      <c r="BY837" s="43"/>
      <c r="BZ837" s="43"/>
      <c r="CA837" s="43"/>
      <c r="CB837" s="43"/>
      <c r="CC837" s="43"/>
      <c r="CD837" s="43"/>
      <c r="CE837" s="43"/>
      <c r="CF837" s="43"/>
      <c r="CG837" s="43"/>
      <c r="CH837" s="43"/>
      <c r="CI837" s="43"/>
      <c r="CJ837" s="43"/>
      <c r="CK837" s="43"/>
      <c r="CL837" s="43"/>
      <c r="CM837" s="43"/>
      <c r="CN837" s="43"/>
      <c r="CO837" s="43"/>
      <c r="CP837" s="43"/>
      <c r="CQ837" s="43"/>
      <c r="CR837" s="43"/>
      <c r="CS837" s="43"/>
      <c r="CT837" s="43"/>
    </row>
    <row r="838" spans="1:98" ht="18.600000000000001" x14ac:dyDescent="0.4">
      <c r="A838" s="667" t="s">
        <v>571</v>
      </c>
      <c r="B838" s="589"/>
      <c r="C838" s="589"/>
      <c r="D838" s="589"/>
      <c r="E838" s="589"/>
      <c r="F838" s="589"/>
      <c r="G838" s="589"/>
      <c r="H838" s="589"/>
      <c r="J838" s="45" t="s">
        <v>572</v>
      </c>
      <c r="K838" s="203">
        <f>K177</f>
        <v>-10</v>
      </c>
      <c r="L838" s="55" t="s">
        <v>946</v>
      </c>
      <c r="M838" s="99"/>
      <c r="N838" s="819"/>
      <c r="O838" s="822"/>
      <c r="P838" s="170" t="s">
        <v>523</v>
      </c>
      <c r="Q838" s="172" t="s">
        <v>948</v>
      </c>
      <c r="R838" s="173">
        <f t="shared" ref="R838:AO838" ca="1" si="446">((1/($K$183-R836))*(((-$E$614)*5*COS(2*3.14*(($O836-1)/12))+($F$614*7.5*COS(2*3.14*(($O836-1-1)/12))))))</f>
        <v>-1.9612907399025306E-42</v>
      </c>
      <c r="S838" s="173">
        <f t="shared" ca="1" si="446"/>
        <v>-2.0025810712688993E-42</v>
      </c>
      <c r="T838" s="173">
        <f t="shared" ca="1" si="446"/>
        <v>-1.9412775690871981E-42</v>
      </c>
      <c r="U838" s="173">
        <f t="shared" ca="1" si="446"/>
        <v>-1.8470407938887906E-42</v>
      </c>
      <c r="V838" s="173">
        <f t="shared" ca="1" si="446"/>
        <v>-1.8470407938887906E-42</v>
      </c>
      <c r="W838" s="173">
        <f t="shared" ca="1" si="446"/>
        <v>-1.8292807862552443E-42</v>
      </c>
      <c r="X838" s="173">
        <f t="shared" ca="1" si="446"/>
        <v>-2.0025810712688993E-42</v>
      </c>
      <c r="Y838" s="173">
        <f t="shared" ca="1" si="446"/>
        <v>-2.2921108647053666E-42</v>
      </c>
      <c r="Z838" s="173">
        <f t="shared" ca="1" si="446"/>
        <v>-2.8825030571294756E-42</v>
      </c>
      <c r="AA838" s="173">
        <f t="shared" ca="1" si="446"/>
        <v>-3.882555138174398E-42</v>
      </c>
      <c r="AB838" s="173">
        <f t="shared" ca="1" si="446"/>
        <v>-5.9451625553295462E-42</v>
      </c>
      <c r="AC838" s="173">
        <f t="shared" ca="1" si="446"/>
        <v>-6.3415067256848475E-42</v>
      </c>
      <c r="AD838" s="173">
        <f t="shared" ca="1" si="446"/>
        <v>-8.6475091713884313E-42</v>
      </c>
      <c r="AE838" s="173">
        <f t="shared" ca="1" si="446"/>
        <v>-1.0012905356344504E-41</v>
      </c>
      <c r="AF838" s="173">
        <f t="shared" ca="1" si="446"/>
        <v>-8.2715305117628434E-42</v>
      </c>
      <c r="AG838" s="173">
        <f t="shared" ca="1" si="446"/>
        <v>-6.7944714918051926E-42</v>
      </c>
      <c r="AH838" s="173">
        <f t="shared" ca="1" si="446"/>
        <v>-5.1417622100147426E-42</v>
      </c>
      <c r="AI838" s="173">
        <f t="shared" ca="1" si="446"/>
        <v>-4.2276711504565648E-42</v>
      </c>
      <c r="AJ838" s="173">
        <f t="shared" ca="1" si="446"/>
        <v>-3.2800896856990591E-42</v>
      </c>
      <c r="AK838" s="173">
        <f t="shared" ca="1" si="446"/>
        <v>-2.6795098840921888E-42</v>
      </c>
      <c r="AL838" s="173">
        <f t="shared" ca="1" si="446"/>
        <v>-2.4707169061109801E-42</v>
      </c>
      <c r="AM838" s="259">
        <f t="shared" ca="1" si="446"/>
        <v>-2.238178844359358E-42</v>
      </c>
      <c r="AN838" s="207">
        <f t="shared" ca="1" si="446"/>
        <v>-2.238178844359358E-42</v>
      </c>
      <c r="AO838" s="276">
        <f t="shared" ca="1" si="446"/>
        <v>-2.0456473308660796E-42</v>
      </c>
      <c r="AP838" s="189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</row>
    <row r="839" spans="1:98" ht="18.600000000000001" x14ac:dyDescent="0.4">
      <c r="A839" s="667" t="s">
        <v>291</v>
      </c>
      <c r="B839" s="589"/>
      <c r="C839" s="589"/>
      <c r="D839" s="589"/>
      <c r="E839" s="589"/>
      <c r="F839" s="589"/>
      <c r="G839" s="589"/>
      <c r="H839" s="589"/>
      <c r="J839" s="45" t="s">
        <v>573</v>
      </c>
      <c r="K839" s="203">
        <f>L647</f>
        <v>19</v>
      </c>
      <c r="L839" s="55" t="s">
        <v>946</v>
      </c>
      <c r="M839" s="99"/>
      <c r="N839" s="819"/>
      <c r="O839" s="822"/>
      <c r="P839" s="174" t="s">
        <v>524</v>
      </c>
      <c r="Q839" s="175" t="s">
        <v>945</v>
      </c>
      <c r="R839" s="176" t="e">
        <f t="shared" ref="R839:AO839" ca="1" si="447">(1/1000)*(($K$455+R838)*($K$183-R836))*O$210</f>
        <v>#DIV/0!</v>
      </c>
      <c r="S839" s="176" t="e">
        <f t="shared" ca="1" si="447"/>
        <v>#DIV/0!</v>
      </c>
      <c r="T839" s="176" t="e">
        <f t="shared" ca="1" si="447"/>
        <v>#DIV/0!</v>
      </c>
      <c r="U839" s="176" t="e">
        <f t="shared" ca="1" si="447"/>
        <v>#DIV/0!</v>
      </c>
      <c r="V839" s="176" t="e">
        <f t="shared" ca="1" si="447"/>
        <v>#DIV/0!</v>
      </c>
      <c r="W839" s="176" t="e">
        <f t="shared" ca="1" si="447"/>
        <v>#DIV/0!</v>
      </c>
      <c r="X839" s="176" t="e">
        <f t="shared" ca="1" si="447"/>
        <v>#DIV/0!</v>
      </c>
      <c r="Y839" s="176" t="e">
        <f t="shared" ca="1" si="447"/>
        <v>#DIV/0!</v>
      </c>
      <c r="Z839" s="176" t="e">
        <f t="shared" ca="1" si="447"/>
        <v>#DIV/0!</v>
      </c>
      <c r="AA839" s="176" t="e">
        <f t="shared" ca="1" si="447"/>
        <v>#DIV/0!</v>
      </c>
      <c r="AB839" s="176" t="e">
        <f t="shared" ca="1" si="447"/>
        <v>#DIV/0!</v>
      </c>
      <c r="AC839" s="176" t="e">
        <f t="shared" ca="1" si="447"/>
        <v>#DIV/0!</v>
      </c>
      <c r="AD839" s="176" t="e">
        <f t="shared" ca="1" si="447"/>
        <v>#DIV/0!</v>
      </c>
      <c r="AE839" s="176" t="e">
        <f t="shared" ca="1" si="447"/>
        <v>#DIV/0!</v>
      </c>
      <c r="AF839" s="176" t="e">
        <f t="shared" ca="1" si="447"/>
        <v>#DIV/0!</v>
      </c>
      <c r="AG839" s="176" t="e">
        <f t="shared" ca="1" si="447"/>
        <v>#DIV/0!</v>
      </c>
      <c r="AH839" s="176" t="e">
        <f t="shared" ca="1" si="447"/>
        <v>#DIV/0!</v>
      </c>
      <c r="AI839" s="176" t="e">
        <f t="shared" ca="1" si="447"/>
        <v>#DIV/0!</v>
      </c>
      <c r="AJ839" s="176" t="e">
        <f t="shared" ca="1" si="447"/>
        <v>#DIV/0!</v>
      </c>
      <c r="AK839" s="176" t="e">
        <f t="shared" ca="1" si="447"/>
        <v>#DIV/0!</v>
      </c>
      <c r="AL839" s="176" t="e">
        <f t="shared" ca="1" si="447"/>
        <v>#DIV/0!</v>
      </c>
      <c r="AM839" s="260" t="e">
        <f t="shared" ca="1" si="447"/>
        <v>#DIV/0!</v>
      </c>
      <c r="AN839" s="208" t="e">
        <f t="shared" ca="1" si="447"/>
        <v>#DIV/0!</v>
      </c>
      <c r="AO839" s="273" t="e">
        <f t="shared" ca="1" si="447"/>
        <v>#DIV/0!</v>
      </c>
      <c r="AP839" s="189" t="e">
        <f ca="1">SUM(R839:AO839)</f>
        <v>#DIV/0!</v>
      </c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</row>
    <row r="840" spans="1:98" ht="18.600000000000001" hidden="1" x14ac:dyDescent="0.4">
      <c r="A840" s="667" t="s">
        <v>566</v>
      </c>
      <c r="B840" s="589"/>
      <c r="C840" s="589"/>
      <c r="D840" s="589"/>
      <c r="E840" s="589"/>
      <c r="F840" s="589"/>
      <c r="G840" s="589"/>
      <c r="H840" s="589"/>
      <c r="J840" s="45" t="s">
        <v>567</v>
      </c>
      <c r="K840" s="81">
        <f>K178</f>
        <v>95</v>
      </c>
      <c r="L840" s="55" t="s">
        <v>1</v>
      </c>
      <c r="M840" s="99"/>
      <c r="N840" s="819"/>
      <c r="O840" s="822"/>
      <c r="P840" s="170" t="s">
        <v>525</v>
      </c>
      <c r="Q840" s="172" t="s">
        <v>950</v>
      </c>
      <c r="R840" s="196">
        <f t="shared" ref="R840:AO840" ca="1" si="448">IF(($K$183-$L$648)/($K$183-R836)=0,1,($K$183-$L$648)/($K$183-R836))</f>
        <v>0.30927835051546393</v>
      </c>
      <c r="S840" s="196">
        <f t="shared" ca="1" si="448"/>
        <v>0.31578947368421051</v>
      </c>
      <c r="T840" s="196">
        <f t="shared" ca="1" si="448"/>
        <v>0.30612244897959179</v>
      </c>
      <c r="U840" s="196">
        <f t="shared" ca="1" si="448"/>
        <v>0.29126213592233008</v>
      </c>
      <c r="V840" s="196">
        <f t="shared" ca="1" si="448"/>
        <v>0.29126213592233008</v>
      </c>
      <c r="W840" s="196">
        <f t="shared" ca="1" si="448"/>
        <v>0.28846153846153844</v>
      </c>
      <c r="X840" s="196">
        <f t="shared" ca="1" si="448"/>
        <v>0.31578947368421051</v>
      </c>
      <c r="Y840" s="196">
        <f t="shared" ca="1" si="448"/>
        <v>0.36144578313253006</v>
      </c>
      <c r="Z840" s="196">
        <f t="shared" ca="1" si="448"/>
        <v>0.45454545454545447</v>
      </c>
      <c r="AA840" s="196">
        <f t="shared" ca="1" si="448"/>
        <v>0.6122448979591838</v>
      </c>
      <c r="AB840" s="196">
        <f t="shared" ca="1" si="448"/>
        <v>0.93750000000000022</v>
      </c>
      <c r="AC840" s="196">
        <f t="shared" ca="1" si="448"/>
        <v>1</v>
      </c>
      <c r="AD840" s="196">
        <f t="shared" ca="1" si="448"/>
        <v>1.363636363636364</v>
      </c>
      <c r="AE840" s="196">
        <f t="shared" ca="1" si="448"/>
        <v>1.5789473684210538</v>
      </c>
      <c r="AF840" s="196">
        <f t="shared" ca="1" si="448"/>
        <v>1.3043478260869561</v>
      </c>
      <c r="AG840" s="196">
        <f t="shared" ca="1" si="448"/>
        <v>1.0714285714285712</v>
      </c>
      <c r="AH840" s="196">
        <f t="shared" ca="1" si="448"/>
        <v>0.81081081081081097</v>
      </c>
      <c r="AI840" s="196">
        <f t="shared" ca="1" si="448"/>
        <v>0.66666666666666663</v>
      </c>
      <c r="AJ840" s="196">
        <f t="shared" ca="1" si="448"/>
        <v>0.51724137931034475</v>
      </c>
      <c r="AK840" s="196">
        <f t="shared" ca="1" si="448"/>
        <v>0.42253521126760557</v>
      </c>
      <c r="AL840" s="196">
        <f t="shared" ca="1" si="448"/>
        <v>0.38961038961038963</v>
      </c>
      <c r="AM840" s="267">
        <f t="shared" ca="1" si="448"/>
        <v>0.35294117647058826</v>
      </c>
      <c r="AN840" s="295">
        <f t="shared" ca="1" si="448"/>
        <v>0.35294117647058826</v>
      </c>
      <c r="AO840" s="284">
        <f t="shared" ca="1" si="448"/>
        <v>0.32258064516129031</v>
      </c>
      <c r="AP840" s="189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</row>
    <row r="841" spans="1:98" ht="18.600000000000001" hidden="1" x14ac:dyDescent="0.4">
      <c r="A841" s="667" t="s">
        <v>294</v>
      </c>
      <c r="B841" s="589"/>
      <c r="C841" s="589"/>
      <c r="D841" s="589"/>
      <c r="E841" s="589"/>
      <c r="F841" s="589"/>
      <c r="G841" s="589"/>
      <c r="H841" s="589"/>
      <c r="J841" s="45" t="s">
        <v>568</v>
      </c>
      <c r="K841" s="81">
        <f>K182</f>
        <v>60</v>
      </c>
      <c r="L841" s="55" t="s">
        <v>1</v>
      </c>
      <c r="M841" s="99"/>
      <c r="N841" s="819"/>
      <c r="O841" s="822"/>
      <c r="P841" s="170" t="s">
        <v>526</v>
      </c>
      <c r="Q841" s="172" t="s">
        <v>948</v>
      </c>
      <c r="R841" s="173">
        <f t="shared" ref="R841:AO841" si="449">0.34*($K$186*(0.8*$F$25-$K$187))</f>
        <v>0</v>
      </c>
      <c r="S841" s="173">
        <f t="shared" si="449"/>
        <v>0</v>
      </c>
      <c r="T841" s="173">
        <f t="shared" si="449"/>
        <v>0</v>
      </c>
      <c r="U841" s="173">
        <f t="shared" si="449"/>
        <v>0</v>
      </c>
      <c r="V841" s="173">
        <f t="shared" si="449"/>
        <v>0</v>
      </c>
      <c r="W841" s="173">
        <f t="shared" si="449"/>
        <v>0</v>
      </c>
      <c r="X841" s="173">
        <f t="shared" si="449"/>
        <v>0</v>
      </c>
      <c r="Y841" s="173">
        <f t="shared" si="449"/>
        <v>0</v>
      </c>
      <c r="Z841" s="173">
        <f t="shared" si="449"/>
        <v>0</v>
      </c>
      <c r="AA841" s="173">
        <f t="shared" si="449"/>
        <v>0</v>
      </c>
      <c r="AB841" s="173">
        <f t="shared" si="449"/>
        <v>0</v>
      </c>
      <c r="AC841" s="173">
        <f t="shared" si="449"/>
        <v>0</v>
      </c>
      <c r="AD841" s="173">
        <f t="shared" si="449"/>
        <v>0</v>
      </c>
      <c r="AE841" s="173">
        <f t="shared" si="449"/>
        <v>0</v>
      </c>
      <c r="AF841" s="173">
        <f t="shared" si="449"/>
        <v>0</v>
      </c>
      <c r="AG841" s="173">
        <f t="shared" si="449"/>
        <v>0</v>
      </c>
      <c r="AH841" s="173">
        <f t="shared" si="449"/>
        <v>0</v>
      </c>
      <c r="AI841" s="173">
        <f t="shared" si="449"/>
        <v>0</v>
      </c>
      <c r="AJ841" s="173">
        <f t="shared" si="449"/>
        <v>0</v>
      </c>
      <c r="AK841" s="173">
        <f t="shared" si="449"/>
        <v>0</v>
      </c>
      <c r="AL841" s="173">
        <f t="shared" si="449"/>
        <v>0</v>
      </c>
      <c r="AM841" s="173">
        <f t="shared" si="449"/>
        <v>0</v>
      </c>
      <c r="AN841" s="173">
        <f t="shared" si="449"/>
        <v>0</v>
      </c>
      <c r="AO841" s="173">
        <f t="shared" si="449"/>
        <v>0</v>
      </c>
      <c r="AP841" s="189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</row>
    <row r="842" spans="1:98" ht="19.5" hidden="1" customHeight="1" x14ac:dyDescent="0.4">
      <c r="A842" s="667" t="s">
        <v>577</v>
      </c>
      <c r="B842" s="589"/>
      <c r="C842" s="589"/>
      <c r="D842" s="589"/>
      <c r="E842" s="589"/>
      <c r="F842" s="589"/>
      <c r="G842" s="589"/>
      <c r="H842" s="589"/>
      <c r="I842" s="589"/>
      <c r="J842" s="201" t="s">
        <v>570</v>
      </c>
      <c r="K842" s="43">
        <f>(2.71828^(77.345+0.0057*(273.15+K838)-7235/(273.15+K838)))/((273.15+K838)^8.2)</f>
        <v>285.64709262611672</v>
      </c>
      <c r="L842" s="106" t="s">
        <v>569</v>
      </c>
      <c r="M842" s="109"/>
      <c r="N842" s="819"/>
      <c r="O842" s="822"/>
      <c r="P842" s="174" t="s">
        <v>527</v>
      </c>
      <c r="Q842" s="175" t="s">
        <v>945</v>
      </c>
      <c r="R842" s="186">
        <f t="shared" ref="R842:AO842" ca="1" si="450">(1/1000)*(R841*($K$183-R836))*O$210</f>
        <v>0</v>
      </c>
      <c r="S842" s="186">
        <f t="shared" ca="1" si="450"/>
        <v>0</v>
      </c>
      <c r="T842" s="186">
        <f t="shared" ca="1" si="450"/>
        <v>0</v>
      </c>
      <c r="U842" s="186">
        <f t="shared" ca="1" si="450"/>
        <v>0</v>
      </c>
      <c r="V842" s="186">
        <f t="shared" ca="1" si="450"/>
        <v>0</v>
      </c>
      <c r="W842" s="186">
        <f t="shared" ca="1" si="450"/>
        <v>0</v>
      </c>
      <c r="X842" s="186">
        <f t="shared" ca="1" si="450"/>
        <v>0</v>
      </c>
      <c r="Y842" s="186">
        <f t="shared" ca="1" si="450"/>
        <v>0</v>
      </c>
      <c r="Z842" s="186">
        <f t="shared" ca="1" si="450"/>
        <v>0</v>
      </c>
      <c r="AA842" s="186">
        <f t="shared" ca="1" si="450"/>
        <v>0</v>
      </c>
      <c r="AB842" s="186">
        <f t="shared" ca="1" si="450"/>
        <v>0</v>
      </c>
      <c r="AC842" s="186">
        <f t="shared" ca="1" si="450"/>
        <v>0</v>
      </c>
      <c r="AD842" s="186">
        <f t="shared" ca="1" si="450"/>
        <v>0</v>
      </c>
      <c r="AE842" s="186">
        <f t="shared" ca="1" si="450"/>
        <v>0</v>
      </c>
      <c r="AF842" s="186">
        <f t="shared" ca="1" si="450"/>
        <v>0</v>
      </c>
      <c r="AG842" s="186">
        <f t="shared" ca="1" si="450"/>
        <v>0</v>
      </c>
      <c r="AH842" s="186">
        <f t="shared" ca="1" si="450"/>
        <v>0</v>
      </c>
      <c r="AI842" s="186">
        <f t="shared" ca="1" si="450"/>
        <v>0</v>
      </c>
      <c r="AJ842" s="186">
        <f t="shared" ca="1" si="450"/>
        <v>0</v>
      </c>
      <c r="AK842" s="186">
        <f t="shared" ca="1" si="450"/>
        <v>0</v>
      </c>
      <c r="AL842" s="186">
        <f t="shared" ca="1" si="450"/>
        <v>0</v>
      </c>
      <c r="AM842" s="268">
        <f t="shared" ca="1" si="450"/>
        <v>0</v>
      </c>
      <c r="AN842" s="209">
        <f t="shared" ca="1" si="450"/>
        <v>0</v>
      </c>
      <c r="AO842" s="285">
        <f t="shared" ca="1" si="450"/>
        <v>0</v>
      </c>
      <c r="AP842" s="189">
        <f ca="1">SUM(R842:AO842)</f>
        <v>0</v>
      </c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</row>
    <row r="843" spans="1:98" ht="18.600000000000001" hidden="1" x14ac:dyDescent="0.4">
      <c r="A843" s="667" t="s">
        <v>584</v>
      </c>
      <c r="B843" s="589"/>
      <c r="C843" s="589"/>
      <c r="D843" s="589"/>
      <c r="E843" s="589"/>
      <c r="F843" s="589"/>
      <c r="G843" s="589"/>
      <c r="H843" s="589"/>
      <c r="I843" s="589"/>
      <c r="J843" s="201" t="s">
        <v>574</v>
      </c>
      <c r="K843" s="43">
        <f>(2.71828^(77.345+0.0057*(273.15+K839)-7235/(273.15+K839)))/((273.15+K839)^8.2)</f>
        <v>2190.6430403877389</v>
      </c>
      <c r="L843" s="106" t="s">
        <v>569</v>
      </c>
      <c r="M843" s="109"/>
      <c r="N843" s="819"/>
      <c r="O843" s="822"/>
      <c r="P843" s="177" t="s">
        <v>528</v>
      </c>
      <c r="Q843" s="178" t="s">
        <v>945</v>
      </c>
      <c r="R843" s="187" t="e">
        <f t="shared" ref="R843:AO843" ca="1" si="451">R842+R839</f>
        <v>#DIV/0!</v>
      </c>
      <c r="S843" s="187" t="e">
        <f t="shared" ca="1" si="451"/>
        <v>#DIV/0!</v>
      </c>
      <c r="T843" s="187" t="e">
        <f t="shared" ca="1" si="451"/>
        <v>#DIV/0!</v>
      </c>
      <c r="U843" s="187" t="e">
        <f t="shared" ca="1" si="451"/>
        <v>#DIV/0!</v>
      </c>
      <c r="V843" s="187" t="e">
        <f t="shared" ca="1" si="451"/>
        <v>#DIV/0!</v>
      </c>
      <c r="W843" s="187" t="e">
        <f t="shared" ca="1" si="451"/>
        <v>#DIV/0!</v>
      </c>
      <c r="X843" s="187" t="e">
        <f t="shared" ca="1" si="451"/>
        <v>#DIV/0!</v>
      </c>
      <c r="Y843" s="187" t="e">
        <f t="shared" ca="1" si="451"/>
        <v>#DIV/0!</v>
      </c>
      <c r="Z843" s="187" t="e">
        <f t="shared" ca="1" si="451"/>
        <v>#DIV/0!</v>
      </c>
      <c r="AA843" s="187" t="e">
        <f t="shared" ca="1" si="451"/>
        <v>#DIV/0!</v>
      </c>
      <c r="AB843" s="187" t="e">
        <f t="shared" ca="1" si="451"/>
        <v>#DIV/0!</v>
      </c>
      <c r="AC843" s="187" t="e">
        <f t="shared" ca="1" si="451"/>
        <v>#DIV/0!</v>
      </c>
      <c r="AD843" s="187" t="e">
        <f t="shared" ca="1" si="451"/>
        <v>#DIV/0!</v>
      </c>
      <c r="AE843" s="187" t="e">
        <f t="shared" ca="1" si="451"/>
        <v>#DIV/0!</v>
      </c>
      <c r="AF843" s="187" t="e">
        <f t="shared" ca="1" si="451"/>
        <v>#DIV/0!</v>
      </c>
      <c r="AG843" s="187" t="e">
        <f t="shared" ca="1" si="451"/>
        <v>#DIV/0!</v>
      </c>
      <c r="AH843" s="187" t="e">
        <f t="shared" ca="1" si="451"/>
        <v>#DIV/0!</v>
      </c>
      <c r="AI843" s="187" t="e">
        <f t="shared" ca="1" si="451"/>
        <v>#DIV/0!</v>
      </c>
      <c r="AJ843" s="187" t="e">
        <f t="shared" ca="1" si="451"/>
        <v>#DIV/0!</v>
      </c>
      <c r="AK843" s="187" t="e">
        <f t="shared" ca="1" si="451"/>
        <v>#DIV/0!</v>
      </c>
      <c r="AL843" s="187" t="e">
        <f t="shared" ca="1" si="451"/>
        <v>#DIV/0!</v>
      </c>
      <c r="AM843" s="269" t="e">
        <f t="shared" ca="1" si="451"/>
        <v>#DIV/0!</v>
      </c>
      <c r="AN843" s="297" t="e">
        <f t="shared" ca="1" si="451"/>
        <v>#DIV/0!</v>
      </c>
      <c r="AO843" s="286" t="e">
        <f t="shared" ca="1" si="451"/>
        <v>#DIV/0!</v>
      </c>
      <c r="AP843" s="189" t="e">
        <f ca="1">SUM(R843:AO843)</f>
        <v>#DIV/0!</v>
      </c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</row>
    <row r="844" spans="1:98" ht="18.600000000000001" hidden="1" x14ac:dyDescent="0.4">
      <c r="A844" s="667" t="s">
        <v>586</v>
      </c>
      <c r="B844" s="589"/>
      <c r="C844" s="589"/>
      <c r="D844" s="589"/>
      <c r="E844" s="589"/>
      <c r="F844" s="589"/>
      <c r="G844" s="589"/>
      <c r="H844" s="589"/>
      <c r="I844" s="589"/>
      <c r="J844" s="201" t="s">
        <v>575</v>
      </c>
      <c r="K844" s="43">
        <f>(K840*K842)/100</f>
        <v>271.36473799481087</v>
      </c>
      <c r="L844" s="106" t="s">
        <v>569</v>
      </c>
      <c r="M844" s="109"/>
      <c r="N844" s="819"/>
      <c r="O844" s="822"/>
      <c r="P844" s="177" t="s">
        <v>529</v>
      </c>
      <c r="Q844" s="178" t="s">
        <v>945</v>
      </c>
      <c r="R844" s="187">
        <f t="shared" ref="R844:AC844" si="452">IF($O$617=1,(1/1000)*(0.34*A$641)*($K$183-R836)*O$366*R840,0)</f>
        <v>0</v>
      </c>
      <c r="S844" s="187">
        <f t="shared" si="452"/>
        <v>0</v>
      </c>
      <c r="T844" s="187">
        <f t="shared" si="452"/>
        <v>0</v>
      </c>
      <c r="U844" s="187">
        <f t="shared" si="452"/>
        <v>0</v>
      </c>
      <c r="V844" s="187">
        <f t="shared" si="452"/>
        <v>0</v>
      </c>
      <c r="W844" s="187">
        <f t="shared" si="452"/>
        <v>0</v>
      </c>
      <c r="X844" s="187">
        <f t="shared" si="452"/>
        <v>0</v>
      </c>
      <c r="Y844" s="187">
        <f t="shared" si="452"/>
        <v>0</v>
      </c>
      <c r="Z844" s="187">
        <f t="shared" si="452"/>
        <v>0</v>
      </c>
      <c r="AA844" s="187">
        <f t="shared" si="452"/>
        <v>0</v>
      </c>
      <c r="AB844" s="187">
        <f t="shared" si="452"/>
        <v>0</v>
      </c>
      <c r="AC844" s="187">
        <f t="shared" si="452"/>
        <v>0</v>
      </c>
      <c r="AD844" s="187">
        <f t="shared" ref="AD844:AO844" si="453">IF($O$617=1,(1/1000)*(0.34*N$641)*($K$183-AD836)*AA$366*AD840,0)</f>
        <v>0</v>
      </c>
      <c r="AE844" s="187">
        <f t="shared" si="453"/>
        <v>0</v>
      </c>
      <c r="AF844" s="187">
        <f t="shared" si="453"/>
        <v>0</v>
      </c>
      <c r="AG844" s="187">
        <f t="shared" si="453"/>
        <v>0</v>
      </c>
      <c r="AH844" s="187">
        <f t="shared" si="453"/>
        <v>0</v>
      </c>
      <c r="AI844" s="187">
        <f t="shared" si="453"/>
        <v>0</v>
      </c>
      <c r="AJ844" s="187">
        <f t="shared" si="453"/>
        <v>0</v>
      </c>
      <c r="AK844" s="187">
        <f t="shared" si="453"/>
        <v>0</v>
      </c>
      <c r="AL844" s="187">
        <f t="shared" si="453"/>
        <v>0</v>
      </c>
      <c r="AM844" s="269">
        <f t="shared" si="453"/>
        <v>0</v>
      </c>
      <c r="AN844" s="297">
        <f t="shared" si="453"/>
        <v>0</v>
      </c>
      <c r="AO844" s="286">
        <f t="shared" si="453"/>
        <v>0</v>
      </c>
      <c r="AP844" s="189">
        <f>SUM(R844:AO844)</f>
        <v>0</v>
      </c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</row>
    <row r="845" spans="1:98" ht="18.600000000000001" hidden="1" x14ac:dyDescent="0.4">
      <c r="A845" s="667" t="s">
        <v>587</v>
      </c>
      <c r="B845" s="589"/>
      <c r="C845" s="589"/>
      <c r="D845" s="589"/>
      <c r="E845" s="589"/>
      <c r="F845" s="589"/>
      <c r="G845" s="589"/>
      <c r="H845" s="589"/>
      <c r="I845" s="589"/>
      <c r="J845" s="201" t="s">
        <v>576</v>
      </c>
      <c r="K845" s="43">
        <f>(K841*K843)/100</f>
        <v>1314.3858242326432</v>
      </c>
      <c r="L845" s="106" t="s">
        <v>569</v>
      </c>
      <c r="M845" s="109"/>
      <c r="N845" s="819"/>
      <c r="O845" s="822"/>
      <c r="P845" s="174" t="s">
        <v>530</v>
      </c>
      <c r="Q845" s="175" t="s">
        <v>945</v>
      </c>
      <c r="R845" s="186">
        <f t="shared" ref="R845:AO845" si="454">(1/1000)*($L$697+$L$698)*O$236</f>
        <v>27.84</v>
      </c>
      <c r="S845" s="186">
        <f t="shared" si="454"/>
        <v>27.84</v>
      </c>
      <c r="T845" s="186">
        <f t="shared" si="454"/>
        <v>27.84</v>
      </c>
      <c r="U845" s="186">
        <f t="shared" si="454"/>
        <v>27.84</v>
      </c>
      <c r="V845" s="186">
        <f t="shared" si="454"/>
        <v>27.84</v>
      </c>
      <c r="W845" s="186">
        <f t="shared" si="454"/>
        <v>27.84</v>
      </c>
      <c r="X845" s="186">
        <f t="shared" si="454"/>
        <v>27.84</v>
      </c>
      <c r="Y845" s="186">
        <f t="shared" si="454"/>
        <v>27.84</v>
      </c>
      <c r="Z845" s="186">
        <f t="shared" si="454"/>
        <v>27.84</v>
      </c>
      <c r="AA845" s="186">
        <f t="shared" si="454"/>
        <v>27.84</v>
      </c>
      <c r="AB845" s="186">
        <f t="shared" si="454"/>
        <v>27.84</v>
      </c>
      <c r="AC845" s="186">
        <f t="shared" si="454"/>
        <v>27.84</v>
      </c>
      <c r="AD845" s="186">
        <f t="shared" si="454"/>
        <v>27.84</v>
      </c>
      <c r="AE845" s="186">
        <f t="shared" si="454"/>
        <v>27.84</v>
      </c>
      <c r="AF845" s="186">
        <f t="shared" si="454"/>
        <v>27.84</v>
      </c>
      <c r="AG845" s="186">
        <f t="shared" si="454"/>
        <v>27.84</v>
      </c>
      <c r="AH845" s="186">
        <f t="shared" si="454"/>
        <v>27.84</v>
      </c>
      <c r="AI845" s="186">
        <f t="shared" si="454"/>
        <v>27.84</v>
      </c>
      <c r="AJ845" s="186">
        <f t="shared" si="454"/>
        <v>27.84</v>
      </c>
      <c r="AK845" s="186">
        <f t="shared" si="454"/>
        <v>27.84</v>
      </c>
      <c r="AL845" s="186">
        <f t="shared" si="454"/>
        <v>27.84</v>
      </c>
      <c r="AM845" s="268">
        <f t="shared" si="454"/>
        <v>27.84</v>
      </c>
      <c r="AN845" s="209">
        <f t="shared" si="454"/>
        <v>27.84</v>
      </c>
      <c r="AO845" s="285">
        <f t="shared" si="454"/>
        <v>27.84</v>
      </c>
      <c r="AP845" s="189">
        <f>SUM(R845:AO845)</f>
        <v>668.16</v>
      </c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</row>
    <row r="846" spans="1:98" ht="18.600000000000001" hidden="1" x14ac:dyDescent="0.4">
      <c r="A846" s="667" t="s">
        <v>585</v>
      </c>
      <c r="B846" s="589"/>
      <c r="C846" s="589"/>
      <c r="D846" s="589"/>
      <c r="E846" s="589"/>
      <c r="F846" s="589"/>
      <c r="G846" s="589"/>
      <c r="H846" s="589"/>
      <c r="I846" s="589"/>
      <c r="J846" s="45" t="s">
        <v>589</v>
      </c>
      <c r="K846" s="43">
        <f>0.62198*K844/(101325-K844)</f>
        <v>1.6702361998200449E-3</v>
      </c>
      <c r="L846" s="106" t="s">
        <v>588</v>
      </c>
      <c r="M846" s="109"/>
      <c r="N846" s="819"/>
      <c r="O846" s="822"/>
      <c r="P846" s="173" t="s">
        <v>532</v>
      </c>
      <c r="Q846" s="173"/>
      <c r="R846" s="196">
        <f ca="1">(2.71828^(77.345+0.0057*(273.15+R836)-7235/(273.15+R836)))/((273.15+R836)^8.2)</f>
        <v>1733.1809089027174</v>
      </c>
      <c r="S846" s="196">
        <f t="shared" ref="S846:AO846" ca="1" si="455">(2.71828^(77.345+0.0057*(273.15+S836)-7235/(273.15+S836)))/((273.15+S836)^8.2)</f>
        <v>1755.5704705952528</v>
      </c>
      <c r="T846" s="196">
        <f t="shared" ca="1" si="455"/>
        <v>1722.0804122019979</v>
      </c>
      <c r="U846" s="196">
        <f t="shared" ca="1" si="455"/>
        <v>1667.5088092164121</v>
      </c>
      <c r="V846" s="196">
        <f t="shared" ca="1" si="455"/>
        <v>1667.5088092164121</v>
      </c>
      <c r="W846" s="196">
        <f t="shared" ca="1" si="455"/>
        <v>1656.7785896009109</v>
      </c>
      <c r="X846" s="196">
        <f t="shared" ca="1" si="455"/>
        <v>1755.5704705952528</v>
      </c>
      <c r="Y846" s="196">
        <f t="shared" ca="1" si="455"/>
        <v>1895.3157758248374</v>
      </c>
      <c r="Z846" s="196">
        <f t="shared" ca="1" si="455"/>
        <v>2109.9585069744589</v>
      </c>
      <c r="AA846" s="196">
        <f t="shared" ca="1" si="455"/>
        <v>2345.6027659619772</v>
      </c>
      <c r="AB846" s="196">
        <f t="shared" ca="1" si="455"/>
        <v>2603.961150476101</v>
      </c>
      <c r="AC846" s="196">
        <f t="shared" ca="1" si="455"/>
        <v>2635.932965205317</v>
      </c>
      <c r="AD846" s="196">
        <f t="shared" ca="1" si="455"/>
        <v>2767.276583185896</v>
      </c>
      <c r="AE846" s="196">
        <f t="shared" ca="1" si="455"/>
        <v>2817.9841248107555</v>
      </c>
      <c r="AF846" s="196">
        <f t="shared" ca="1" si="455"/>
        <v>2750.5521114588023</v>
      </c>
      <c r="AG846" s="196">
        <f t="shared" ca="1" si="455"/>
        <v>2668.24731491594</v>
      </c>
      <c r="AH846" s="196">
        <f t="shared" ca="1" si="455"/>
        <v>2525.5101240078739</v>
      </c>
      <c r="AI846" s="196">
        <f t="shared" ca="1" si="455"/>
        <v>2404.2838213449604</v>
      </c>
      <c r="AJ846" s="196">
        <f t="shared" ca="1" si="455"/>
        <v>2218.1317330838101</v>
      </c>
      <c r="AK846" s="196">
        <f t="shared" ca="1" si="455"/>
        <v>2044.72216711187</v>
      </c>
      <c r="AL846" s="196">
        <f t="shared" ca="1" si="455"/>
        <v>1968.776912633987</v>
      </c>
      <c r="AM846" s="267">
        <f t="shared" ca="1" si="455"/>
        <v>1871.3687450820678</v>
      </c>
      <c r="AN846" s="295">
        <f t="shared" ca="1" si="455"/>
        <v>1871.3687450820678</v>
      </c>
      <c r="AO846" s="284">
        <f t="shared" ca="1" si="455"/>
        <v>1778.2134693714202</v>
      </c>
      <c r="AP846" s="189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</row>
    <row r="847" spans="1:98" ht="18.600000000000001" hidden="1" x14ac:dyDescent="0.4">
      <c r="A847" s="667" t="s">
        <v>590</v>
      </c>
      <c r="B847" s="589"/>
      <c r="C847" s="589"/>
      <c r="D847" s="589"/>
      <c r="E847" s="589"/>
      <c r="F847" s="589"/>
      <c r="G847" s="589"/>
      <c r="H847" s="589"/>
      <c r="I847" s="589"/>
      <c r="J847" s="45" t="s">
        <v>591</v>
      </c>
      <c r="K847" s="43">
        <f>0.62198*K845/(101325-K845)</f>
        <v>8.174349309758619E-3</v>
      </c>
      <c r="L847" s="106" t="s">
        <v>588</v>
      </c>
      <c r="M847" s="109"/>
      <c r="N847" s="819"/>
      <c r="O847" s="822"/>
      <c r="P847" s="173" t="s">
        <v>533</v>
      </c>
      <c r="Q847" s="173"/>
      <c r="R847" s="196">
        <f ca="1">0.62198*(R837*R846/100)/(101325-(R837*R846/100))</f>
        <v>8.629341798616897E-3</v>
      </c>
      <c r="S847" s="196">
        <f t="shared" ref="S847:AO847" ca="1" si="456">0.62198*(S837*S846/100)/(101325-(S837*S846/100))</f>
        <v>8.6315878091148789E-3</v>
      </c>
      <c r="T847" s="196">
        <f t="shared" ca="1" si="456"/>
        <v>8.5733116753834021E-3</v>
      </c>
      <c r="U847" s="196">
        <f t="shared" ca="1" si="456"/>
        <v>8.4031308496151577E-3</v>
      </c>
      <c r="V847" s="196">
        <f t="shared" ca="1" si="456"/>
        <v>8.2980044384421865E-3</v>
      </c>
      <c r="W847" s="196">
        <f t="shared" ca="1" si="456"/>
        <v>8.2439000383984461E-3</v>
      </c>
      <c r="X847" s="196">
        <f t="shared" ca="1" si="456"/>
        <v>8.5208303855746036E-3</v>
      </c>
      <c r="Y847" s="196">
        <f t="shared" ca="1" si="456"/>
        <v>8.6106382519561958E-3</v>
      </c>
      <c r="Z847" s="196">
        <f t="shared" ca="1" si="456"/>
        <v>8.8005619994339004E-3</v>
      </c>
      <c r="AA847" s="196">
        <f t="shared" ca="1" si="456"/>
        <v>8.908826965730551E-3</v>
      </c>
      <c r="AB847" s="196">
        <f t="shared" ca="1" si="456"/>
        <v>9.4111868778894783E-3</v>
      </c>
      <c r="AC847" s="196">
        <f t="shared" ca="1" si="456"/>
        <v>9.195082314551184E-3</v>
      </c>
      <c r="AD847" s="196">
        <f t="shared" ca="1" si="456"/>
        <v>9.4852349045751443E-3</v>
      </c>
      <c r="AE847" s="196">
        <f t="shared" ca="1" si="456"/>
        <v>9.8401893657624525E-3</v>
      </c>
      <c r="AF847" s="196">
        <f t="shared" ca="1" si="456"/>
        <v>9.4270405398546048E-3</v>
      </c>
      <c r="AG847" s="196">
        <f t="shared" ca="1" si="456"/>
        <v>9.6471324160509863E-3</v>
      </c>
      <c r="AH847" s="196">
        <f t="shared" ca="1" si="456"/>
        <v>9.9225468147166405E-3</v>
      </c>
      <c r="AI847" s="196">
        <f t="shared" ca="1" si="456"/>
        <v>9.5911656028785288E-3</v>
      </c>
      <c r="AJ847" s="196">
        <f t="shared" ca="1" si="456"/>
        <v>9.398738980893287E-3</v>
      </c>
      <c r="AK847" s="196">
        <f t="shared" ca="1" si="456"/>
        <v>9.2995573884511948E-3</v>
      </c>
      <c r="AL847" s="196">
        <f t="shared" ca="1" si="456"/>
        <v>9.0735625621491435E-3</v>
      </c>
      <c r="AM847" s="267">
        <f t="shared" ca="1" si="456"/>
        <v>9.0910834158901433E-3</v>
      </c>
      <c r="AN847" s="295">
        <f t="shared" ca="1" si="456"/>
        <v>8.9728496490435496E-3</v>
      </c>
      <c r="AO847" s="284">
        <f t="shared" ca="1" si="456"/>
        <v>8.7444814909960963E-3</v>
      </c>
      <c r="AP847" s="189"/>
      <c r="AS847" s="206" t="s">
        <v>594</v>
      </c>
      <c r="AT847" s="43">
        <f ca="1">1.006*(R836)+R847*(1.805*(R836)+2501)</f>
        <v>37.212096056122363</v>
      </c>
      <c r="AU847" s="43">
        <f t="shared" ref="AU847:BQ847" ca="1" si="457">1.006*(S836)+S847*(1.805*(S836)+2501)</f>
        <v>37.422091358525819</v>
      </c>
      <c r="AV847" s="43">
        <f t="shared" ca="1" si="457"/>
        <v>36.968269879259708</v>
      </c>
      <c r="AW847" s="43">
        <f t="shared" ca="1" si="457"/>
        <v>36.027394727285774</v>
      </c>
      <c r="AX847" s="43">
        <f t="shared" ca="1" si="457"/>
        <v>35.761684201311311</v>
      </c>
      <c r="AY847" s="43">
        <f t="shared" ca="1" si="457"/>
        <v>35.522845493746431</v>
      </c>
      <c r="AZ847" s="43">
        <f t="shared" ca="1" si="457"/>
        <v>37.1419883264345</v>
      </c>
      <c r="BA847" s="43">
        <f t="shared" ca="1" si="457"/>
        <v>38.594961042290294</v>
      </c>
      <c r="BB847" s="43">
        <f t="shared" ca="1" si="457"/>
        <v>40.812889825709377</v>
      </c>
      <c r="BC847" s="43">
        <f t="shared" ca="1" si="457"/>
        <v>42.824792938022298</v>
      </c>
      <c r="BD847" s="43">
        <f t="shared" ca="1" si="457"/>
        <v>45.838499174059663</v>
      </c>
      <c r="BE847" s="43">
        <f t="shared" ca="1" si="457"/>
        <v>45.494037587403341</v>
      </c>
      <c r="BF847" s="43">
        <f t="shared" ca="1" si="457"/>
        <v>47.049727853605319</v>
      </c>
      <c r="BG847" s="43">
        <f t="shared" ca="1" si="457"/>
        <v>48.259205219472037</v>
      </c>
      <c r="BH847" s="43">
        <f t="shared" ca="1" si="457"/>
        <v>46.799487235736095</v>
      </c>
      <c r="BI847" s="43">
        <f t="shared" ca="1" si="457"/>
        <v>46.847248415587089</v>
      </c>
      <c r="BJ847" s="43">
        <f t="shared" ca="1" si="457"/>
        <v>46.625576779718322</v>
      </c>
      <c r="BK847" s="43">
        <f t="shared" ca="1" si="457"/>
        <v>44.965402278019717</v>
      </c>
      <c r="BL847" s="43">
        <f t="shared" ca="1" si="457"/>
        <v>43.147168889335944</v>
      </c>
      <c r="BM847" s="43">
        <f t="shared" ca="1" si="457"/>
        <v>41.566057077958597</v>
      </c>
      <c r="BN847" s="43">
        <f t="shared" ca="1" si="457"/>
        <v>40.380115569281962</v>
      </c>
      <c r="BO847" s="43">
        <f t="shared" ca="1" si="457"/>
        <v>39.606554814974999</v>
      </c>
      <c r="BP847" s="43">
        <f t="shared" ca="1" si="457"/>
        <v>39.307330866930556</v>
      </c>
      <c r="BQ847" s="43">
        <f t="shared" ca="1" si="457"/>
        <v>37.911953697713827</v>
      </c>
    </row>
    <row r="848" spans="1:98" ht="18.600000000000001" x14ac:dyDescent="0.4">
      <c r="A848" s="667" t="s">
        <v>592</v>
      </c>
      <c r="B848" s="589"/>
      <c r="C848" s="589"/>
      <c r="D848" s="589"/>
      <c r="E848" s="589"/>
      <c r="F848" s="589"/>
      <c r="G848" s="589"/>
      <c r="H848" s="589"/>
      <c r="I848" s="589"/>
      <c r="J848" s="45" t="s">
        <v>594</v>
      </c>
      <c r="K848" s="43">
        <f>1.006*(K838)+K846*(1.84*(K838)+2501)</f>
        <v>-5.9134716103267575</v>
      </c>
      <c r="L848" s="106" t="s">
        <v>595</v>
      </c>
      <c r="M848" s="109"/>
      <c r="N848" s="819"/>
      <c r="O848" s="822"/>
      <c r="P848" s="176" t="s">
        <v>534</v>
      </c>
      <c r="Q848" s="176"/>
      <c r="R848" s="186">
        <f t="shared" ref="R848:AO848" ca="1" si="458">((0.3*(0.8*$F$25-$K$187)*(R847+$AR$784)*(101325/(286.9*(273.15+R836)))*2501)/3600)*O$210</f>
        <v>0</v>
      </c>
      <c r="S848" s="186">
        <f t="shared" ca="1" si="458"/>
        <v>0</v>
      </c>
      <c r="T848" s="186">
        <f t="shared" ca="1" si="458"/>
        <v>0</v>
      </c>
      <c r="U848" s="186">
        <f t="shared" ca="1" si="458"/>
        <v>0</v>
      </c>
      <c r="V848" s="186">
        <f t="shared" ca="1" si="458"/>
        <v>0</v>
      </c>
      <c r="W848" s="186">
        <f t="shared" ca="1" si="458"/>
        <v>0</v>
      </c>
      <c r="X848" s="186">
        <f t="shared" ca="1" si="458"/>
        <v>0</v>
      </c>
      <c r="Y848" s="186">
        <f t="shared" ca="1" si="458"/>
        <v>0</v>
      </c>
      <c r="Z848" s="186">
        <f t="shared" ca="1" si="458"/>
        <v>0</v>
      </c>
      <c r="AA848" s="186">
        <f t="shared" ca="1" si="458"/>
        <v>0</v>
      </c>
      <c r="AB848" s="186">
        <f t="shared" ca="1" si="458"/>
        <v>0</v>
      </c>
      <c r="AC848" s="186">
        <f t="shared" ca="1" si="458"/>
        <v>0</v>
      </c>
      <c r="AD848" s="186">
        <f t="shared" ca="1" si="458"/>
        <v>0</v>
      </c>
      <c r="AE848" s="186">
        <f t="shared" ca="1" si="458"/>
        <v>0</v>
      </c>
      <c r="AF848" s="186">
        <f t="shared" ca="1" si="458"/>
        <v>0</v>
      </c>
      <c r="AG848" s="186">
        <f t="shared" ca="1" si="458"/>
        <v>0</v>
      </c>
      <c r="AH848" s="186">
        <f t="shared" ca="1" si="458"/>
        <v>0</v>
      </c>
      <c r="AI848" s="186">
        <f t="shared" ca="1" si="458"/>
        <v>0</v>
      </c>
      <c r="AJ848" s="186">
        <f t="shared" ca="1" si="458"/>
        <v>0</v>
      </c>
      <c r="AK848" s="186">
        <f t="shared" ca="1" si="458"/>
        <v>0</v>
      </c>
      <c r="AL848" s="186">
        <f t="shared" ca="1" si="458"/>
        <v>0</v>
      </c>
      <c r="AM848" s="268">
        <f t="shared" ca="1" si="458"/>
        <v>0</v>
      </c>
      <c r="AN848" s="209">
        <f t="shared" ca="1" si="458"/>
        <v>0</v>
      </c>
      <c r="AO848" s="285">
        <f t="shared" ca="1" si="458"/>
        <v>0</v>
      </c>
      <c r="AP848" s="189">
        <f>IF($K$198=0,0,SUM(R848:AO848))</f>
        <v>0</v>
      </c>
      <c r="AT848" s="43">
        <f t="shared" ref="AT848:BQ848" ca="1" si="459">($K$870*AT847-$K$871*$K$868)</f>
        <v>-8.2818655016893032</v>
      </c>
      <c r="AU848" s="43">
        <f t="shared" ca="1" si="459"/>
        <v>-8.0362882286068142</v>
      </c>
      <c r="AV848" s="43">
        <f t="shared" ca="1" si="459"/>
        <v>-8.5670060116661375</v>
      </c>
      <c r="AW848" s="43">
        <f t="shared" ca="1" si="459"/>
        <v>-9.6673046921047785</v>
      </c>
      <c r="AX848" s="43">
        <f t="shared" ca="1" si="459"/>
        <v>-9.9780376735157432</v>
      </c>
      <c r="AY848" s="43">
        <f t="shared" ca="1" si="459"/>
        <v>-10.257345628689151</v>
      </c>
      <c r="AZ848" s="43">
        <f t="shared" ca="1" si="459"/>
        <v>-8.3638524074995715</v>
      </c>
      <c r="BA848" s="43">
        <f t="shared" ca="1" si="459"/>
        <v>-6.6646854578618502</v>
      </c>
      <c r="BB848" s="43">
        <f t="shared" ca="1" si="459"/>
        <v>-4.0709469490033428</v>
      </c>
      <c r="BC848" s="43">
        <f t="shared" ca="1" si="459"/>
        <v>-1.7181434606722661</v>
      </c>
      <c r="BD848" s="43">
        <f t="shared" ca="1" si="459"/>
        <v>1.8062104217581165</v>
      </c>
      <c r="BE848" s="43">
        <f t="shared" ca="1" si="459"/>
        <v>1.4033826624485002</v>
      </c>
      <c r="BF848" s="43">
        <f t="shared" ca="1" si="459"/>
        <v>3.2226718035020383</v>
      </c>
      <c r="BG848" s="43">
        <f t="shared" ca="1" si="459"/>
        <v>4.6370851259195689</v>
      </c>
      <c r="BH848" s="43">
        <f t="shared" ca="1" si="459"/>
        <v>2.9300299784352362</v>
      </c>
      <c r="BI848" s="43">
        <f t="shared" ca="1" si="459"/>
        <v>2.9858838959884721</v>
      </c>
      <c r="BJ848" s="43">
        <f t="shared" ca="1" si="459"/>
        <v>2.7266518311120933</v>
      </c>
      <c r="BK848" s="43">
        <f t="shared" ca="1" si="459"/>
        <v>0.78517446327587948</v>
      </c>
      <c r="BL848" s="43">
        <f t="shared" ca="1" si="459"/>
        <v>-1.341143565318049</v>
      </c>
      <c r="BM848" s="43">
        <f t="shared" ca="1" si="459"/>
        <v>-3.190161722546037</v>
      </c>
      <c r="BN848" s="43">
        <f t="shared" ca="1" si="459"/>
        <v>-4.5770512310389364</v>
      </c>
      <c r="BO848" s="43">
        <f t="shared" ca="1" si="459"/>
        <v>-5.481685470148534</v>
      </c>
      <c r="BP848" s="43">
        <f t="shared" ca="1" si="459"/>
        <v>-5.8316104463775389</v>
      </c>
      <c r="BQ848" s="43">
        <f t="shared" ca="1" si="459"/>
        <v>-7.4634227593951437</v>
      </c>
    </row>
    <row r="849" spans="1:73" ht="19.2" thickBot="1" x14ac:dyDescent="0.45">
      <c r="A849" s="667" t="s">
        <v>593</v>
      </c>
      <c r="B849" s="589"/>
      <c r="C849" s="589"/>
      <c r="D849" s="589"/>
      <c r="E849" s="589"/>
      <c r="F849" s="589"/>
      <c r="G849" s="589"/>
      <c r="H849" s="589"/>
      <c r="I849" s="589"/>
      <c r="J849" s="45" t="s">
        <v>596</v>
      </c>
      <c r="K849" s="43">
        <f>1.006*(K839)+K847*(1.805*(K839)+2501)</f>
        <v>39.838386933284482</v>
      </c>
      <c r="L849" s="106" t="s">
        <v>595</v>
      </c>
      <c r="M849" s="109"/>
      <c r="N849" s="820"/>
      <c r="O849" s="823"/>
      <c r="P849" s="185" t="s">
        <v>535</v>
      </c>
      <c r="Q849" s="185"/>
      <c r="R849" s="197" t="e">
        <f t="shared" ref="R849:AO849" ca="1" si="460">((0.3*(A$641)*(R847+$AR$784)*(101325/(286.9*(273.15+R836)))*2501)/3600)*O$366</f>
        <v>#DIV/0!</v>
      </c>
      <c r="S849" s="197" t="e">
        <f t="shared" ca="1" si="460"/>
        <v>#DIV/0!</v>
      </c>
      <c r="T849" s="197" t="e">
        <f t="shared" ca="1" si="460"/>
        <v>#DIV/0!</v>
      </c>
      <c r="U849" s="197" t="e">
        <f t="shared" ca="1" si="460"/>
        <v>#DIV/0!</v>
      </c>
      <c r="V849" s="197" t="e">
        <f t="shared" ca="1" si="460"/>
        <v>#DIV/0!</v>
      </c>
      <c r="W849" s="197" t="e">
        <f t="shared" ca="1" si="460"/>
        <v>#DIV/0!</v>
      </c>
      <c r="X849" s="197" t="e">
        <f t="shared" ca="1" si="460"/>
        <v>#DIV/0!</v>
      </c>
      <c r="Y849" s="197" t="e">
        <f t="shared" ca="1" si="460"/>
        <v>#DIV/0!</v>
      </c>
      <c r="Z849" s="197" t="e">
        <f t="shared" ca="1" si="460"/>
        <v>#DIV/0!</v>
      </c>
      <c r="AA849" s="197" t="e">
        <f t="shared" ca="1" si="460"/>
        <v>#DIV/0!</v>
      </c>
      <c r="AB849" s="197" t="e">
        <f t="shared" ca="1" si="460"/>
        <v>#DIV/0!</v>
      </c>
      <c r="AC849" s="197" t="e">
        <f t="shared" ca="1" si="460"/>
        <v>#DIV/0!</v>
      </c>
      <c r="AD849" s="197">
        <f t="shared" ca="1" si="460"/>
        <v>0</v>
      </c>
      <c r="AE849" s="197" t="e">
        <f t="shared" ca="1" si="460"/>
        <v>#DIV/0!</v>
      </c>
      <c r="AF849" s="197" t="e">
        <f t="shared" ca="1" si="460"/>
        <v>#DIV/0!</v>
      </c>
      <c r="AG849" s="197" t="e">
        <f t="shared" ca="1" si="460"/>
        <v>#DIV/0!</v>
      </c>
      <c r="AH849" s="197" t="e">
        <f t="shared" ca="1" si="460"/>
        <v>#DIV/0!</v>
      </c>
      <c r="AI849" s="197" t="e">
        <f t="shared" ca="1" si="460"/>
        <v>#DIV/0!</v>
      </c>
      <c r="AJ849" s="197" t="e">
        <f t="shared" ca="1" si="460"/>
        <v>#DIV/0!</v>
      </c>
      <c r="AK849" s="197" t="e">
        <f t="shared" ca="1" si="460"/>
        <v>#DIV/0!</v>
      </c>
      <c r="AL849" s="197" t="e">
        <f t="shared" ca="1" si="460"/>
        <v>#DIV/0!</v>
      </c>
      <c r="AM849" s="270" t="e">
        <f t="shared" ca="1" si="460"/>
        <v>#DIV/0!</v>
      </c>
      <c r="AN849" s="209" t="e">
        <f t="shared" ca="1" si="460"/>
        <v>#DIV/0!</v>
      </c>
      <c r="AO849" s="287" t="e">
        <f t="shared" ca="1" si="460"/>
        <v>#DIV/0!</v>
      </c>
      <c r="AP849" s="189">
        <f>IF($K$198=0,0,SUM(R849:AO849))</f>
        <v>0</v>
      </c>
      <c r="AT849" s="43">
        <f t="shared" ref="AT849:BQ849" ca="1" si="461">IF(AT848*O366&lt;0,0,AT848*O366)</f>
        <v>0</v>
      </c>
      <c r="AU849" s="43">
        <f t="shared" ca="1" si="461"/>
        <v>0</v>
      </c>
      <c r="AV849" s="43">
        <f t="shared" ca="1" si="461"/>
        <v>0</v>
      </c>
      <c r="AW849" s="43">
        <f t="shared" ca="1" si="461"/>
        <v>0</v>
      </c>
      <c r="AX849" s="43">
        <f t="shared" ca="1" si="461"/>
        <v>0</v>
      </c>
      <c r="AY849" s="43">
        <f t="shared" ca="1" si="461"/>
        <v>0</v>
      </c>
      <c r="AZ849" s="43">
        <f t="shared" ca="1" si="461"/>
        <v>0</v>
      </c>
      <c r="BA849" s="43">
        <f t="shared" ca="1" si="461"/>
        <v>0</v>
      </c>
      <c r="BB849" s="43">
        <f t="shared" ca="1" si="461"/>
        <v>0</v>
      </c>
      <c r="BC849" s="43">
        <f t="shared" ca="1" si="461"/>
        <v>0</v>
      </c>
      <c r="BD849" s="43">
        <f t="shared" ca="1" si="461"/>
        <v>0</v>
      </c>
      <c r="BE849" s="43">
        <f t="shared" ca="1" si="461"/>
        <v>0</v>
      </c>
      <c r="BF849" s="43">
        <f t="shared" ca="1" si="461"/>
        <v>0</v>
      </c>
      <c r="BG849" s="43">
        <f t="shared" ca="1" si="461"/>
        <v>0</v>
      </c>
      <c r="BH849" s="43">
        <f t="shared" ca="1" si="461"/>
        <v>0</v>
      </c>
      <c r="BI849" s="43">
        <f t="shared" ca="1" si="461"/>
        <v>0</v>
      </c>
      <c r="BJ849" s="43">
        <f t="shared" ca="1" si="461"/>
        <v>0</v>
      </c>
      <c r="BK849" s="43">
        <f t="shared" ca="1" si="461"/>
        <v>0</v>
      </c>
      <c r="BL849" s="43">
        <f t="shared" ca="1" si="461"/>
        <v>0</v>
      </c>
      <c r="BM849" s="43">
        <f t="shared" ca="1" si="461"/>
        <v>0</v>
      </c>
      <c r="BN849" s="43">
        <f t="shared" ca="1" si="461"/>
        <v>0</v>
      </c>
      <c r="BO849" s="43">
        <f t="shared" ca="1" si="461"/>
        <v>0</v>
      </c>
      <c r="BP849" s="43">
        <f t="shared" ca="1" si="461"/>
        <v>0</v>
      </c>
      <c r="BQ849" s="43">
        <f t="shared" ca="1" si="461"/>
        <v>0</v>
      </c>
    </row>
    <row r="850" spans="1:73" ht="18.600000000000001" hidden="1" x14ac:dyDescent="0.4">
      <c r="A850" s="667" t="s">
        <v>1105</v>
      </c>
      <c r="B850" s="589"/>
      <c r="C850" s="589"/>
      <c r="D850" s="589"/>
      <c r="E850" s="589"/>
      <c r="F850" s="589"/>
      <c r="G850" s="589"/>
      <c r="H850" s="589"/>
      <c r="I850" s="589"/>
      <c r="J850" s="45" t="s">
        <v>1106</v>
      </c>
      <c r="K850" s="43">
        <v>101325</v>
      </c>
      <c r="L850" s="106" t="s">
        <v>1098</v>
      </c>
      <c r="M850" s="109"/>
      <c r="N850" s="207"/>
      <c r="O850" s="207"/>
      <c r="P850" s="208"/>
      <c r="Q850" s="208"/>
      <c r="R850" s="209"/>
      <c r="S850" s="209"/>
      <c r="T850" s="209"/>
      <c r="U850" s="209"/>
      <c r="V850" s="209"/>
      <c r="W850" s="209"/>
      <c r="X850" s="209"/>
      <c r="Y850" s="209"/>
      <c r="Z850" s="209"/>
      <c r="AA850" s="209"/>
      <c r="AB850" s="209"/>
      <c r="AC850" s="209"/>
      <c r="AD850" s="209"/>
      <c r="AE850" s="209"/>
      <c r="AF850" s="209"/>
      <c r="AG850" s="209"/>
      <c r="AH850" s="209"/>
      <c r="AI850" s="209"/>
      <c r="AJ850" s="209"/>
      <c r="AK850" s="209"/>
      <c r="AL850" s="209"/>
      <c r="AM850" s="209"/>
      <c r="AN850" s="209"/>
      <c r="AO850" s="209"/>
      <c r="AP850" s="189"/>
    </row>
    <row r="851" spans="1:73" ht="18.600000000000001" x14ac:dyDescent="0.4">
      <c r="A851" s="667" t="s">
        <v>597</v>
      </c>
      <c r="B851" s="589"/>
      <c r="C851" s="589"/>
      <c r="D851" s="589"/>
      <c r="E851" s="589"/>
      <c r="F851" s="589"/>
      <c r="G851" s="589"/>
      <c r="H851" s="589"/>
      <c r="I851" s="589"/>
      <c r="J851" s="45" t="s">
        <v>599</v>
      </c>
      <c r="K851" s="204">
        <f>K850/(287.05*(273.15+K838))+K844/(461.495*(273.15+K838))</f>
        <v>1.3436264364381505</v>
      </c>
      <c r="L851" s="202" t="s">
        <v>600</v>
      </c>
      <c r="M851" s="320"/>
      <c r="BT851" s="43"/>
      <c r="BU851" s="43"/>
    </row>
    <row r="852" spans="1:73" ht="18.600000000000001" x14ac:dyDescent="0.4">
      <c r="A852" s="667" t="s">
        <v>598</v>
      </c>
      <c r="B852" s="589"/>
      <c r="C852" s="589"/>
      <c r="D852" s="589"/>
      <c r="E852" s="589"/>
      <c r="F852" s="589"/>
      <c r="G852" s="589"/>
      <c r="H852" s="589"/>
      <c r="I852" s="589"/>
      <c r="J852" s="45" t="s">
        <v>601</v>
      </c>
      <c r="K852" s="204">
        <f>K850/(287.05*(273.15+K839))+K845/(461.495*(273.15+K839))</f>
        <v>1.2179886653917396</v>
      </c>
      <c r="L852" s="202" t="s">
        <v>600</v>
      </c>
      <c r="M852" s="320"/>
    </row>
    <row r="853" spans="1:73" x14ac:dyDescent="0.3">
      <c r="O853" s="493" t="s">
        <v>1097</v>
      </c>
      <c r="P853" s="676">
        <v>101325</v>
      </c>
      <c r="Q853" s="589"/>
      <c r="R853" s="491" t="s">
        <v>1098</v>
      </c>
      <c r="AT853" s="929">
        <f ca="1">SUM(AT849:BQ849)</f>
        <v>0</v>
      </c>
      <c r="AU853" s="929"/>
      <c r="AV853" s="929"/>
      <c r="AW853" s="929"/>
      <c r="AX853" s="929"/>
      <c r="AY853" s="929"/>
      <c r="AZ853" s="929"/>
      <c r="BA853" s="929"/>
      <c r="BB853" s="929"/>
      <c r="BC853" s="929"/>
      <c r="BD853" s="929"/>
      <c r="BE853" s="929"/>
      <c r="BF853" s="929"/>
      <c r="BG853" s="929"/>
      <c r="BH853" s="929"/>
      <c r="BI853" s="929"/>
      <c r="BJ853" s="929"/>
      <c r="BK853" s="929"/>
      <c r="BL853" s="929"/>
      <c r="BM853" s="929"/>
      <c r="BN853" s="929"/>
      <c r="BO853" s="929"/>
      <c r="BP853" s="929"/>
      <c r="BQ853" s="929"/>
    </row>
    <row r="854" spans="1:73" x14ac:dyDescent="0.3">
      <c r="N854" s="207"/>
      <c r="O854" s="494" t="s">
        <v>1099</v>
      </c>
      <c r="P854" s="676">
        <v>287.05</v>
      </c>
      <c r="Q854" s="589"/>
      <c r="R854" s="492" t="s">
        <v>1100</v>
      </c>
      <c r="S854" s="209"/>
      <c r="T854" s="209"/>
      <c r="U854" s="209"/>
      <c r="V854" s="209"/>
      <c r="W854" s="209"/>
      <c r="X854" s="209"/>
      <c r="Y854" s="209"/>
      <c r="Z854" s="209"/>
      <c r="AA854" s="209"/>
      <c r="AB854" s="209"/>
      <c r="AC854" s="209"/>
      <c r="AD854" s="209"/>
      <c r="AE854" s="209"/>
      <c r="AF854" s="209"/>
      <c r="AG854" s="209"/>
      <c r="AH854" s="209"/>
      <c r="AI854" s="209"/>
      <c r="AJ854" s="209"/>
      <c r="AK854" s="209"/>
      <c r="AL854" s="209"/>
      <c r="AM854" s="209"/>
      <c r="AN854" s="209"/>
      <c r="AO854" s="209"/>
      <c r="AP854" s="189"/>
    </row>
    <row r="855" spans="1:73" x14ac:dyDescent="0.3">
      <c r="N855" s="207"/>
      <c r="O855" s="494" t="s">
        <v>1101</v>
      </c>
      <c r="P855" s="892">
        <f>K838</f>
        <v>-10</v>
      </c>
      <c r="Q855" s="589"/>
      <c r="R855" s="492" t="s">
        <v>946</v>
      </c>
      <c r="S855" s="209"/>
      <c r="T855" s="209"/>
      <c r="U855" s="209"/>
      <c r="V855" s="209"/>
      <c r="W855" s="209"/>
      <c r="X855" s="209"/>
      <c r="Y855" s="209"/>
      <c r="Z855" s="209"/>
      <c r="AA855" s="209"/>
      <c r="AB855" s="209"/>
      <c r="AC855" s="209"/>
      <c r="AD855" s="209"/>
      <c r="AE855" s="209"/>
      <c r="AF855" s="209"/>
      <c r="AG855" s="209"/>
      <c r="AH855" s="209"/>
      <c r="AI855" s="209"/>
      <c r="AJ855" s="209"/>
      <c r="AK855" s="209"/>
      <c r="AL855" s="209"/>
      <c r="AM855" s="209"/>
      <c r="AN855" s="209"/>
      <c r="AO855" s="209"/>
      <c r="AP855" s="189"/>
      <c r="AS855" s="205" t="s">
        <v>606</v>
      </c>
      <c r="AT855" s="31">
        <f ca="1">(AT853+AT836+AT822+AT804+AT787)</f>
        <v>0</v>
      </c>
    </row>
    <row r="856" spans="1:73" ht="19.8" x14ac:dyDescent="0.4">
      <c r="A856" s="644" t="s">
        <v>602</v>
      </c>
      <c r="B856" s="674"/>
      <c r="C856" s="674"/>
      <c r="D856" s="674"/>
      <c r="E856" s="674"/>
      <c r="F856" s="674"/>
      <c r="G856" s="674"/>
      <c r="I856" s="19" t="s">
        <v>603</v>
      </c>
      <c r="J856" s="665">
        <f ca="1">(1/3600)*((L623*AT765*(1-I216/100))/((I211/100)*(I209/100)*(I208/100)))*1</f>
        <v>0</v>
      </c>
      <c r="K856" s="666"/>
      <c r="L856" s="25" t="s">
        <v>945</v>
      </c>
      <c r="M856" s="329"/>
      <c r="O856" s="493" t="s">
        <v>1102</v>
      </c>
      <c r="P856" s="676">
        <f>K844</f>
        <v>271.36473799481087</v>
      </c>
      <c r="Q856" s="589"/>
      <c r="R856" s="491" t="s">
        <v>1098</v>
      </c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</row>
    <row r="857" spans="1:73" ht="18.600000000000001" x14ac:dyDescent="0.4">
      <c r="A857" s="667" t="s">
        <v>571</v>
      </c>
      <c r="B857" s="589"/>
      <c r="C857" s="589"/>
      <c r="D857" s="589"/>
      <c r="E857" s="589"/>
      <c r="F857" s="589"/>
      <c r="G857" s="589"/>
      <c r="H857" s="589"/>
      <c r="J857" s="45" t="s">
        <v>572</v>
      </c>
      <c r="K857" s="203">
        <f>K179</f>
        <v>34</v>
      </c>
      <c r="L857" s="55" t="s">
        <v>946</v>
      </c>
      <c r="O857" s="493" t="s">
        <v>1103</v>
      </c>
      <c r="P857" s="676">
        <v>461.495</v>
      </c>
      <c r="Q857" s="589"/>
      <c r="R857" s="492" t="s">
        <v>1100</v>
      </c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</row>
    <row r="858" spans="1:73" ht="18.600000000000001" x14ac:dyDescent="0.4">
      <c r="A858" s="667" t="s">
        <v>292</v>
      </c>
      <c r="B858" s="589"/>
      <c r="C858" s="589"/>
      <c r="D858" s="589"/>
      <c r="E858" s="589"/>
      <c r="F858" s="589"/>
      <c r="G858" s="589"/>
      <c r="H858" s="589"/>
      <c r="J858" s="45" t="s">
        <v>573</v>
      </c>
      <c r="K858" s="203">
        <f>L648</f>
        <v>22</v>
      </c>
      <c r="L858" s="55" t="s">
        <v>946</v>
      </c>
      <c r="M858" s="99"/>
      <c r="O858" s="493" t="s">
        <v>1101</v>
      </c>
      <c r="P858" s="892">
        <f>K838</f>
        <v>-10</v>
      </c>
      <c r="Q858" s="589"/>
      <c r="R858" s="491" t="s">
        <v>946</v>
      </c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</row>
    <row r="859" spans="1:73" ht="18.600000000000001" hidden="1" x14ac:dyDescent="0.4">
      <c r="A859" s="667" t="s">
        <v>1111</v>
      </c>
      <c r="B859" s="589"/>
      <c r="C859" s="589"/>
      <c r="D859" s="589"/>
      <c r="E859" s="589"/>
      <c r="F859" s="589"/>
      <c r="G859" s="589"/>
      <c r="H859" s="589"/>
      <c r="J859" s="45" t="s">
        <v>567</v>
      </c>
      <c r="K859" s="81">
        <f>K180</f>
        <v>54</v>
      </c>
      <c r="L859" s="55" t="s">
        <v>1</v>
      </c>
      <c r="M859" s="99"/>
      <c r="O859" s="493"/>
      <c r="P859" s="490"/>
      <c r="Q859" s="14"/>
      <c r="R859" s="49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</row>
    <row r="860" spans="1:73" ht="18.600000000000001" hidden="1" x14ac:dyDescent="0.4">
      <c r="A860" s="667" t="s">
        <v>293</v>
      </c>
      <c r="B860" s="589"/>
      <c r="C860" s="589"/>
      <c r="D860" s="589"/>
      <c r="E860" s="589"/>
      <c r="F860" s="589"/>
      <c r="G860" s="589"/>
      <c r="H860" s="589"/>
      <c r="J860" s="45" t="s">
        <v>568</v>
      </c>
      <c r="K860" s="81">
        <f>K184</f>
        <v>50</v>
      </c>
      <c r="L860" s="55" t="s">
        <v>1</v>
      </c>
      <c r="M860" s="99"/>
      <c r="O860" s="493" t="s">
        <v>1104</v>
      </c>
      <c r="P860" s="676">
        <f>P853/(P854*(273.15+P855))+P856/(P857*(273.15+P858))</f>
        <v>1.3436264364381505</v>
      </c>
      <c r="Q860" s="589"/>
      <c r="R860" s="49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</row>
    <row r="861" spans="1:73" ht="18.600000000000001" hidden="1" x14ac:dyDescent="0.4">
      <c r="A861" s="667" t="s">
        <v>577</v>
      </c>
      <c r="B861" s="589"/>
      <c r="C861" s="589"/>
      <c r="D861" s="589"/>
      <c r="E861" s="589"/>
      <c r="F861" s="589"/>
      <c r="G861" s="589"/>
      <c r="H861" s="589"/>
      <c r="I861" s="589"/>
      <c r="J861" s="201" t="s">
        <v>570</v>
      </c>
      <c r="K861" s="43">
        <f>(2.71828^(77.345+0.0057*(273.15+K857)-7235/(273.15+K857)))/((273.15+K857)^8.2)</f>
        <v>5304.4131216871074</v>
      </c>
      <c r="L861" s="106" t="s">
        <v>569</v>
      </c>
      <c r="M861" s="99"/>
      <c r="O861" s="493"/>
      <c r="P861" s="240"/>
      <c r="Q861" s="14"/>
      <c r="R861" s="49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</row>
    <row r="862" spans="1:73" ht="18.600000000000001" hidden="1" x14ac:dyDescent="0.4">
      <c r="A862" s="667" t="s">
        <v>584</v>
      </c>
      <c r="B862" s="589"/>
      <c r="C862" s="589"/>
      <c r="D862" s="589"/>
      <c r="E862" s="589"/>
      <c r="F862" s="589"/>
      <c r="G862" s="589"/>
      <c r="H862" s="589"/>
      <c r="I862" s="589"/>
      <c r="J862" s="201" t="s">
        <v>574</v>
      </c>
      <c r="K862" s="43">
        <f>(2.71828^(77.345+0.0057*(273.15+K858)-7235/(273.15+K858)))/((273.15+K858)^8.2)</f>
        <v>2635.932965205317</v>
      </c>
      <c r="L862" s="106" t="s">
        <v>569</v>
      </c>
      <c r="M862" s="109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</row>
    <row r="863" spans="1:73" ht="18.600000000000001" hidden="1" x14ac:dyDescent="0.4">
      <c r="A863" s="667" t="s">
        <v>586</v>
      </c>
      <c r="B863" s="589"/>
      <c r="C863" s="589"/>
      <c r="D863" s="589"/>
      <c r="E863" s="589"/>
      <c r="F863" s="589"/>
      <c r="G863" s="589"/>
      <c r="H863" s="589"/>
      <c r="I863" s="589"/>
      <c r="J863" s="201" t="s">
        <v>575</v>
      </c>
      <c r="K863" s="43">
        <f>(K859*K861)/100</f>
        <v>2864.3830857110379</v>
      </c>
      <c r="L863" s="106" t="s">
        <v>569</v>
      </c>
      <c r="M863" s="109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</row>
    <row r="864" spans="1:73" ht="18.600000000000001" hidden="1" x14ac:dyDescent="0.4">
      <c r="A864" s="667" t="s">
        <v>587</v>
      </c>
      <c r="B864" s="589"/>
      <c r="C864" s="589"/>
      <c r="D864" s="589"/>
      <c r="E864" s="589"/>
      <c r="F864" s="589"/>
      <c r="G864" s="589"/>
      <c r="H864" s="589"/>
      <c r="I864" s="589"/>
      <c r="J864" s="201" t="s">
        <v>576</v>
      </c>
      <c r="K864" s="43">
        <f>(K860*K862)/100</f>
        <v>1317.9664826026585</v>
      </c>
      <c r="L864" s="106" t="s">
        <v>569</v>
      </c>
      <c r="M864" s="109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</row>
    <row r="865" spans="1:69" ht="18.600000000000001" hidden="1" x14ac:dyDescent="0.4">
      <c r="A865" s="667" t="s">
        <v>585</v>
      </c>
      <c r="B865" s="589"/>
      <c r="C865" s="589"/>
      <c r="D865" s="589"/>
      <c r="E865" s="589"/>
      <c r="F865" s="589"/>
      <c r="G865" s="589"/>
      <c r="H865" s="589"/>
      <c r="I865" s="589"/>
      <c r="J865" s="45" t="s">
        <v>589</v>
      </c>
      <c r="K865" s="43">
        <f>0.62198*K863/(101325-K863)</f>
        <v>1.8094432550645544E-2</v>
      </c>
      <c r="L865" s="106" t="s">
        <v>588</v>
      </c>
      <c r="M865" s="109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</row>
    <row r="866" spans="1:69" ht="18.600000000000001" hidden="1" x14ac:dyDescent="0.4">
      <c r="A866" s="667" t="s">
        <v>590</v>
      </c>
      <c r="B866" s="589"/>
      <c r="C866" s="589"/>
      <c r="D866" s="589"/>
      <c r="E866" s="589"/>
      <c r="F866" s="589"/>
      <c r="G866" s="589"/>
      <c r="H866" s="589"/>
      <c r="I866" s="589"/>
      <c r="J866" s="45" t="s">
        <v>591</v>
      </c>
      <c r="K866" s="43">
        <f>0.62198*K864/(101325-K864)</f>
        <v>8.1969113973028411E-3</v>
      </c>
      <c r="L866" s="106" t="s">
        <v>588</v>
      </c>
      <c r="M866" s="109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</row>
    <row r="867" spans="1:69" ht="18.600000000000001" x14ac:dyDescent="0.4">
      <c r="A867" s="667" t="s">
        <v>592</v>
      </c>
      <c r="B867" s="589"/>
      <c r="C867" s="589"/>
      <c r="D867" s="589"/>
      <c r="E867" s="589"/>
      <c r="F867" s="589"/>
      <c r="G867" s="589"/>
      <c r="H867" s="589"/>
      <c r="I867" s="589"/>
      <c r="J867" s="45" t="s">
        <v>594</v>
      </c>
      <c r="K867" s="43">
        <f>1.006*(K857)+K865*(1.84*(K857)+2501)</f>
        <v>80.590163509532886</v>
      </c>
      <c r="L867" s="106" t="s">
        <v>595</v>
      </c>
      <c r="M867" s="109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</row>
    <row r="868" spans="1:69" ht="18.600000000000001" x14ac:dyDescent="0.4">
      <c r="A868" s="667" t="s">
        <v>593</v>
      </c>
      <c r="B868" s="589"/>
      <c r="C868" s="589"/>
      <c r="D868" s="589"/>
      <c r="E868" s="589"/>
      <c r="F868" s="589"/>
      <c r="G868" s="589"/>
      <c r="H868" s="589"/>
      <c r="I868" s="589"/>
      <c r="J868" s="45" t="s">
        <v>596</v>
      </c>
      <c r="K868" s="43">
        <f>1.006*(K858)+K866*(1.84*(K858)+2501)</f>
        <v>42.964286378017228</v>
      </c>
      <c r="L868" s="106" t="s">
        <v>595</v>
      </c>
      <c r="M868" s="109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</row>
    <row r="869" spans="1:69" ht="18.600000000000001" hidden="1" x14ac:dyDescent="0.4">
      <c r="A869" s="667" t="s">
        <v>1105</v>
      </c>
      <c r="B869" s="589"/>
      <c r="C869" s="589"/>
      <c r="D869" s="589"/>
      <c r="E869" s="589"/>
      <c r="F869" s="589"/>
      <c r="G869" s="589"/>
      <c r="H869" s="589"/>
      <c r="I869" s="589"/>
      <c r="J869" s="45" t="s">
        <v>1106</v>
      </c>
      <c r="K869" s="43">
        <v>101325</v>
      </c>
      <c r="L869" s="106" t="s">
        <v>1098</v>
      </c>
      <c r="M869" s="109"/>
      <c r="N869" s="207"/>
      <c r="O869" s="207"/>
      <c r="P869" s="208"/>
      <c r="Q869" s="208"/>
      <c r="R869" s="209"/>
      <c r="S869" s="209"/>
      <c r="T869" s="209"/>
      <c r="U869" s="209"/>
      <c r="V869" s="209"/>
      <c r="W869" s="209"/>
      <c r="X869" s="209"/>
      <c r="Y869" s="209"/>
      <c r="Z869" s="209"/>
      <c r="AA869" s="209"/>
      <c r="AB869" s="209"/>
      <c r="AC869" s="209"/>
      <c r="AD869" s="209"/>
      <c r="AE869" s="209"/>
      <c r="AF869" s="209"/>
      <c r="AG869" s="209"/>
      <c r="AH869" s="209"/>
      <c r="AI869" s="209"/>
      <c r="AJ869" s="209"/>
      <c r="AK869" s="209"/>
      <c r="AL869" s="209"/>
      <c r="AM869" s="209"/>
      <c r="AN869" s="209"/>
      <c r="AO869" s="209"/>
      <c r="AP869" s="189"/>
    </row>
    <row r="870" spans="1:69" ht="18.600000000000001" x14ac:dyDescent="0.4">
      <c r="A870" s="667" t="s">
        <v>597</v>
      </c>
      <c r="B870" s="589"/>
      <c r="C870" s="589"/>
      <c r="D870" s="589"/>
      <c r="E870" s="589"/>
      <c r="F870" s="589"/>
      <c r="G870" s="589"/>
      <c r="H870" s="589"/>
      <c r="I870" s="589"/>
      <c r="J870" s="45" t="s">
        <v>599</v>
      </c>
      <c r="K870" s="204">
        <f>K869/(287.05*(273.15+K857))+K863/(461.495*(273.15+K857))</f>
        <v>1.1694417459428477</v>
      </c>
      <c r="L870" s="202" t="s">
        <v>600</v>
      </c>
      <c r="M870" s="320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</row>
    <row r="871" spans="1:69" ht="18.600000000000001" x14ac:dyDescent="0.4">
      <c r="A871" s="667" t="s">
        <v>598</v>
      </c>
      <c r="B871" s="589"/>
      <c r="C871" s="589"/>
      <c r="D871" s="589"/>
      <c r="E871" s="589"/>
      <c r="F871" s="589"/>
      <c r="G871" s="589"/>
      <c r="H871" s="589"/>
      <c r="I871" s="589"/>
      <c r="J871" s="45" t="s">
        <v>601</v>
      </c>
      <c r="K871" s="204">
        <f>K869/(287.05*(273.15+K858))+K864/(461.495*(273.15+K858))</f>
        <v>1.2056349226425693</v>
      </c>
      <c r="L871" s="202" t="s">
        <v>600</v>
      </c>
      <c r="M871" s="320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</row>
    <row r="872" spans="1:69" x14ac:dyDescent="0.3">
      <c r="A872"/>
      <c r="L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</row>
    <row r="873" spans="1:69" x14ac:dyDescent="0.3">
      <c r="L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</row>
    <row r="874" spans="1:69" x14ac:dyDescent="0.3">
      <c r="L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</row>
    <row r="875" spans="1:69" x14ac:dyDescent="0.3">
      <c r="L875" s="1"/>
    </row>
    <row r="876" spans="1:69" ht="19.8" x14ac:dyDescent="0.4">
      <c r="A876" s="644" t="s">
        <v>607</v>
      </c>
      <c r="B876" s="674"/>
      <c r="C876" s="674"/>
      <c r="D876" s="674"/>
      <c r="E876" s="674"/>
      <c r="F876" s="674"/>
      <c r="G876" s="674"/>
      <c r="I876" s="19" t="s">
        <v>603</v>
      </c>
      <c r="J876" s="665">
        <f ca="1">(1/3600)*(((L623*AT855)*(1*(1-J216/100))/((J211/100)*(J209/100)*(J208/100))))</f>
        <v>0</v>
      </c>
      <c r="K876" s="666"/>
      <c r="L876" s="25" t="s">
        <v>945</v>
      </c>
      <c r="M876" s="329"/>
    </row>
    <row r="878" spans="1:69" ht="19.8" x14ac:dyDescent="0.4">
      <c r="A878" s="644" t="s">
        <v>746</v>
      </c>
      <c r="B878" s="674"/>
      <c r="C878" s="674"/>
      <c r="D878" s="674"/>
      <c r="E878" s="674"/>
      <c r="F878" s="674"/>
      <c r="G878" s="674"/>
      <c r="I878" s="19" t="s">
        <v>617</v>
      </c>
      <c r="J878" s="665">
        <f ca="1">(K817-J957)/((K208/100)*(K209/100)*(K211/100)*(K214/100))</f>
        <v>2169.9800816326533</v>
      </c>
      <c r="K878" s="666"/>
      <c r="L878" s="25" t="s">
        <v>945</v>
      </c>
      <c r="M878" s="329"/>
    </row>
    <row r="879" spans="1:69" ht="19.8" x14ac:dyDescent="0.4">
      <c r="A879" s="644" t="s">
        <v>747</v>
      </c>
      <c r="B879" s="674"/>
      <c r="C879" s="674"/>
      <c r="D879" s="674"/>
      <c r="E879" s="674"/>
      <c r="F879" s="674"/>
      <c r="G879" s="674"/>
      <c r="I879" s="19" t="s">
        <v>617</v>
      </c>
      <c r="J879" s="665">
        <f ca="1">(K818-J958)/((L208/100)*(L209/100)*(L211/100)*(L214/100))</f>
        <v>1566.070530612245</v>
      </c>
      <c r="K879" s="666"/>
      <c r="L879" s="25" t="s">
        <v>945</v>
      </c>
      <c r="M879" s="329"/>
    </row>
    <row r="881" spans="1:13" ht="18" x14ac:dyDescent="0.35">
      <c r="A881" s="783" t="s">
        <v>1243</v>
      </c>
      <c r="B881" s="784"/>
      <c r="C881" s="784"/>
      <c r="D881" s="784"/>
      <c r="E881" s="784"/>
      <c r="F881" s="784"/>
      <c r="G881" s="784"/>
      <c r="H881" s="784"/>
      <c r="I881" s="784"/>
      <c r="J881" s="784"/>
      <c r="K881" s="784"/>
      <c r="L881" s="37"/>
    </row>
    <row r="882" spans="1:13" ht="18" x14ac:dyDescent="0.35">
      <c r="A882" s="667" t="s">
        <v>283</v>
      </c>
      <c r="B882" s="667"/>
      <c r="C882" s="667"/>
      <c r="D882" s="667"/>
      <c r="E882" s="667"/>
      <c r="F882" s="667"/>
      <c r="G882" s="667"/>
      <c r="H882" s="782"/>
      <c r="I882" s="589"/>
      <c r="J882" s="589"/>
      <c r="K882" s="589"/>
      <c r="L882" s="589"/>
      <c r="M882" s="199"/>
    </row>
    <row r="883" spans="1:13" ht="18" x14ac:dyDescent="0.35">
      <c r="A883" s="667" t="s">
        <v>284</v>
      </c>
      <c r="B883" s="667"/>
      <c r="C883" s="667"/>
      <c r="D883" s="667"/>
      <c r="E883" s="667"/>
      <c r="F883" s="667"/>
      <c r="G883" s="667"/>
      <c r="H883" s="782"/>
      <c r="I883" s="589"/>
      <c r="J883" s="589"/>
      <c r="K883" s="589"/>
      <c r="L883" s="589"/>
      <c r="M883" s="199"/>
    </row>
    <row r="884" spans="1:13" x14ac:dyDescent="0.3">
      <c r="C884"/>
    </row>
    <row r="886" spans="1:13" ht="18" x14ac:dyDescent="0.35">
      <c r="A886" s="15" t="s">
        <v>956</v>
      </c>
    </row>
    <row r="887" spans="1:13" ht="18.600000000000001" x14ac:dyDescent="0.4">
      <c r="A887" s="586" t="s">
        <v>1069</v>
      </c>
      <c r="B887" s="586"/>
      <c r="C887" s="586"/>
      <c r="D887" s="586"/>
      <c r="E887" s="589"/>
      <c r="F887" s="589"/>
      <c r="G887" s="589"/>
      <c r="H887" s="43"/>
      <c r="I887" s="32" t="s">
        <v>964</v>
      </c>
      <c r="J887" s="83">
        <f>INDEX(Стойности!B136:O156,31-Изчисления!J888,Изчисления!J890/5-5)</f>
        <v>11.1</v>
      </c>
      <c r="K887" s="31" t="s">
        <v>946</v>
      </c>
    </row>
    <row r="888" spans="1:13" ht="18.600000000000001" x14ac:dyDescent="0.4">
      <c r="A888" s="586" t="s">
        <v>1070</v>
      </c>
      <c r="B888" s="586"/>
      <c r="C888" s="586"/>
      <c r="D888" s="586"/>
      <c r="E888" s="586"/>
      <c r="F888" s="586"/>
      <c r="G888" s="586"/>
      <c r="H888" s="43"/>
      <c r="I888" s="32" t="s">
        <v>965</v>
      </c>
      <c r="J888" s="69">
        <f>K181</f>
        <v>19</v>
      </c>
      <c r="K888" s="31" t="s">
        <v>946</v>
      </c>
    </row>
    <row r="889" spans="1:13" ht="18.600000000000001" x14ac:dyDescent="0.4">
      <c r="A889" s="586" t="s">
        <v>1071</v>
      </c>
      <c r="B889" s="586"/>
      <c r="C889" s="586"/>
      <c r="D889" s="586"/>
      <c r="E889" s="586"/>
      <c r="F889" s="586"/>
      <c r="G889" s="586"/>
      <c r="H889" s="43"/>
      <c r="I889" s="32" t="s">
        <v>966</v>
      </c>
      <c r="J889" s="69">
        <f>K177</f>
        <v>-10</v>
      </c>
      <c r="K889" s="31" t="s">
        <v>946</v>
      </c>
    </row>
    <row r="890" spans="1:13" x14ac:dyDescent="0.3">
      <c r="A890" s="586" t="s">
        <v>1112</v>
      </c>
      <c r="B890" s="589"/>
      <c r="C890" s="589"/>
      <c r="D890" s="589"/>
      <c r="E890" s="589"/>
      <c r="F890" s="589"/>
      <c r="G890" s="589"/>
      <c r="J890" s="499">
        <f>K182</f>
        <v>60</v>
      </c>
      <c r="K890" s="31" t="s">
        <v>1</v>
      </c>
    </row>
    <row r="892" spans="1:13" ht="19.8" x14ac:dyDescent="0.3">
      <c r="D892" s="19" t="s">
        <v>963</v>
      </c>
      <c r="E892" s="33">
        <f>(5.88*(J888-J887))/(J888-J889)</f>
        <v>1.6017931034482757</v>
      </c>
      <c r="F892" s="20" t="s">
        <v>967</v>
      </c>
    </row>
    <row r="894" spans="1:13" ht="18" x14ac:dyDescent="0.35">
      <c r="A894" s="783" t="s">
        <v>1250</v>
      </c>
      <c r="B894" s="784"/>
      <c r="C894" s="784"/>
      <c r="D894" s="784"/>
      <c r="E894" s="784"/>
      <c r="F894" s="784"/>
      <c r="G894" s="784"/>
      <c r="H894" s="784"/>
      <c r="I894" s="784"/>
      <c r="J894" s="784"/>
      <c r="K894" s="784"/>
    </row>
    <row r="896" spans="1:13" ht="18" x14ac:dyDescent="0.35">
      <c r="A896" s="667" t="s">
        <v>108</v>
      </c>
      <c r="B896" s="589"/>
      <c r="C896" s="589"/>
      <c r="D896" s="589"/>
      <c r="E896" s="589"/>
      <c r="F896" s="589"/>
      <c r="G896" s="589"/>
      <c r="H896" s="589"/>
      <c r="I896" s="589"/>
      <c r="J896" s="11" t="s">
        <v>1001</v>
      </c>
      <c r="K896" s="450">
        <v>43</v>
      </c>
      <c r="L896" s="24" t="s">
        <v>109</v>
      </c>
    </row>
    <row r="897" spans="1:14" ht="18" hidden="1" x14ac:dyDescent="0.35">
      <c r="A897" s="667" t="s">
        <v>108</v>
      </c>
      <c r="B897" s="589"/>
      <c r="C897" s="589"/>
      <c r="D897" s="589"/>
      <c r="E897" s="589"/>
      <c r="F897" s="589"/>
      <c r="G897" s="589"/>
      <c r="H897" s="589"/>
      <c r="I897" s="589"/>
      <c r="J897" s="11" t="s">
        <v>1001</v>
      </c>
      <c r="K897" s="53">
        <f>RADIANS(K896)</f>
        <v>0.75049157835756175</v>
      </c>
      <c r="L897" s="107" t="s">
        <v>110</v>
      </c>
    </row>
    <row r="898" spans="1:14" ht="18" x14ac:dyDescent="0.35">
      <c r="A898" s="667" t="s">
        <v>111</v>
      </c>
      <c r="B898" s="589"/>
      <c r="C898" s="589"/>
      <c r="D898" s="589"/>
      <c r="E898" s="589"/>
      <c r="F898" s="589"/>
      <c r="G898" s="589"/>
      <c r="H898" s="589"/>
      <c r="I898" s="589"/>
      <c r="J898" s="45" t="s">
        <v>112</v>
      </c>
      <c r="K898" s="450">
        <v>42</v>
      </c>
      <c r="L898" s="24" t="s">
        <v>109</v>
      </c>
    </row>
    <row r="899" spans="1:14" ht="18" hidden="1" x14ac:dyDescent="0.35">
      <c r="A899" s="667" t="s">
        <v>111</v>
      </c>
      <c r="B899" s="589"/>
      <c r="C899" s="589"/>
      <c r="D899" s="589"/>
      <c r="E899" s="589"/>
      <c r="F899" s="589"/>
      <c r="G899" s="589"/>
      <c r="H899" s="589"/>
      <c r="I899" s="589"/>
      <c r="J899" s="45" t="s">
        <v>112</v>
      </c>
      <c r="K899" s="53">
        <f>RADIANS(K898)</f>
        <v>0.73303828583761843</v>
      </c>
      <c r="L899" s="107" t="s">
        <v>110</v>
      </c>
    </row>
    <row r="901" spans="1:14" x14ac:dyDescent="0.3">
      <c r="A901" s="13" t="s">
        <v>167</v>
      </c>
      <c r="B901" s="13" t="s">
        <v>168</v>
      </c>
      <c r="C901" s="13" t="s">
        <v>923</v>
      </c>
      <c r="D901" s="13" t="s">
        <v>924</v>
      </c>
      <c r="E901" s="13" t="s">
        <v>169</v>
      </c>
      <c r="F901" s="13" t="s">
        <v>170</v>
      </c>
      <c r="G901" s="13" t="s">
        <v>171</v>
      </c>
      <c r="H901" s="13" t="s">
        <v>172</v>
      </c>
      <c r="I901" s="13" t="s">
        <v>268</v>
      </c>
      <c r="J901" s="13" t="s">
        <v>925</v>
      </c>
      <c r="K901" s="13" t="s">
        <v>673</v>
      </c>
      <c r="L901" s="13" t="s">
        <v>927</v>
      </c>
    </row>
    <row r="902" spans="1:14" x14ac:dyDescent="0.3">
      <c r="A902" s="565" t="s">
        <v>20</v>
      </c>
      <c r="B902" s="565"/>
      <c r="C902" s="565"/>
      <c r="D902" s="565"/>
      <c r="E902" s="565"/>
      <c r="F902" s="565"/>
      <c r="G902" s="565"/>
      <c r="H902" s="565"/>
      <c r="I902" s="565"/>
      <c r="J902" s="565"/>
      <c r="K902" s="565"/>
      <c r="L902" s="565"/>
    </row>
    <row r="903" spans="1:14" x14ac:dyDescent="0.3">
      <c r="A903" s="13">
        <v>21</v>
      </c>
      <c r="B903" s="13">
        <v>52</v>
      </c>
      <c r="C903" s="13">
        <v>80</v>
      </c>
      <c r="D903" s="13">
        <v>111</v>
      </c>
      <c r="E903" s="13">
        <v>141</v>
      </c>
      <c r="F903" s="13">
        <v>172</v>
      </c>
      <c r="G903" s="13">
        <v>202</v>
      </c>
      <c r="H903" s="13">
        <v>233</v>
      </c>
      <c r="I903" s="13">
        <v>264</v>
      </c>
      <c r="J903" s="13">
        <v>294</v>
      </c>
      <c r="K903" s="13">
        <v>324</v>
      </c>
      <c r="L903" s="13">
        <v>354</v>
      </c>
      <c r="N903" s="1" t="s">
        <v>113</v>
      </c>
    </row>
    <row r="904" spans="1:14" x14ac:dyDescent="0.3">
      <c r="A904" s="565" t="s">
        <v>114</v>
      </c>
      <c r="B904" s="565"/>
      <c r="C904" s="565"/>
      <c r="D904" s="565"/>
      <c r="E904" s="565"/>
      <c r="F904" s="565"/>
      <c r="G904" s="565"/>
      <c r="H904" s="565"/>
      <c r="I904" s="565"/>
      <c r="J904" s="565"/>
      <c r="K904" s="565"/>
      <c r="L904" s="565"/>
    </row>
    <row r="905" spans="1:14" x14ac:dyDescent="0.3">
      <c r="A905" s="13">
        <f>23.45*SIN(360*(284+A903)/365)</f>
        <v>-16.340810282560533</v>
      </c>
      <c r="B905" s="13">
        <f t="shared" ref="B905:L905" si="462">23.45*SIN(360*(284+B903)/365)</f>
        <v>-23.430518572385502</v>
      </c>
      <c r="C905" s="13">
        <f t="shared" si="462"/>
        <v>17.955773330140492</v>
      </c>
      <c r="D905" s="13">
        <f t="shared" si="462"/>
        <v>0.73977283139566508</v>
      </c>
      <c r="E905" s="13">
        <f t="shared" si="462"/>
        <v>-22.861341378317064</v>
      </c>
      <c r="F905" s="13">
        <f t="shared" si="462"/>
        <v>-11.359138791830173</v>
      </c>
      <c r="G905" s="13">
        <f t="shared" si="462"/>
        <v>22.723395744699019</v>
      </c>
      <c r="H905" s="13">
        <f t="shared" si="462"/>
        <v>19.472528792151667</v>
      </c>
      <c r="I905" s="13">
        <f t="shared" si="462"/>
        <v>3.254039877193204</v>
      </c>
      <c r="J905" s="13">
        <f t="shared" si="462"/>
        <v>-23.290021900110553</v>
      </c>
      <c r="K905" s="13">
        <f t="shared" si="462"/>
        <v>8.5446457969014453</v>
      </c>
      <c r="L905" s="13">
        <f t="shared" si="462"/>
        <v>18.961318801997184</v>
      </c>
      <c r="N905" s="1" t="s">
        <v>115</v>
      </c>
    </row>
    <row r="906" spans="1:14" x14ac:dyDescent="0.3">
      <c r="A906" s="13">
        <f>RADIANS(A905)</f>
        <v>-0.28520094187442624</v>
      </c>
      <c r="B906" s="13">
        <f t="shared" ref="B906:L906" si="463">RADIANS(B905)</f>
        <v>-0.40893969453780832</v>
      </c>
      <c r="C906" s="13">
        <f t="shared" si="463"/>
        <v>0.31338736435273834</v>
      </c>
      <c r="D906" s="13">
        <f t="shared" si="463"/>
        <v>1.2911471624655235E-2</v>
      </c>
      <c r="E906" s="13">
        <f t="shared" si="463"/>
        <v>-0.39900567847405138</v>
      </c>
      <c r="F906" s="13">
        <f t="shared" si="463"/>
        <v>-0.19825437210844726</v>
      </c>
      <c r="G906" s="13">
        <f t="shared" si="463"/>
        <v>0.39659807297866667</v>
      </c>
      <c r="H906" s="13">
        <f t="shared" si="463"/>
        <v>0.33985974111244116</v>
      </c>
      <c r="I906" s="13">
        <f t="shared" si="463"/>
        <v>5.6793709848213345E-2</v>
      </c>
      <c r="J906" s="13">
        <f t="shared" si="463"/>
        <v>-0.40648756501851502</v>
      </c>
      <c r="K906" s="13">
        <f t="shared" si="463"/>
        <v>0.14913220257262491</v>
      </c>
      <c r="L906" s="13">
        <f t="shared" si="463"/>
        <v>0.33093744361515759</v>
      </c>
      <c r="N906" s="1" t="s">
        <v>116</v>
      </c>
    </row>
    <row r="907" spans="1:14" ht="18.600000000000001" x14ac:dyDescent="0.4">
      <c r="A907" s="565" t="s">
        <v>117</v>
      </c>
      <c r="B907" s="565"/>
      <c r="C907" s="565"/>
      <c r="D907" s="565"/>
      <c r="E907" s="565"/>
      <c r="F907" s="565"/>
      <c r="G907" s="565"/>
      <c r="H907" s="565"/>
      <c r="I907" s="565"/>
      <c r="J907" s="565"/>
      <c r="K907" s="565"/>
      <c r="L907" s="565"/>
    </row>
    <row r="908" spans="1:14" x14ac:dyDescent="0.3">
      <c r="A908" s="13">
        <f t="shared" ref="A908:L908" si="464">ACOS(-TAN($K899)*TAN(A906))</f>
        <v>1.3036367074681661</v>
      </c>
      <c r="B908" s="13">
        <f t="shared" si="464"/>
        <v>1.1699375700755423</v>
      </c>
      <c r="C908" s="13">
        <f t="shared" si="464"/>
        <v>1.8668949116211611</v>
      </c>
      <c r="D908" s="13">
        <f t="shared" si="464"/>
        <v>1.5824227760539966</v>
      </c>
      <c r="E908" s="13">
        <f t="shared" si="464"/>
        <v>1.1814001772513758</v>
      </c>
      <c r="F908" s="13">
        <f t="shared" si="464"/>
        <v>1.3889099472953703</v>
      </c>
      <c r="G908" s="13">
        <f t="shared" si="464"/>
        <v>1.9574370430407924</v>
      </c>
      <c r="H908" s="13">
        <f t="shared" si="464"/>
        <v>1.8947995492103586</v>
      </c>
      <c r="I908" s="13">
        <f t="shared" si="464"/>
        <v>1.6220110513936976</v>
      </c>
      <c r="J908" s="13">
        <f t="shared" si="464"/>
        <v>1.1727812196586853</v>
      </c>
      <c r="K908" s="13">
        <f t="shared" si="464"/>
        <v>1.7064960654523624</v>
      </c>
      <c r="L908" s="13">
        <f t="shared" si="464"/>
        <v>1.8853101581334657</v>
      </c>
      <c r="N908" s="1" t="s">
        <v>116</v>
      </c>
    </row>
    <row r="909" spans="1:14" ht="18.600000000000001" x14ac:dyDescent="0.4">
      <c r="A909" s="565" t="s">
        <v>118</v>
      </c>
      <c r="B909" s="565"/>
      <c r="C909" s="565"/>
      <c r="D909" s="565"/>
      <c r="E909" s="565"/>
      <c r="F909" s="565"/>
      <c r="G909" s="565"/>
      <c r="H909" s="565"/>
      <c r="I909" s="565"/>
      <c r="J909" s="565"/>
      <c r="K909" s="565"/>
      <c r="L909" s="565"/>
    </row>
    <row r="910" spans="1:14" x14ac:dyDescent="0.3">
      <c r="A910" s="13">
        <f t="shared" ref="A910:L910" si="465">MIN(A908,ACOS(-TAN($K899-$K897)*TAN(A906)))</f>
        <v>1.3036367074681661</v>
      </c>
      <c r="B910" s="13">
        <f t="shared" si="465"/>
        <v>1.1699375700755423</v>
      </c>
      <c r="C910" s="13">
        <f t="shared" si="465"/>
        <v>1.5651396945283889</v>
      </c>
      <c r="D910" s="13">
        <f t="shared" si="465"/>
        <v>1.5705709436930761</v>
      </c>
      <c r="E910" s="13">
        <f t="shared" si="465"/>
        <v>1.1814001772513758</v>
      </c>
      <c r="F910" s="13">
        <f t="shared" si="465"/>
        <v>1.3889099472953703</v>
      </c>
      <c r="G910" s="13">
        <f t="shared" si="465"/>
        <v>1.5634862737740272</v>
      </c>
      <c r="H910" s="13">
        <f t="shared" si="465"/>
        <v>1.5646245418773632</v>
      </c>
      <c r="I910" s="13">
        <f t="shared" si="465"/>
        <v>1.5698039215002229</v>
      </c>
      <c r="J910" s="13">
        <f t="shared" si="465"/>
        <v>1.1727812196586853</v>
      </c>
      <c r="K910" s="13">
        <f t="shared" si="465"/>
        <v>1.568173740173044</v>
      </c>
      <c r="L910" s="13">
        <f t="shared" si="465"/>
        <v>1.5647992082502811</v>
      </c>
      <c r="N910" s="1" t="s">
        <v>116</v>
      </c>
    </row>
    <row r="911" spans="1:14" ht="18.600000000000001" x14ac:dyDescent="0.4">
      <c r="A911" s="565" t="s">
        <v>119</v>
      </c>
      <c r="B911" s="565"/>
      <c r="C911" s="565"/>
      <c r="D911" s="565"/>
      <c r="E911" s="565"/>
      <c r="F911" s="565"/>
      <c r="G911" s="565"/>
      <c r="H911" s="565"/>
      <c r="I911" s="565"/>
      <c r="J911" s="565"/>
      <c r="K911" s="565"/>
      <c r="L911" s="565"/>
    </row>
    <row r="912" spans="1:14" x14ac:dyDescent="0.3">
      <c r="A912" s="13">
        <f t="shared" ref="A912:L912" si="466">COS($K899-$K897)*COS(A906)*SIN(A910)+3.14/180*A910*SIN($K899-$K897)*SIN(A906)</f>
        <v>0.9255334833956923</v>
      </c>
      <c r="B912" s="13">
        <f t="shared" si="466"/>
        <v>0.84481883779509281</v>
      </c>
      <c r="C912" s="13">
        <f t="shared" si="466"/>
        <v>0.95098776185691336</v>
      </c>
      <c r="D912" s="13">
        <f t="shared" si="466"/>
        <v>0.99975815703476756</v>
      </c>
      <c r="E912" s="13">
        <f t="shared" si="466"/>
        <v>0.85247665542862172</v>
      </c>
      <c r="F912" s="13">
        <f t="shared" si="466"/>
        <v>0.96417565857183318</v>
      </c>
      <c r="G912" s="13">
        <f t="shared" si="466"/>
        <v>0.92203144036238893</v>
      </c>
      <c r="H912" s="13">
        <f t="shared" si="466"/>
        <v>0.94248109197785368</v>
      </c>
      <c r="I912" s="13">
        <f t="shared" si="466"/>
        <v>0.9982079914445191</v>
      </c>
      <c r="J912" s="13">
        <f t="shared" si="466"/>
        <v>0.84672908716060269</v>
      </c>
      <c r="K912" s="13">
        <f t="shared" si="466"/>
        <v>0.9886754369710361</v>
      </c>
      <c r="L912" s="13">
        <f t="shared" si="466"/>
        <v>0.94542231472136939</v>
      </c>
      <c r="N912" s="1" t="s">
        <v>120</v>
      </c>
    </row>
    <row r="913" spans="1:14" x14ac:dyDescent="0.3">
      <c r="A913" s="13">
        <f t="shared" ref="A913:L913" si="467">COS($K899)*COS(A906)*SIN(A908)+3.14/180*A908*SIN($K899)*SIN(A906)</f>
        <v>0.68354593161792876</v>
      </c>
      <c r="B913" s="13">
        <f t="shared" si="467"/>
        <v>0.62238289692431481</v>
      </c>
      <c r="C913" s="13">
        <f t="shared" si="467"/>
        <v>0.68290281172594369</v>
      </c>
      <c r="D913" s="13">
        <f t="shared" si="467"/>
        <v>0.74327114190477095</v>
      </c>
      <c r="E913" s="13">
        <f t="shared" si="467"/>
        <v>0.62814880165602138</v>
      </c>
      <c r="F913" s="13">
        <f t="shared" si="467"/>
        <v>0.71337626960716838</v>
      </c>
      <c r="G913" s="13">
        <f t="shared" si="467"/>
        <v>0.64368805195964041</v>
      </c>
      <c r="H913" s="13">
        <f t="shared" si="467"/>
        <v>0.67155567909707548</v>
      </c>
      <c r="I913" s="13">
        <f t="shared" si="467"/>
        <v>0.7420485035745148</v>
      </c>
      <c r="J913" s="13">
        <f t="shared" si="467"/>
        <v>0.62382066458382068</v>
      </c>
      <c r="K913" s="13">
        <f t="shared" si="467"/>
        <v>0.73109984444438447</v>
      </c>
      <c r="L913" s="13">
        <f t="shared" si="467"/>
        <v>0.675495453591063</v>
      </c>
      <c r="N913" s="1" t="s">
        <v>121</v>
      </c>
    </row>
    <row r="914" spans="1:14" x14ac:dyDescent="0.3">
      <c r="A914" s="13">
        <f>A912/A913</f>
        <v>1.3540179826759962</v>
      </c>
      <c r="B914" s="13">
        <f t="shared" ref="B914:L914" si="468">B912/B913</f>
        <v>1.3573940446789421</v>
      </c>
      <c r="C914" s="13">
        <f t="shared" si="468"/>
        <v>1.3925667686935153</v>
      </c>
      <c r="D914" s="13">
        <f t="shared" si="468"/>
        <v>1.3450786673524022</v>
      </c>
      <c r="E914" s="13">
        <f t="shared" si="468"/>
        <v>1.3571253390616891</v>
      </c>
      <c r="F914" s="13">
        <f t="shared" si="468"/>
        <v>1.351566767286458</v>
      </c>
      <c r="G914" s="13">
        <f t="shared" si="468"/>
        <v>1.4324196908042046</v>
      </c>
      <c r="H914" s="13">
        <f t="shared" si="468"/>
        <v>1.4034295611125569</v>
      </c>
      <c r="I914" s="13">
        <f t="shared" si="468"/>
        <v>1.3452058546524397</v>
      </c>
      <c r="J914" s="13">
        <f t="shared" si="468"/>
        <v>1.3573277309200624</v>
      </c>
      <c r="K914" s="13">
        <f t="shared" si="468"/>
        <v>1.3523124707028242</v>
      </c>
      <c r="L914" s="13">
        <f t="shared" si="468"/>
        <v>1.3995983388123836</v>
      </c>
      <c r="N914" s="1" t="s">
        <v>122</v>
      </c>
    </row>
    <row r="915" spans="1:14" ht="18.600000000000001" x14ac:dyDescent="0.4">
      <c r="A915" s="565" t="s">
        <v>123</v>
      </c>
      <c r="B915" s="565"/>
      <c r="C915" s="565"/>
      <c r="D915" s="565"/>
      <c r="E915" s="565"/>
      <c r="F915" s="565"/>
      <c r="G915" s="565"/>
      <c r="H915" s="565"/>
      <c r="I915" s="565"/>
      <c r="J915" s="565"/>
      <c r="K915" s="565"/>
      <c r="L915" s="565"/>
    </row>
    <row r="916" spans="1:14" x14ac:dyDescent="0.3">
      <c r="A916" s="13">
        <f ca="1">'Климатични зони'!Y22</f>
        <v>0.34</v>
      </c>
      <c r="B916" s="13">
        <f ca="1">'Климатични зони'!Z22</f>
        <v>0.41</v>
      </c>
      <c r="C916" s="13">
        <f ca="1">'Климатични зони'!AA22</f>
        <v>0.43</v>
      </c>
      <c r="D916" s="13">
        <f ca="1">'Климатични зони'!AB22</f>
        <v>0.42</v>
      </c>
      <c r="E916" s="13">
        <f ca="1">'Климатични зони'!AC22</f>
        <v>0.46</v>
      </c>
      <c r="F916" s="13">
        <f ca="1">'Климатични зони'!AD22</f>
        <v>0.49</v>
      </c>
      <c r="G916" s="13">
        <f ca="1">'Климатични зони'!AE22</f>
        <v>0.52</v>
      </c>
      <c r="H916" s="13">
        <f ca="1">'Климатични зони'!AF22</f>
        <v>0.56999999999999995</v>
      </c>
      <c r="I916" s="13">
        <f ca="1">'Климатични зони'!AG22</f>
        <v>0.54</v>
      </c>
      <c r="J916" s="13">
        <f ca="1">'Климатични зони'!AH22</f>
        <v>0.44</v>
      </c>
      <c r="K916" s="13">
        <f ca="1">'Климатични зони'!AI22</f>
        <v>0.37</v>
      </c>
      <c r="L916" s="13">
        <f ca="1">'Климатични зони'!AJ22</f>
        <v>0.33</v>
      </c>
    </row>
    <row r="917" spans="1:14" ht="18.600000000000001" x14ac:dyDescent="0.4">
      <c r="A917" s="785" t="s">
        <v>124</v>
      </c>
      <c r="B917" s="786"/>
      <c r="C917" s="786"/>
      <c r="D917" s="786"/>
      <c r="E917" s="786"/>
      <c r="F917" s="786"/>
      <c r="G917" s="786"/>
      <c r="H917" s="786"/>
      <c r="I917" s="786"/>
      <c r="J917" s="786"/>
      <c r="K917" s="786"/>
      <c r="L917" s="786"/>
    </row>
    <row r="918" spans="1:14" x14ac:dyDescent="0.3">
      <c r="A918" s="13">
        <f ca="1">1.39-4.03*A916+5.53*A916^2-3.11*A916^3</f>
        <v>0.5368325599999999</v>
      </c>
      <c r="B918" s="13">
        <f t="shared" ref="B918:L918" ca="1" si="469">1.39-4.03*B916+5.53*B916^2-3.11*B916^3</f>
        <v>0.45294868999999977</v>
      </c>
      <c r="C918" s="13">
        <f t="shared" ca="1" si="469"/>
        <v>0.43233022999999982</v>
      </c>
      <c r="D918" s="13">
        <f t="shared" ca="1" si="469"/>
        <v>0.44247831999999976</v>
      </c>
      <c r="E918" s="13">
        <f t="shared" ca="1" si="469"/>
        <v>0.40363303999999994</v>
      </c>
      <c r="F918" s="13">
        <f t="shared" ca="1" si="469"/>
        <v>0.37716460999999979</v>
      </c>
      <c r="G918" s="13">
        <f t="shared" ca="1" si="469"/>
        <v>0.35242111999999998</v>
      </c>
      <c r="H918" s="13">
        <f t="shared" ca="1" si="469"/>
        <v>0.31364677000000007</v>
      </c>
      <c r="I918" s="13">
        <f t="shared" ca="1" si="469"/>
        <v>0.33663496000000004</v>
      </c>
      <c r="J918" s="13">
        <f t="shared" ca="1" si="469"/>
        <v>0.42248575999999982</v>
      </c>
      <c r="K918" s="13">
        <f t="shared" ca="1" si="469"/>
        <v>0.49842616999999978</v>
      </c>
      <c r="L918" s="13">
        <f t="shared" ca="1" si="469"/>
        <v>0.55055292999999994</v>
      </c>
    </row>
    <row r="919" spans="1:14" x14ac:dyDescent="0.3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</row>
    <row r="920" spans="1:14" ht="18" x14ac:dyDescent="0.35">
      <c r="A920" s="667" t="s">
        <v>125</v>
      </c>
      <c r="B920" s="676"/>
      <c r="C920" s="676"/>
      <c r="D920" s="676"/>
      <c r="E920" s="676"/>
      <c r="F920" s="676"/>
      <c r="G920" s="676"/>
      <c r="H920" s="676"/>
      <c r="I920" s="676"/>
      <c r="J920" s="11" t="s">
        <v>126</v>
      </c>
      <c r="K920" s="451">
        <v>0.55000000000000004</v>
      </c>
      <c r="L920" s="107"/>
    </row>
    <row r="921" spans="1:14" x14ac:dyDescent="0.3">
      <c r="A921" s="299"/>
      <c r="B921" s="299"/>
      <c r="C921" s="299"/>
      <c r="D921" s="299"/>
      <c r="E921" s="299"/>
      <c r="F921" s="299"/>
      <c r="G921" s="299"/>
      <c r="H921" s="299"/>
      <c r="I921" s="299"/>
      <c r="J921" s="299"/>
      <c r="K921" s="299"/>
      <c r="L921" s="452"/>
    </row>
    <row r="922" spans="1:14" x14ac:dyDescent="0.3">
      <c r="A922" s="565" t="s">
        <v>127</v>
      </c>
      <c r="B922" s="565"/>
      <c r="C922" s="565"/>
      <c r="D922" s="565"/>
      <c r="E922" s="565"/>
      <c r="F922" s="565"/>
      <c r="G922" s="565"/>
      <c r="H922" s="565"/>
      <c r="I922" s="565"/>
      <c r="J922" s="565"/>
      <c r="K922" s="565"/>
      <c r="L922" s="565"/>
      <c r="N922" s="1" t="s">
        <v>128</v>
      </c>
    </row>
    <row r="923" spans="1:14" x14ac:dyDescent="0.3">
      <c r="A923" s="13">
        <f t="shared" ref="A923:L923" ca="1" si="470">(1-A918)*A914+A918*((1+COS($K897))/2)+$K920*((1-COS($K897))/2)</f>
        <v>1.1657382947575814</v>
      </c>
      <c r="B923" s="13">
        <f t="shared" ca="1" si="470"/>
        <v>1.2085491179200691</v>
      </c>
      <c r="C923" s="13">
        <f t="shared" ca="1" si="470"/>
        <v>1.2386540613648029</v>
      </c>
      <c r="D923" s="13">
        <f t="shared" ca="1" si="470"/>
        <v>1.2068314890183165</v>
      </c>
      <c r="E923" s="13">
        <f t="shared" ca="1" si="470"/>
        <v>1.2326382237998164</v>
      </c>
      <c r="F923" s="13">
        <f t="shared" ca="1" si="470"/>
        <v>1.2421840184902539</v>
      </c>
      <c r="G923" s="13">
        <f t="shared" ca="1" si="470"/>
        <v>1.306565276436048</v>
      </c>
      <c r="H923" s="13">
        <f t="shared" ca="1" si="470"/>
        <v>1.3086428925220122</v>
      </c>
      <c r="I923" s="13">
        <f t="shared" ca="1" si="470"/>
        <v>1.2576573596796885</v>
      </c>
      <c r="J923" s="13">
        <f t="shared" ca="1" si="470"/>
        <v>1.2234899672366468</v>
      </c>
      <c r="K923" s="13">
        <f t="shared" ca="1" si="470"/>
        <v>1.1836382745485896</v>
      </c>
      <c r="L923" s="13">
        <f t="shared" ca="1" si="470"/>
        <v>1.1795240312572113</v>
      </c>
    </row>
    <row r="924" spans="1:14" ht="18" x14ac:dyDescent="0.3">
      <c r="A924" s="565" t="s">
        <v>129</v>
      </c>
      <c r="B924" s="565"/>
      <c r="C924" s="565"/>
      <c r="D924" s="565"/>
      <c r="E924" s="565"/>
      <c r="F924" s="565"/>
      <c r="G924" s="565"/>
      <c r="H924" s="565"/>
      <c r="I924" s="565"/>
      <c r="J924" s="565"/>
      <c r="K924" s="565"/>
      <c r="L924" s="565"/>
      <c r="N924" s="1" t="s">
        <v>130</v>
      </c>
    </row>
    <row r="925" spans="1:14" x14ac:dyDescent="0.3">
      <c r="A925" s="13">
        <f ca="1">'Климатични зони'!Y21</f>
        <v>1.28</v>
      </c>
      <c r="B925" s="13">
        <f ca="1">'Климатични зони'!Z21</f>
        <v>2.12</v>
      </c>
      <c r="C925" s="13">
        <f ca="1">'Климатични зони'!AA21</f>
        <v>2.85</v>
      </c>
      <c r="D925" s="13">
        <f ca="1">'Климатични зони'!AB21</f>
        <v>3.87</v>
      </c>
      <c r="E925" s="13">
        <f ca="1">'Климатични зони'!AC21</f>
        <v>4.97</v>
      </c>
      <c r="F925" s="13">
        <f ca="1">'Климатични зони'!AD21</f>
        <v>5.55</v>
      </c>
      <c r="G925" s="13">
        <f ca="1">'Климатични зони'!AE21</f>
        <v>5.76</v>
      </c>
      <c r="H925" s="13">
        <f ca="1">'Климатични зони'!AF21</f>
        <v>5.59</v>
      </c>
      <c r="I925" s="13">
        <f ca="1">'Климатични зони'!AG21</f>
        <v>4.29</v>
      </c>
      <c r="J925" s="13">
        <f ca="1">'Климатични зони'!AH21</f>
        <v>2.54</v>
      </c>
      <c r="K925" s="13">
        <f ca="1">'Климатични зони'!AI21</f>
        <v>1.51</v>
      </c>
      <c r="L925" s="13">
        <f ca="1">'Климатични зони'!AJ21</f>
        <v>1.1100000000000001</v>
      </c>
    </row>
    <row r="926" spans="1:14" ht="19.2" x14ac:dyDescent="0.4">
      <c r="A926" s="565" t="s">
        <v>131</v>
      </c>
      <c r="B926" s="565"/>
      <c r="C926" s="565"/>
      <c r="D926" s="565"/>
      <c r="E926" s="565"/>
      <c r="F926" s="565"/>
      <c r="G926" s="565"/>
      <c r="H926" s="565"/>
      <c r="I926" s="565"/>
      <c r="J926" s="565"/>
      <c r="K926" s="565"/>
      <c r="L926" s="565"/>
      <c r="N926" s="1" t="s">
        <v>132</v>
      </c>
    </row>
    <row r="927" spans="1:14" x14ac:dyDescent="0.3">
      <c r="A927" s="13">
        <f ca="1">A925*A923*1</f>
        <v>1.4921450172897042</v>
      </c>
      <c r="B927" s="13">
        <f t="shared" ref="B927:L927" ca="1" si="471">B925*B923*1</f>
        <v>2.5621241299905466</v>
      </c>
      <c r="C927" s="13">
        <f t="shared" ca="1" si="471"/>
        <v>3.5301640748896883</v>
      </c>
      <c r="D927" s="13">
        <f t="shared" ca="1" si="471"/>
        <v>4.6704378625008847</v>
      </c>
      <c r="E927" s="13">
        <f t="shared" ca="1" si="471"/>
        <v>6.1262119722850867</v>
      </c>
      <c r="F927" s="13">
        <f t="shared" ca="1" si="471"/>
        <v>6.8941213026209089</v>
      </c>
      <c r="G927" s="13">
        <f t="shared" ca="1" si="471"/>
        <v>7.5258159922716361</v>
      </c>
      <c r="H927" s="13">
        <f t="shared" ca="1" si="471"/>
        <v>7.3153137691980481</v>
      </c>
      <c r="I927" s="13">
        <f t="shared" ca="1" si="471"/>
        <v>5.3953500730258641</v>
      </c>
      <c r="J927" s="13">
        <f t="shared" ca="1" si="471"/>
        <v>3.107664516781083</v>
      </c>
      <c r="K927" s="13">
        <f t="shared" ca="1" si="471"/>
        <v>1.7872937945683702</v>
      </c>
      <c r="L927" s="13">
        <f t="shared" ca="1" si="471"/>
        <v>1.3092716746955047</v>
      </c>
    </row>
    <row r="928" spans="1:14" x14ac:dyDescent="0.3">
      <c r="A928" s="74"/>
      <c r="B928" s="74"/>
      <c r="C928" s="74"/>
      <c r="D928" s="74"/>
      <c r="E928" s="74"/>
      <c r="F928" s="74"/>
      <c r="G928" s="74"/>
      <c r="H928" s="74"/>
      <c r="I928" s="74"/>
      <c r="J928" s="74"/>
      <c r="K928" s="74"/>
      <c r="L928" s="26"/>
    </row>
    <row r="929" spans="1:12" ht="18.600000000000001" x14ac:dyDescent="0.4">
      <c r="A929" s="667" t="s">
        <v>133</v>
      </c>
      <c r="B929" s="589"/>
      <c r="C929" s="589"/>
      <c r="D929" s="589"/>
      <c r="E929" s="589"/>
      <c r="F929" s="589"/>
      <c r="G929" s="589"/>
      <c r="H929" s="589"/>
      <c r="I929" s="240"/>
      <c r="J929" s="11" t="s">
        <v>134</v>
      </c>
      <c r="K929" s="453">
        <v>0.95</v>
      </c>
      <c r="L929" s="26"/>
    </row>
    <row r="930" spans="1:12" ht="18.600000000000001" x14ac:dyDescent="0.4">
      <c r="A930" s="667" t="s">
        <v>135</v>
      </c>
      <c r="B930" s="589"/>
      <c r="C930" s="589"/>
      <c r="D930" s="589"/>
      <c r="E930" s="589"/>
      <c r="F930" s="589"/>
      <c r="G930" s="589"/>
      <c r="H930" s="589"/>
      <c r="I930" s="74"/>
      <c r="J930" s="11" t="s">
        <v>134</v>
      </c>
      <c r="K930" s="453">
        <v>0.95</v>
      </c>
      <c r="L930" s="26"/>
    </row>
    <row r="931" spans="1:12" x14ac:dyDescent="0.3">
      <c r="A931" s="74"/>
      <c r="B931" s="74"/>
      <c r="C931" s="74"/>
      <c r="D931" s="74"/>
      <c r="E931" s="74"/>
      <c r="F931" s="74"/>
      <c r="G931" s="74"/>
      <c r="H931" s="74"/>
      <c r="I931" s="74"/>
      <c r="J931" s="74"/>
      <c r="K931" s="74"/>
      <c r="L931" s="26"/>
    </row>
    <row r="932" spans="1:12" ht="18" x14ac:dyDescent="0.35">
      <c r="A932" s="667" t="s">
        <v>136</v>
      </c>
      <c r="B932" s="589"/>
      <c r="C932" s="589"/>
      <c r="D932" s="589"/>
      <c r="E932" s="589"/>
      <c r="F932" s="589"/>
      <c r="G932" s="589"/>
      <c r="H932" s="589"/>
      <c r="I932" s="11" t="s">
        <v>1031</v>
      </c>
      <c r="J932" s="453">
        <v>0</v>
      </c>
      <c r="L932" s="26"/>
    </row>
    <row r="933" spans="1:12" ht="19.2" x14ac:dyDescent="0.4">
      <c r="A933" s="667" t="s">
        <v>137</v>
      </c>
      <c r="B933" s="589"/>
      <c r="C933" s="589"/>
      <c r="D933" s="589"/>
      <c r="E933" s="589"/>
      <c r="F933" s="589"/>
      <c r="G933" s="589"/>
      <c r="H933" s="589"/>
      <c r="I933" s="454" t="s">
        <v>138</v>
      </c>
      <c r="J933" s="453">
        <v>1.7</v>
      </c>
      <c r="K933" s="455" t="s">
        <v>139</v>
      </c>
    </row>
    <row r="934" spans="1:12" ht="18.600000000000001" x14ac:dyDescent="0.35">
      <c r="A934" s="667" t="s">
        <v>140</v>
      </c>
      <c r="B934" s="589"/>
      <c r="C934" s="589"/>
      <c r="D934" s="589"/>
      <c r="E934" s="589"/>
      <c r="F934" s="589"/>
      <c r="G934" s="589"/>
      <c r="H934" s="589"/>
      <c r="I934" s="454" t="s">
        <v>141</v>
      </c>
      <c r="J934" s="74">
        <f>J933*J932</f>
        <v>0</v>
      </c>
      <c r="K934" s="455" t="s">
        <v>139</v>
      </c>
    </row>
    <row r="935" spans="1:12" ht="18.600000000000001" x14ac:dyDescent="0.4">
      <c r="A935" s="667" t="s">
        <v>142</v>
      </c>
      <c r="B935" s="589"/>
      <c r="C935" s="589"/>
      <c r="D935" s="589"/>
      <c r="E935" s="589"/>
      <c r="F935" s="589"/>
      <c r="G935" s="589"/>
      <c r="H935" s="589"/>
      <c r="I935" s="454" t="s">
        <v>143</v>
      </c>
      <c r="J935" s="453">
        <v>1</v>
      </c>
      <c r="K935" s="26"/>
    </row>
    <row r="936" spans="1:12" ht="18.600000000000001" x14ac:dyDescent="0.4">
      <c r="A936" s="667" t="s">
        <v>144</v>
      </c>
      <c r="B936" s="589"/>
      <c r="C936" s="589"/>
      <c r="D936" s="589"/>
      <c r="E936" s="589"/>
      <c r="F936" s="589"/>
      <c r="G936" s="589"/>
      <c r="H936" s="589"/>
      <c r="I936" s="454" t="s">
        <v>145</v>
      </c>
      <c r="J936" s="453">
        <v>0.96</v>
      </c>
      <c r="K936" s="26"/>
    </row>
    <row r="937" spans="1:12" ht="19.2" x14ac:dyDescent="0.4">
      <c r="A937" s="667" t="s">
        <v>146</v>
      </c>
      <c r="B937" s="589"/>
      <c r="C937" s="589"/>
      <c r="D937" s="589"/>
      <c r="E937" s="589"/>
      <c r="F937" s="589"/>
      <c r="G937" s="589"/>
      <c r="H937" s="589"/>
      <c r="I937" s="454" t="s">
        <v>147</v>
      </c>
      <c r="J937" s="453">
        <v>4.04</v>
      </c>
      <c r="K937" s="26" t="s">
        <v>148</v>
      </c>
    </row>
    <row r="938" spans="1:12" ht="18.600000000000001" x14ac:dyDescent="0.4">
      <c r="A938" s="667" t="s">
        <v>149</v>
      </c>
      <c r="B938" s="589"/>
      <c r="C938" s="589"/>
      <c r="D938" s="589"/>
      <c r="E938" s="589"/>
      <c r="F938" s="589"/>
      <c r="G938" s="589"/>
      <c r="H938" s="589"/>
      <c r="I938" s="454" t="s">
        <v>150</v>
      </c>
      <c r="J938" s="658">
        <f ca="1">K817+K818</f>
        <v>3661.3296</v>
      </c>
      <c r="K938" s="659"/>
      <c r="L938" s="455" t="s">
        <v>945</v>
      </c>
    </row>
    <row r="939" spans="1:12" x14ac:dyDescent="0.3">
      <c r="A939" s="74"/>
      <c r="B939" s="74"/>
      <c r="C939" s="74"/>
      <c r="D939" s="74"/>
      <c r="E939" s="74"/>
      <c r="F939" s="74"/>
      <c r="G939" s="74"/>
      <c r="H939" s="74"/>
      <c r="I939" s="74"/>
      <c r="J939" s="74"/>
      <c r="K939" s="74"/>
      <c r="L939" s="26"/>
    </row>
    <row r="940" spans="1:12" x14ac:dyDescent="0.3">
      <c r="A940" s="565" t="s">
        <v>151</v>
      </c>
      <c r="B940" s="565"/>
      <c r="C940" s="565"/>
      <c r="D940" s="565"/>
      <c r="E940" s="565"/>
      <c r="F940" s="565"/>
      <c r="G940" s="565"/>
      <c r="H940" s="565"/>
      <c r="I940" s="565"/>
      <c r="J940" s="565"/>
      <c r="K940" s="565"/>
      <c r="L940" s="565"/>
    </row>
    <row r="941" spans="1:12" x14ac:dyDescent="0.3">
      <c r="A941" s="13">
        <v>31</v>
      </c>
      <c r="B941" s="13">
        <v>28</v>
      </c>
      <c r="C941" s="13">
        <v>31</v>
      </c>
      <c r="D941" s="13">
        <v>30</v>
      </c>
      <c r="E941" s="13">
        <v>31</v>
      </c>
      <c r="F941" s="13">
        <v>30</v>
      </c>
      <c r="G941" s="13">
        <v>31</v>
      </c>
      <c r="H941" s="13">
        <v>31</v>
      </c>
      <c r="I941" s="13">
        <v>30</v>
      </c>
      <c r="J941" s="13">
        <v>31</v>
      </c>
      <c r="K941" s="13">
        <v>30</v>
      </c>
      <c r="L941" s="13">
        <v>31</v>
      </c>
    </row>
    <row r="942" spans="1:12" x14ac:dyDescent="0.3">
      <c r="A942" s="565" t="s">
        <v>295</v>
      </c>
      <c r="B942" s="565"/>
      <c r="C942" s="565"/>
      <c r="D942" s="565"/>
      <c r="E942" s="565"/>
      <c r="F942" s="565"/>
      <c r="G942" s="565"/>
      <c r="H942" s="565"/>
      <c r="I942" s="565"/>
      <c r="J942" s="565"/>
      <c r="K942" s="565"/>
      <c r="L942" s="565"/>
    </row>
    <row r="943" spans="1:12" x14ac:dyDescent="0.3">
      <c r="A943" s="456">
        <f>A941*24</f>
        <v>744</v>
      </c>
      <c r="B943" s="456">
        <f t="shared" ref="B943:L943" si="472">B941*24</f>
        <v>672</v>
      </c>
      <c r="C943" s="456">
        <f t="shared" si="472"/>
        <v>744</v>
      </c>
      <c r="D943" s="456">
        <f t="shared" si="472"/>
        <v>720</v>
      </c>
      <c r="E943" s="456">
        <f t="shared" si="472"/>
        <v>744</v>
      </c>
      <c r="F943" s="456">
        <f t="shared" si="472"/>
        <v>720</v>
      </c>
      <c r="G943" s="456">
        <f t="shared" si="472"/>
        <v>744</v>
      </c>
      <c r="H943" s="456">
        <f t="shared" si="472"/>
        <v>744</v>
      </c>
      <c r="I943" s="456">
        <f t="shared" si="472"/>
        <v>720</v>
      </c>
      <c r="J943" s="456">
        <f t="shared" si="472"/>
        <v>744</v>
      </c>
      <c r="K943" s="456">
        <f t="shared" si="472"/>
        <v>720</v>
      </c>
      <c r="L943" s="456">
        <f t="shared" si="472"/>
        <v>744</v>
      </c>
    </row>
    <row r="944" spans="1:12" ht="18.600000000000001" x14ac:dyDescent="0.4">
      <c r="A944" s="932" t="s">
        <v>152</v>
      </c>
      <c r="B944" s="565"/>
      <c r="C944" s="565"/>
      <c r="D944" s="565"/>
      <c r="E944" s="565"/>
      <c r="F944" s="565"/>
      <c r="G944" s="565"/>
      <c r="H944" s="565"/>
      <c r="I944" s="565"/>
      <c r="J944" s="565"/>
      <c r="K944" s="565"/>
      <c r="L944" s="565"/>
    </row>
    <row r="945" spans="1:12" x14ac:dyDescent="0.3">
      <c r="A945" s="13">
        <f ca="1">'Климатични зони'!AD9</f>
        <v>2.2000000000000002</v>
      </c>
      <c r="B945" s="13">
        <f ca="1">'Климатични зони'!AE9</f>
        <v>2.9</v>
      </c>
      <c r="C945" s="13">
        <f ca="1">'Климатични зони'!AF9</f>
        <v>5.7</v>
      </c>
      <c r="D945" s="13">
        <f ca="1">'Климатични зони'!AG9</f>
        <v>10.9</v>
      </c>
      <c r="E945" s="13">
        <f ca="1">'Климатични зони'!AD16</f>
        <v>16</v>
      </c>
      <c r="F945" s="13">
        <f ca="1">'Климатични зони'!AE16</f>
        <v>20.6</v>
      </c>
      <c r="G945" s="13">
        <f ca="1">'Климатични зони'!AF16</f>
        <v>23.4</v>
      </c>
      <c r="H945" s="13">
        <f ca="1">'Климатични зони'!AG16</f>
        <v>23.1</v>
      </c>
      <c r="I945" s="13">
        <f ca="1">'Климатични зони'!AH16</f>
        <v>19.7</v>
      </c>
      <c r="J945" s="13">
        <f ca="1">'Климатични зони'!AH9</f>
        <v>14.5</v>
      </c>
      <c r="K945" s="13">
        <f ca="1">'Климатични зони'!AI9</f>
        <v>9.4</v>
      </c>
      <c r="L945" s="13">
        <f ca="1">'Климатични зони'!AJ9</f>
        <v>4.5999999999999996</v>
      </c>
    </row>
    <row r="946" spans="1:12" x14ac:dyDescent="0.3">
      <c r="A946" s="565" t="s">
        <v>153</v>
      </c>
      <c r="B946" s="565"/>
      <c r="C946" s="565"/>
      <c r="D946" s="565"/>
      <c r="E946" s="565"/>
      <c r="F946" s="565"/>
      <c r="G946" s="565"/>
      <c r="H946" s="565"/>
      <c r="I946" s="565"/>
      <c r="J946" s="565"/>
      <c r="K946" s="565"/>
      <c r="L946" s="565"/>
    </row>
    <row r="947" spans="1:12" x14ac:dyDescent="0.3">
      <c r="A947" s="456">
        <f ca="1">$J935*$J937*($J936/$J935)*(100-A945)*A943*$J934/($J938*1000)</f>
        <v>0</v>
      </c>
      <c r="B947" s="456">
        <f t="shared" ref="B947:L947" ca="1" si="473">$J935*$J937*($J936/$J935)*(100-B945)*B943*$J934/($J938*1000)</f>
        <v>0</v>
      </c>
      <c r="C947" s="456">
        <f t="shared" ca="1" si="473"/>
        <v>0</v>
      </c>
      <c r="D947" s="456">
        <f t="shared" ca="1" si="473"/>
        <v>0</v>
      </c>
      <c r="E947" s="456">
        <f t="shared" ca="1" si="473"/>
        <v>0</v>
      </c>
      <c r="F947" s="456">
        <f t="shared" ca="1" si="473"/>
        <v>0</v>
      </c>
      <c r="G947" s="456">
        <f t="shared" ca="1" si="473"/>
        <v>0</v>
      </c>
      <c r="H947" s="456">
        <f t="shared" ca="1" si="473"/>
        <v>0</v>
      </c>
      <c r="I947" s="456">
        <f t="shared" ca="1" si="473"/>
        <v>0</v>
      </c>
      <c r="J947" s="456">
        <f t="shared" ca="1" si="473"/>
        <v>0</v>
      </c>
      <c r="K947" s="456">
        <f t="shared" ca="1" si="473"/>
        <v>0</v>
      </c>
      <c r="L947" s="456">
        <f t="shared" ca="1" si="473"/>
        <v>0</v>
      </c>
    </row>
    <row r="948" spans="1:12" x14ac:dyDescent="0.3">
      <c r="A948" s="565" t="s">
        <v>154</v>
      </c>
      <c r="B948" s="565"/>
      <c r="C948" s="565"/>
      <c r="D948" s="565"/>
      <c r="E948" s="565"/>
      <c r="F948" s="565"/>
      <c r="G948" s="565"/>
      <c r="H948" s="565"/>
      <c r="I948" s="565"/>
      <c r="J948" s="565"/>
      <c r="K948" s="565"/>
      <c r="L948" s="565"/>
    </row>
    <row r="949" spans="1:12" x14ac:dyDescent="0.3">
      <c r="A949" s="13">
        <f ca="1">$J935*1*($J936/$J935)*$K929*A927*A941*$J934/$J938</f>
        <v>0</v>
      </c>
      <c r="B949" s="13">
        <f t="shared" ref="B949:L949" ca="1" si="474">$J935*1*($J936/$J935)*$K929*B927*B941*$J934/$J938</f>
        <v>0</v>
      </c>
      <c r="C949" s="13">
        <f t="shared" ca="1" si="474"/>
        <v>0</v>
      </c>
      <c r="D949" s="13">
        <f t="shared" ca="1" si="474"/>
        <v>0</v>
      </c>
      <c r="E949" s="13">
        <f t="shared" ca="1" si="474"/>
        <v>0</v>
      </c>
      <c r="F949" s="13">
        <f t="shared" ca="1" si="474"/>
        <v>0</v>
      </c>
      <c r="G949" s="13">
        <f t="shared" ca="1" si="474"/>
        <v>0</v>
      </c>
      <c r="H949" s="13">
        <f t="shared" ca="1" si="474"/>
        <v>0</v>
      </c>
      <c r="I949" s="13">
        <f t="shared" ca="1" si="474"/>
        <v>0</v>
      </c>
      <c r="J949" s="13">
        <f t="shared" ca="1" si="474"/>
        <v>0</v>
      </c>
      <c r="K949" s="13">
        <f t="shared" ca="1" si="474"/>
        <v>0</v>
      </c>
      <c r="L949" s="13">
        <f t="shared" ca="1" si="474"/>
        <v>0</v>
      </c>
    </row>
    <row r="950" spans="1:12" x14ac:dyDescent="0.3">
      <c r="A950" s="565" t="s">
        <v>155</v>
      </c>
      <c r="B950" s="565"/>
      <c r="C950" s="565"/>
      <c r="D950" s="565"/>
      <c r="E950" s="565"/>
      <c r="F950" s="565"/>
      <c r="G950" s="565"/>
      <c r="H950" s="565"/>
      <c r="I950" s="565"/>
      <c r="J950" s="565"/>
      <c r="K950" s="565"/>
      <c r="L950" s="565"/>
    </row>
    <row r="951" spans="1:12" x14ac:dyDescent="0.3">
      <c r="A951" s="13">
        <f ca="1">1.029*A949-0.065*A947-0.245*A949^2+0.0018*A947^2+0.0215*A949^3</f>
        <v>0</v>
      </c>
      <c r="B951" s="13">
        <f t="shared" ref="B951:L951" ca="1" si="475">1.029*B949-0.065*B947-0.245*B949^2+0.0018*B947^2+0.0215*B949^3</f>
        <v>0</v>
      </c>
      <c r="C951" s="13">
        <f t="shared" ca="1" si="475"/>
        <v>0</v>
      </c>
      <c r="D951" s="13">
        <f t="shared" ca="1" si="475"/>
        <v>0</v>
      </c>
      <c r="E951" s="13">
        <f t="shared" ca="1" si="475"/>
        <v>0</v>
      </c>
      <c r="F951" s="13">
        <f t="shared" ca="1" si="475"/>
        <v>0</v>
      </c>
      <c r="G951" s="13">
        <f t="shared" ca="1" si="475"/>
        <v>0</v>
      </c>
      <c r="H951" s="13">
        <f t="shared" ca="1" si="475"/>
        <v>0</v>
      </c>
      <c r="I951" s="13">
        <f t="shared" ca="1" si="475"/>
        <v>0</v>
      </c>
      <c r="J951" s="13">
        <f t="shared" ca="1" si="475"/>
        <v>0</v>
      </c>
      <c r="K951" s="13">
        <f t="shared" ca="1" si="475"/>
        <v>0</v>
      </c>
      <c r="L951" s="13">
        <f t="shared" ca="1" si="475"/>
        <v>0</v>
      </c>
    </row>
    <row r="952" spans="1:12" ht="18.600000000000001" x14ac:dyDescent="0.4">
      <c r="A952" s="565" t="s">
        <v>156</v>
      </c>
      <c r="B952" s="565"/>
      <c r="C952" s="565"/>
      <c r="D952" s="565"/>
      <c r="E952" s="565"/>
      <c r="F952" s="565"/>
      <c r="G952" s="565"/>
      <c r="H952" s="565"/>
      <c r="I952" s="565"/>
      <c r="J952" s="565"/>
      <c r="K952" s="565"/>
      <c r="L952" s="565"/>
    </row>
    <row r="953" spans="1:12" x14ac:dyDescent="0.3">
      <c r="A953" s="13">
        <f ca="1">IF(A951&lt;=0,0,IF($J938*A951&gt;A955,A955,$J938*A951))</f>
        <v>0</v>
      </c>
      <c r="B953" s="13">
        <f t="shared" ref="B953:L953" ca="1" si="476">IF(B951&lt;=0,0,IF($J938*B951&gt;B955,B955,$J938*B951))</f>
        <v>0</v>
      </c>
      <c r="C953" s="13">
        <f t="shared" ca="1" si="476"/>
        <v>0</v>
      </c>
      <c r="D953" s="13">
        <f t="shared" ca="1" si="476"/>
        <v>0</v>
      </c>
      <c r="E953" s="13">
        <f t="shared" ca="1" si="476"/>
        <v>0</v>
      </c>
      <c r="F953" s="13">
        <f t="shared" ca="1" si="476"/>
        <v>0</v>
      </c>
      <c r="G953" s="13">
        <f t="shared" ca="1" si="476"/>
        <v>0</v>
      </c>
      <c r="H953" s="13">
        <f t="shared" ca="1" si="476"/>
        <v>0</v>
      </c>
      <c r="I953" s="13">
        <f t="shared" ca="1" si="476"/>
        <v>0</v>
      </c>
      <c r="J953" s="13">
        <f t="shared" ca="1" si="476"/>
        <v>0</v>
      </c>
      <c r="K953" s="13">
        <f t="shared" ca="1" si="476"/>
        <v>0</v>
      </c>
      <c r="L953" s="13">
        <f t="shared" ca="1" si="476"/>
        <v>0</v>
      </c>
    </row>
    <row r="954" spans="1:12" ht="18.600000000000001" x14ac:dyDescent="0.4">
      <c r="A954" s="565" t="s">
        <v>157</v>
      </c>
      <c r="B954" s="565"/>
      <c r="C954" s="565"/>
      <c r="D954" s="565"/>
      <c r="E954" s="565"/>
      <c r="F954" s="565"/>
      <c r="G954" s="565"/>
      <c r="H954" s="565"/>
      <c r="I954" s="565"/>
      <c r="J954" s="565"/>
      <c r="K954" s="565"/>
      <c r="L954" s="565"/>
    </row>
    <row r="955" spans="1:12" x14ac:dyDescent="0.3">
      <c r="A955" s="457">
        <f ca="1">IF(A804&lt;&gt;0,$K816*A804*$K$807*$K$808,0)</f>
        <v>310.96224000000001</v>
      </c>
      <c r="B955" s="457">
        <f t="shared" ref="B955:L955" ca="1" si="477">IF(B804&lt;&gt;0,$K816*B804*$K$807*$K$808,0)</f>
        <v>280.86911999999995</v>
      </c>
      <c r="C955" s="457">
        <f t="shared" ca="1" si="477"/>
        <v>310.96224000000001</v>
      </c>
      <c r="D955" s="457">
        <f t="shared" ca="1" si="477"/>
        <v>300.93119999999999</v>
      </c>
      <c r="E955" s="457">
        <f t="shared" ca="1" si="477"/>
        <v>310.96224000000001</v>
      </c>
      <c r="F955" s="457">
        <f t="shared" ca="1" si="477"/>
        <v>300.93119999999999</v>
      </c>
      <c r="G955" s="457">
        <f t="shared" ca="1" si="477"/>
        <v>310.96224000000001</v>
      </c>
      <c r="H955" s="457">
        <f t="shared" ca="1" si="477"/>
        <v>310.96224000000001</v>
      </c>
      <c r="I955" s="457">
        <f t="shared" ca="1" si="477"/>
        <v>300.93119999999999</v>
      </c>
      <c r="J955" s="457">
        <f t="shared" ca="1" si="477"/>
        <v>310.96224000000001</v>
      </c>
      <c r="K955" s="457">
        <f t="shared" ca="1" si="477"/>
        <v>300.93119999999999</v>
      </c>
      <c r="L955" s="457">
        <f t="shared" ca="1" si="477"/>
        <v>310.96224000000001</v>
      </c>
    </row>
    <row r="956" spans="1:12" x14ac:dyDescent="0.3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</row>
    <row r="957" spans="1:12" ht="19.8" x14ac:dyDescent="0.4">
      <c r="A957" s="644" t="s">
        <v>159</v>
      </c>
      <c r="B957" s="645"/>
      <c r="C957" s="645"/>
      <c r="D957" s="645"/>
      <c r="E957" s="645"/>
      <c r="F957" s="645"/>
      <c r="G957" s="645"/>
      <c r="H957" s="645"/>
      <c r="I957" s="19" t="s">
        <v>161</v>
      </c>
      <c r="J957" s="664">
        <f ca="1">SUM(A953:D953,J953:L953)</f>
        <v>0</v>
      </c>
      <c r="K957" s="664"/>
      <c r="L957" s="458" t="s">
        <v>945</v>
      </c>
    </row>
    <row r="958" spans="1:12" ht="19.8" x14ac:dyDescent="0.4">
      <c r="A958" s="644" t="s">
        <v>160</v>
      </c>
      <c r="B958" s="645"/>
      <c r="C958" s="645"/>
      <c r="D958" s="645"/>
      <c r="E958" s="645"/>
      <c r="F958" s="645"/>
      <c r="G958" s="645"/>
      <c r="H958" s="645"/>
      <c r="I958" s="19" t="s">
        <v>161</v>
      </c>
      <c r="J958" s="664">
        <f ca="1">SUM(E953:I953)</f>
        <v>0</v>
      </c>
      <c r="K958" s="664"/>
      <c r="L958" s="458" t="s">
        <v>945</v>
      </c>
    </row>
    <row r="959" spans="1:12" ht="19.8" x14ac:dyDescent="0.4">
      <c r="A959" s="644" t="s">
        <v>158</v>
      </c>
      <c r="B959" s="645"/>
      <c r="C959" s="645"/>
      <c r="D959" s="645"/>
      <c r="E959" s="645"/>
      <c r="F959" s="645"/>
      <c r="G959" s="645"/>
      <c r="H959" s="645"/>
      <c r="I959" s="19" t="s">
        <v>161</v>
      </c>
      <c r="J959" s="664">
        <f ca="1">J957+J958</f>
        <v>0</v>
      </c>
      <c r="K959" s="664"/>
      <c r="L959" s="458" t="s">
        <v>945</v>
      </c>
    </row>
    <row r="960" spans="1:12" ht="18" x14ac:dyDescent="0.35">
      <c r="A960" s="504"/>
      <c r="B960" s="505"/>
      <c r="C960" s="505"/>
      <c r="D960" s="505"/>
      <c r="E960" s="505"/>
      <c r="F960" s="505"/>
      <c r="G960" s="505"/>
      <c r="H960" s="505"/>
      <c r="I960" s="19"/>
      <c r="J960" s="503"/>
      <c r="K960" s="503"/>
      <c r="L960" s="458"/>
    </row>
    <row r="961" spans="1:41" ht="19.8" x14ac:dyDescent="0.4">
      <c r="A961" s="644" t="s">
        <v>1171</v>
      </c>
      <c r="B961" s="645"/>
      <c r="C961" s="645"/>
      <c r="D961" s="645"/>
      <c r="E961" s="645"/>
      <c r="F961" s="645"/>
      <c r="G961" s="645"/>
      <c r="H961" s="645"/>
      <c r="I961" s="19" t="s">
        <v>161</v>
      </c>
      <c r="J961" s="646">
        <v>0</v>
      </c>
      <c r="K961" s="647"/>
      <c r="L961" s="458" t="s">
        <v>945</v>
      </c>
    </row>
    <row r="962" spans="1:41" x14ac:dyDescent="0.3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</row>
    <row r="963" spans="1:41" ht="18" x14ac:dyDescent="0.35">
      <c r="A963" s="783" t="s">
        <v>1244</v>
      </c>
      <c r="B963" s="784"/>
      <c r="C963" s="784"/>
      <c r="D963" s="784"/>
      <c r="E963" s="784"/>
      <c r="F963" s="784"/>
      <c r="G963" s="784"/>
      <c r="H963" s="784"/>
      <c r="I963" s="784"/>
      <c r="J963" s="784"/>
      <c r="K963" s="784"/>
      <c r="L963" s="589"/>
      <c r="M963" s="199"/>
    </row>
    <row r="964" spans="1:41" ht="18" x14ac:dyDescent="0.35">
      <c r="A964" s="120"/>
      <c r="B964" s="71"/>
      <c r="C964" s="71"/>
      <c r="D964" s="71"/>
      <c r="E964" s="71"/>
      <c r="F964" s="71"/>
      <c r="G964" s="71"/>
      <c r="H964" s="71"/>
      <c r="I964" s="71"/>
      <c r="J964" s="71"/>
      <c r="K964" s="71"/>
    </row>
    <row r="965" spans="1:41" x14ac:dyDescent="0.3">
      <c r="A965" s="619" t="s">
        <v>756</v>
      </c>
      <c r="B965" s="568"/>
      <c r="C965" s="568"/>
      <c r="D965" s="568"/>
      <c r="E965" s="574" t="s">
        <v>312</v>
      </c>
      <c r="F965" s="575"/>
      <c r="G965" s="566"/>
      <c r="H965" s="566"/>
      <c r="I965" s="611" t="s">
        <v>1178</v>
      </c>
      <c r="J965" s="575"/>
      <c r="K965" s="611" t="s">
        <v>1190</v>
      </c>
      <c r="L965" s="611" t="s">
        <v>1187</v>
      </c>
      <c r="M965" s="342"/>
      <c r="O965" s="489"/>
      <c r="P965" s="489"/>
      <c r="Q965" s="890"/>
      <c r="R965" s="890"/>
      <c r="S965" s="890"/>
      <c r="T965" s="890"/>
    </row>
    <row r="966" spans="1:41" x14ac:dyDescent="0.3">
      <c r="A966" s="568"/>
      <c r="B966" s="568"/>
      <c r="C966" s="568"/>
      <c r="D966" s="568"/>
      <c r="E966" s="575"/>
      <c r="F966" s="575"/>
      <c r="G966" s="566"/>
      <c r="H966" s="566"/>
      <c r="I966" s="575"/>
      <c r="J966" s="575"/>
      <c r="K966" s="575"/>
      <c r="L966" s="575"/>
      <c r="M966" s="343"/>
      <c r="O966" s="489"/>
      <c r="P966" s="489"/>
      <c r="Q966" s="891"/>
      <c r="R966" s="891"/>
      <c r="S966" s="891"/>
      <c r="T966" s="891"/>
    </row>
    <row r="967" spans="1:41" ht="26.4" x14ac:dyDescent="0.3">
      <c r="A967" s="568"/>
      <c r="B967" s="568"/>
      <c r="C967" s="568"/>
      <c r="D967" s="568"/>
      <c r="E967" s="617" t="s">
        <v>1186</v>
      </c>
      <c r="F967" s="618"/>
      <c r="G967" s="617" t="s">
        <v>945</v>
      </c>
      <c r="H967" s="618"/>
      <c r="I967" s="620" t="s">
        <v>950</v>
      </c>
      <c r="J967" s="618"/>
      <c r="K967" s="507" t="s">
        <v>812</v>
      </c>
      <c r="L967" s="525" t="s">
        <v>663</v>
      </c>
      <c r="M967" s="343"/>
      <c r="O967" s="489"/>
      <c r="P967" s="513"/>
      <c r="Q967" s="252"/>
      <c r="R967" s="252"/>
      <c r="S967" s="252"/>
      <c r="T967" s="489"/>
      <c r="U967" s="240"/>
      <c r="V967" s="240"/>
      <c r="AK967" s="1" t="s">
        <v>1202</v>
      </c>
      <c r="AL967" s="1" t="s">
        <v>1202</v>
      </c>
      <c r="AO967" s="1" t="s">
        <v>1251</v>
      </c>
    </row>
    <row r="968" spans="1:41" x14ac:dyDescent="0.3">
      <c r="A968" s="648" t="s">
        <v>1177</v>
      </c>
      <c r="B968" s="602"/>
      <c r="C968" s="602"/>
      <c r="D968" s="602"/>
      <c r="E968" s="602"/>
      <c r="F968" s="602"/>
      <c r="G968" s="602"/>
      <c r="H968" s="602"/>
      <c r="I968" s="602"/>
      <c r="J968" s="602"/>
      <c r="K968" s="602"/>
      <c r="L968" s="580"/>
      <c r="M968" s="343"/>
      <c r="O968" s="489"/>
      <c r="P968" s="513"/>
      <c r="Q968" s="252"/>
      <c r="R968" s="252"/>
      <c r="S968" s="252"/>
      <c r="T968" s="489"/>
      <c r="U968" s="240"/>
      <c r="V968" s="240"/>
      <c r="AE968" s="1" t="s">
        <v>1202</v>
      </c>
      <c r="AF968" s="1" t="s">
        <v>1203</v>
      </c>
      <c r="AG968" s="1" t="s">
        <v>1204</v>
      </c>
      <c r="AK968" s="1" t="s">
        <v>945</v>
      </c>
      <c r="AL968" s="1" t="s">
        <v>1208</v>
      </c>
    </row>
    <row r="969" spans="1:41" x14ac:dyDescent="0.3">
      <c r="A969" s="609" t="s">
        <v>484</v>
      </c>
      <c r="B969" s="609"/>
      <c r="C969" s="609"/>
      <c r="D969" s="609"/>
      <c r="E969" s="576" t="e">
        <f t="shared" ref="E969:E979" ca="1" si="478">G969/C$25</f>
        <v>#DIV/0!</v>
      </c>
      <c r="F969" s="577"/>
      <c r="G969" s="599" t="e">
        <f ca="1">J831</f>
        <v>#DIV/0!</v>
      </c>
      <c r="H969" s="577"/>
      <c r="I969" s="612" t="str">
        <f t="shared" ref="I969:I974" ca="1" si="479">INDIRECT("X"&amp;ROW()+O969-N969)</f>
        <v>ел. енергия</v>
      </c>
      <c r="J969" s="612"/>
      <c r="K969" s="522">
        <v>486</v>
      </c>
      <c r="L969" s="506" t="e">
        <f ca="1">K969*G969/1000000</f>
        <v>#DIV/0!</v>
      </c>
      <c r="N969" s="517">
        <v>1</v>
      </c>
      <c r="O969" s="1">
        <f t="shared" ref="O969:O984" si="480">MATCH(K969,U$969:U$980,0)</f>
        <v>8</v>
      </c>
      <c r="P969" s="650" t="s">
        <v>1144</v>
      </c>
      <c r="Q969" s="650"/>
      <c r="R969" s="650"/>
      <c r="S969" s="650"/>
      <c r="T969" s="566"/>
      <c r="U969" s="396">
        <v>360</v>
      </c>
      <c r="V969" s="396">
        <v>1.1000000000000001</v>
      </c>
      <c r="W969" s="396">
        <v>0</v>
      </c>
      <c r="X969" s="71" t="s">
        <v>1157</v>
      </c>
      <c r="AA969" s="649" t="e">
        <f ca="1">J831</f>
        <v>#DIV/0!</v>
      </c>
      <c r="AB969" s="589"/>
      <c r="AD969" s="1">
        <f t="shared" ref="AD969:AD978" si="481">IF(K969=486,1,0)</f>
        <v>1</v>
      </c>
      <c r="AE969" s="1" t="e">
        <f t="shared" ref="AE969:AE978" ca="1" si="482">IF(AD969=1,G969,0)</f>
        <v>#DIV/0!</v>
      </c>
      <c r="AF969" s="1" t="e">
        <f t="shared" ref="AF969:AF978" ca="1" si="483">AE969/AE$979</f>
        <v>#DIV/0!</v>
      </c>
      <c r="AG969" s="1" t="e">
        <f t="shared" ref="AG969:AG978" ca="1" si="484">AG$979*AF969</f>
        <v>#DIV/0!</v>
      </c>
      <c r="AJ969" s="215">
        <f>IF(G208&gt;100,(G208-100)/100,0)</f>
        <v>3.2</v>
      </c>
      <c r="AK969" s="1" t="e">
        <f ca="1">AJ969*G969</f>
        <v>#DIV/0!</v>
      </c>
      <c r="AL969" s="1" t="e">
        <f ca="1">E969*AJ969</f>
        <v>#DIV/0!</v>
      </c>
      <c r="AO969" s="1">
        <f>IF(K969=40,G969,0)</f>
        <v>0</v>
      </c>
    </row>
    <row r="970" spans="1:41" x14ac:dyDescent="0.3">
      <c r="A970" s="609" t="s">
        <v>759</v>
      </c>
      <c r="B970" s="609"/>
      <c r="C970" s="609"/>
      <c r="D970" s="609"/>
      <c r="E970" s="576" t="e">
        <f t="shared" ca="1" si="478"/>
        <v>#DIV/0!</v>
      </c>
      <c r="F970" s="577"/>
      <c r="G970" s="599">
        <f ca="1">J856</f>
        <v>0</v>
      </c>
      <c r="H970" s="577"/>
      <c r="I970" s="612" t="str">
        <f t="shared" ca="1" si="479"/>
        <v>ел. енергия</v>
      </c>
      <c r="J970" s="612"/>
      <c r="K970" s="522">
        <v>486</v>
      </c>
      <c r="L970" s="506">
        <f t="shared" ref="L970:L984" ca="1" si="485">K970*G970/1000000</f>
        <v>0</v>
      </c>
      <c r="N970" s="517">
        <v>2</v>
      </c>
      <c r="O970" s="1">
        <f t="shared" si="480"/>
        <v>8</v>
      </c>
      <c r="P970" s="650" t="s">
        <v>1145</v>
      </c>
      <c r="Q970" s="650"/>
      <c r="R970" s="650"/>
      <c r="S970" s="650"/>
      <c r="T970" s="566"/>
      <c r="U970" s="396">
        <v>290</v>
      </c>
      <c r="V970" s="396">
        <v>1.1000000000000001</v>
      </c>
      <c r="W970" s="396">
        <v>0</v>
      </c>
      <c r="X970" s="71" t="s">
        <v>1158</v>
      </c>
      <c r="AA970" s="649">
        <f>IF(SUM(D741:J741)=0,0,J856)</f>
        <v>0</v>
      </c>
      <c r="AB970" s="589"/>
      <c r="AD970" s="1">
        <f t="shared" si="481"/>
        <v>1</v>
      </c>
      <c r="AE970" s="1">
        <f t="shared" ca="1" si="482"/>
        <v>0</v>
      </c>
      <c r="AF970" s="1" t="e">
        <f t="shared" ca="1" si="483"/>
        <v>#DIV/0!</v>
      </c>
      <c r="AG970" s="1" t="e">
        <f t="shared" ca="1" si="484"/>
        <v>#DIV/0!</v>
      </c>
      <c r="AJ970" s="215">
        <f>IF(I208&gt;100,(I208-100)/100,0)</f>
        <v>2.6</v>
      </c>
      <c r="AK970" s="1">
        <f ca="1">AJ970*G970</f>
        <v>0</v>
      </c>
      <c r="AL970" s="1" t="e">
        <f ca="1">E970*AJ970</f>
        <v>#DIV/0!</v>
      </c>
      <c r="AO970" s="1">
        <f t="shared" ref="AO970:AO978" si="486">IF(K970=40,G970,0)</f>
        <v>0</v>
      </c>
    </row>
    <row r="971" spans="1:41" x14ac:dyDescent="0.3">
      <c r="A971" s="609" t="s">
        <v>760</v>
      </c>
      <c r="B971" s="609"/>
      <c r="C971" s="609"/>
      <c r="D971" s="609"/>
      <c r="E971" s="576" t="e">
        <f t="shared" ca="1" si="478"/>
        <v>#DIV/0!</v>
      </c>
      <c r="F971" s="577"/>
      <c r="G971" s="599">
        <f ca="1">J876</f>
        <v>0</v>
      </c>
      <c r="H971" s="577"/>
      <c r="I971" s="612" t="str">
        <f t="shared" ca="1" si="479"/>
        <v>ел. енергия</v>
      </c>
      <c r="J971" s="612"/>
      <c r="K971" s="522">
        <v>486</v>
      </c>
      <c r="L971" s="506">
        <f t="shared" ca="1" si="485"/>
        <v>0</v>
      </c>
      <c r="N971" s="517">
        <v>3</v>
      </c>
      <c r="O971" s="1">
        <f t="shared" si="480"/>
        <v>8</v>
      </c>
      <c r="P971" s="650" t="s">
        <v>1146</v>
      </c>
      <c r="Q971" s="650"/>
      <c r="R971" s="650"/>
      <c r="S971" s="650"/>
      <c r="T971" s="566"/>
      <c r="U971" s="396">
        <v>220</v>
      </c>
      <c r="V971" s="396">
        <v>1.1000000000000001</v>
      </c>
      <c r="W971" s="396">
        <v>0</v>
      </c>
      <c r="X971" s="71" t="s">
        <v>1159</v>
      </c>
      <c r="Z971" s="484"/>
      <c r="AA971" s="486"/>
      <c r="AB971" s="484"/>
      <c r="AC971" s="484"/>
      <c r="AD971" s="1">
        <f t="shared" si="481"/>
        <v>1</v>
      </c>
      <c r="AE971" s="1">
        <f t="shared" ca="1" si="482"/>
        <v>0</v>
      </c>
      <c r="AF971" s="1" t="e">
        <f t="shared" ca="1" si="483"/>
        <v>#DIV/0!</v>
      </c>
      <c r="AG971" s="1" t="e">
        <f t="shared" ca="1" si="484"/>
        <v>#DIV/0!</v>
      </c>
      <c r="AJ971" s="345"/>
      <c r="AO971" s="1">
        <f t="shared" si="486"/>
        <v>0</v>
      </c>
    </row>
    <row r="972" spans="1:41" x14ac:dyDescent="0.3">
      <c r="A972" s="609" t="s">
        <v>757</v>
      </c>
      <c r="B972" s="609"/>
      <c r="C972" s="609"/>
      <c r="D972" s="609"/>
      <c r="E972" s="576" t="e">
        <f t="shared" ca="1" si="478"/>
        <v>#DIV/0!</v>
      </c>
      <c r="F972" s="577"/>
      <c r="G972" s="599" t="e">
        <f ca="1">J835</f>
        <v>#DIV/0!</v>
      </c>
      <c r="H972" s="577"/>
      <c r="I972" s="612" t="str">
        <f t="shared" ca="1" si="479"/>
        <v>ел. енергия</v>
      </c>
      <c r="J972" s="612"/>
      <c r="K972" s="522">
        <v>486</v>
      </c>
      <c r="L972" s="506" t="e">
        <f t="shared" ca="1" si="485"/>
        <v>#DIV/0!</v>
      </c>
      <c r="N972" s="517">
        <v>4</v>
      </c>
      <c r="O972" s="1">
        <f t="shared" si="480"/>
        <v>8</v>
      </c>
      <c r="P972" s="650" t="s">
        <v>1147</v>
      </c>
      <c r="Q972" s="650"/>
      <c r="R972" s="650"/>
      <c r="S972" s="650"/>
      <c r="T972" s="566"/>
      <c r="U972" s="396">
        <v>40</v>
      </c>
      <c r="V972" s="396">
        <v>0.2</v>
      </c>
      <c r="W972" s="396">
        <v>1</v>
      </c>
      <c r="X972" s="71" t="s">
        <v>1160</v>
      </c>
      <c r="Z972" s="484"/>
      <c r="AA972" s="484"/>
      <c r="AB972" s="484"/>
      <c r="AC972" s="484"/>
      <c r="AD972" s="1">
        <f t="shared" si="481"/>
        <v>1</v>
      </c>
      <c r="AE972" s="1" t="e">
        <f t="shared" ca="1" si="482"/>
        <v>#DIV/0!</v>
      </c>
      <c r="AF972" s="1" t="e">
        <f t="shared" ca="1" si="483"/>
        <v>#DIV/0!</v>
      </c>
      <c r="AG972" s="1" t="e">
        <f t="shared" ca="1" si="484"/>
        <v>#DIV/0!</v>
      </c>
      <c r="AJ972" s="344"/>
      <c r="AO972" s="1">
        <f t="shared" si="486"/>
        <v>0</v>
      </c>
    </row>
    <row r="973" spans="1:41" x14ac:dyDescent="0.3">
      <c r="A973" s="609" t="s">
        <v>743</v>
      </c>
      <c r="B973" s="609"/>
      <c r="C973" s="609"/>
      <c r="D973" s="609"/>
      <c r="E973" s="576" t="e">
        <f t="shared" ca="1" si="478"/>
        <v>#DIV/0!</v>
      </c>
      <c r="F973" s="577"/>
      <c r="G973" s="599">
        <f ca="1">J878</f>
        <v>2169.9800816326533</v>
      </c>
      <c r="H973" s="577"/>
      <c r="I973" s="612" t="str">
        <f t="shared" ca="1" si="479"/>
        <v>ел. енергия</v>
      </c>
      <c r="J973" s="612"/>
      <c r="K973" s="522">
        <v>486</v>
      </c>
      <c r="L973" s="506">
        <f t="shared" ca="1" si="485"/>
        <v>1.0546103196734695</v>
      </c>
      <c r="N973" s="517">
        <v>5</v>
      </c>
      <c r="O973" s="1">
        <f t="shared" si="480"/>
        <v>8</v>
      </c>
      <c r="P973" s="650" t="s">
        <v>1148</v>
      </c>
      <c r="Q973" s="650"/>
      <c r="R973" s="650"/>
      <c r="S973" s="650"/>
      <c r="T973" s="566"/>
      <c r="U973" s="396">
        <v>70</v>
      </c>
      <c r="V973" s="396">
        <v>0.5</v>
      </c>
      <c r="W973" s="396">
        <v>1</v>
      </c>
      <c r="X973" s="71" t="s">
        <v>1161</v>
      </c>
      <c r="AA973" s="649">
        <f ca="1">J878</f>
        <v>2169.9800816326533</v>
      </c>
      <c r="AB973" s="589"/>
      <c r="AD973" s="1">
        <f t="shared" si="481"/>
        <v>1</v>
      </c>
      <c r="AE973" s="1">
        <f t="shared" ca="1" si="482"/>
        <v>2169.9800816326533</v>
      </c>
      <c r="AF973" s="1" t="e">
        <f t="shared" ca="1" si="483"/>
        <v>#DIV/0!</v>
      </c>
      <c r="AG973" s="1" t="e">
        <f t="shared" ca="1" si="484"/>
        <v>#DIV/0!</v>
      </c>
      <c r="AJ973" s="215">
        <f>IF(K208&gt;100,(K208-100)/100,0)</f>
        <v>0</v>
      </c>
      <c r="AK973" s="1">
        <f ca="1">AJ973*G973</f>
        <v>0</v>
      </c>
      <c r="AL973" s="1" t="e">
        <f ca="1">E973*AJ973</f>
        <v>#DIV/0!</v>
      </c>
      <c r="AO973" s="1">
        <f t="shared" si="486"/>
        <v>0</v>
      </c>
    </row>
    <row r="974" spans="1:41" x14ac:dyDescent="0.3">
      <c r="A974" s="609" t="s">
        <v>744</v>
      </c>
      <c r="B974" s="609"/>
      <c r="C974" s="609"/>
      <c r="D974" s="609"/>
      <c r="E974" s="576" t="e">
        <f t="shared" ca="1" si="478"/>
        <v>#DIV/0!</v>
      </c>
      <c r="F974" s="577"/>
      <c r="G974" s="599">
        <f ca="1">J879</f>
        <v>1566.070530612245</v>
      </c>
      <c r="H974" s="577"/>
      <c r="I974" s="612" t="str">
        <f t="shared" ca="1" si="479"/>
        <v>ел. енергия</v>
      </c>
      <c r="J974" s="612"/>
      <c r="K974" s="522">
        <v>486</v>
      </c>
      <c r="L974" s="506">
        <f t="shared" ca="1" si="485"/>
        <v>0.76111027787755103</v>
      </c>
      <c r="N974" s="517">
        <v>6</v>
      </c>
      <c r="O974" s="1">
        <f t="shared" si="480"/>
        <v>8</v>
      </c>
      <c r="P974" s="650" t="s">
        <v>1149</v>
      </c>
      <c r="Q974" s="650"/>
      <c r="R974" s="650"/>
      <c r="S974" s="650"/>
      <c r="T974" s="566"/>
      <c r="U974" s="396">
        <v>100</v>
      </c>
      <c r="V974" s="396">
        <v>0.4</v>
      </c>
      <c r="W974" s="396">
        <v>1</v>
      </c>
      <c r="X974" s="71" t="s">
        <v>1162</v>
      </c>
      <c r="AD974" s="1">
        <f t="shared" si="481"/>
        <v>1</v>
      </c>
      <c r="AE974" s="1">
        <f t="shared" ca="1" si="482"/>
        <v>1566.070530612245</v>
      </c>
      <c r="AF974" s="1" t="e">
        <f t="shared" ca="1" si="483"/>
        <v>#DIV/0!</v>
      </c>
      <c r="AG974" s="1" t="e">
        <f t="shared" ca="1" si="484"/>
        <v>#DIV/0!</v>
      </c>
      <c r="AJ974" s="215">
        <f>IF(L208&gt;100,(L208-100)/100,0)</f>
        <v>0</v>
      </c>
      <c r="AK974" s="1">
        <f ca="1">AJ974*G974</f>
        <v>0</v>
      </c>
      <c r="AL974" s="1" t="e">
        <f ca="1">E974*AJ974</f>
        <v>#DIV/0!</v>
      </c>
      <c r="AO974" s="1">
        <f t="shared" si="486"/>
        <v>0</v>
      </c>
    </row>
    <row r="975" spans="1:41" x14ac:dyDescent="0.3">
      <c r="A975" s="608" t="s">
        <v>1237</v>
      </c>
      <c r="B975" s="609"/>
      <c r="C975" s="609"/>
      <c r="D975" s="609"/>
      <c r="E975" s="576" t="e">
        <f ca="1">G975/C$25</f>
        <v>#DIV/0!</v>
      </c>
      <c r="F975" s="577"/>
      <c r="G975" s="599">
        <f ca="1">SUM(J824:K827)</f>
        <v>0</v>
      </c>
      <c r="H975" s="577"/>
      <c r="I975" s="612" t="str">
        <f ca="1">INDIRECT("X"&amp;ROW()+O975-N975)</f>
        <v>ел. енергия</v>
      </c>
      <c r="J975" s="612"/>
      <c r="K975" s="522">
        <v>486</v>
      </c>
      <c r="L975" s="506">
        <f ca="1">K975*G975/1000000</f>
        <v>0</v>
      </c>
      <c r="N975" s="517">
        <v>7</v>
      </c>
      <c r="O975" s="1">
        <f t="shared" si="480"/>
        <v>8</v>
      </c>
      <c r="P975" s="650" t="s">
        <v>212</v>
      </c>
      <c r="Q975" s="650"/>
      <c r="R975" s="650"/>
      <c r="S975" s="650"/>
      <c r="T975" s="566"/>
      <c r="U975" s="396">
        <v>290.00099999999998</v>
      </c>
      <c r="V975" s="396">
        <v>1.3</v>
      </c>
      <c r="W975" s="396">
        <v>0</v>
      </c>
      <c r="X975" s="71" t="s">
        <v>212</v>
      </c>
      <c r="AD975" s="1">
        <f t="shared" si="481"/>
        <v>1</v>
      </c>
      <c r="AE975" s="1">
        <f t="shared" ca="1" si="482"/>
        <v>0</v>
      </c>
      <c r="AF975" s="1" t="e">
        <f t="shared" ca="1" si="483"/>
        <v>#DIV/0!</v>
      </c>
      <c r="AG975" s="1" t="e">
        <f t="shared" ca="1" si="484"/>
        <v>#DIV/0!</v>
      </c>
      <c r="AJ975" s="344"/>
      <c r="AO975" s="1">
        <f t="shared" si="486"/>
        <v>0</v>
      </c>
    </row>
    <row r="976" spans="1:41" x14ac:dyDescent="0.3">
      <c r="A976" s="609" t="s">
        <v>300</v>
      </c>
      <c r="B976" s="609"/>
      <c r="C976" s="609"/>
      <c r="D976" s="609"/>
      <c r="E976" s="576" t="e">
        <f t="shared" ca="1" si="478"/>
        <v>#DIV/0!</v>
      </c>
      <c r="F976" s="577"/>
      <c r="G976" s="599" t="e">
        <f ca="1">((365-SUM(A245:L245))/7)*(J308*J309*C25/1000)</f>
        <v>#DIV/0!</v>
      </c>
      <c r="H976" s="577"/>
      <c r="I976" s="612" t="str">
        <f ca="1">INDIRECT("X"&amp;ROW()+O976-N976)</f>
        <v>ел. енергия</v>
      </c>
      <c r="J976" s="612"/>
      <c r="K976" s="522">
        <v>486</v>
      </c>
      <c r="L976" s="506" t="e">
        <f t="shared" ca="1" si="485"/>
        <v>#DIV/0!</v>
      </c>
      <c r="N976" s="517">
        <v>8</v>
      </c>
      <c r="O976" s="1">
        <f t="shared" si="480"/>
        <v>8</v>
      </c>
      <c r="P976" s="650" t="s">
        <v>662</v>
      </c>
      <c r="Q976" s="650"/>
      <c r="R976" s="650"/>
      <c r="S976" s="650"/>
      <c r="T976" s="566"/>
      <c r="U976" s="396">
        <v>486</v>
      </c>
      <c r="V976" s="396">
        <v>2.2999999999999998</v>
      </c>
      <c r="W976" s="396">
        <v>0.2</v>
      </c>
      <c r="X976" s="71" t="s">
        <v>511</v>
      </c>
      <c r="AD976" s="1">
        <f t="shared" si="481"/>
        <v>1</v>
      </c>
      <c r="AE976" s="1" t="e">
        <f t="shared" ca="1" si="482"/>
        <v>#DIV/0!</v>
      </c>
      <c r="AF976" s="1" t="e">
        <f t="shared" ca="1" si="483"/>
        <v>#DIV/0!</v>
      </c>
      <c r="AG976" s="1" t="e">
        <f t="shared" ca="1" si="484"/>
        <v>#DIV/0!</v>
      </c>
      <c r="AJ976" s="344"/>
      <c r="AO976" s="1">
        <f t="shared" si="486"/>
        <v>0</v>
      </c>
    </row>
    <row r="977" spans="1:41" x14ac:dyDescent="0.3">
      <c r="A977" s="623" t="s">
        <v>629</v>
      </c>
      <c r="B977" s="623"/>
      <c r="C977" s="623"/>
      <c r="D977" s="623"/>
      <c r="E977" s="576" t="e">
        <f t="shared" ca="1" si="478"/>
        <v>#DIV/0!</v>
      </c>
      <c r="F977" s="577"/>
      <c r="G977" s="599" t="e">
        <f ca="1">((365-SUM(A245:L245))/7)*(J339*J340*C25/1000)</f>
        <v>#DIV/0!</v>
      </c>
      <c r="H977" s="577"/>
      <c r="I977" s="612" t="str">
        <f ca="1">INDIRECT("X"&amp;ROW()+O977-N977)</f>
        <v>ел. енергия</v>
      </c>
      <c r="J977" s="612"/>
      <c r="K977" s="522">
        <v>486</v>
      </c>
      <c r="L977" s="506" t="e">
        <f t="shared" ca="1" si="485"/>
        <v>#DIV/0!</v>
      </c>
      <c r="N977" s="517">
        <v>9</v>
      </c>
      <c r="O977" s="1">
        <f t="shared" si="480"/>
        <v>8</v>
      </c>
      <c r="P977" s="650" t="s">
        <v>1150</v>
      </c>
      <c r="Q977" s="650"/>
      <c r="R977" s="650"/>
      <c r="S977" s="650"/>
      <c r="T977" s="566"/>
      <c r="U977" s="396">
        <v>0</v>
      </c>
      <c r="V977" s="396">
        <v>0</v>
      </c>
      <c r="W977" s="396">
        <v>1</v>
      </c>
      <c r="X977" s="71" t="s">
        <v>1154</v>
      </c>
      <c r="AD977" s="1">
        <f t="shared" si="481"/>
        <v>1</v>
      </c>
      <c r="AE977" s="1" t="e">
        <f t="shared" ca="1" si="482"/>
        <v>#DIV/0!</v>
      </c>
      <c r="AF977" s="1" t="e">
        <f t="shared" ca="1" si="483"/>
        <v>#DIV/0!</v>
      </c>
      <c r="AG977" s="1" t="e">
        <f t="shared" ca="1" si="484"/>
        <v>#DIV/0!</v>
      </c>
      <c r="AJ977" s="344"/>
      <c r="AO977" s="1">
        <f t="shared" si="486"/>
        <v>0</v>
      </c>
    </row>
    <row r="978" spans="1:41" x14ac:dyDescent="0.3">
      <c r="A978" s="623" t="s">
        <v>630</v>
      </c>
      <c r="B978" s="623"/>
      <c r="C978" s="623"/>
      <c r="D978" s="623"/>
      <c r="E978" s="576" t="e">
        <f t="shared" ca="1" si="478"/>
        <v>#DIV/0!</v>
      </c>
      <c r="F978" s="577"/>
      <c r="G978" s="599" t="e">
        <f ca="1">((365-SUM(A245:L245))/7)*(J361*J362*C25/1000)</f>
        <v>#DIV/0!</v>
      </c>
      <c r="H978" s="577"/>
      <c r="I978" s="612" t="str">
        <f ca="1">INDIRECT("X"&amp;ROW()+O978-N978)</f>
        <v>ел. енергия</v>
      </c>
      <c r="J978" s="612"/>
      <c r="K978" s="522">
        <v>486</v>
      </c>
      <c r="L978" s="506" t="e">
        <f t="shared" ca="1" si="485"/>
        <v>#DIV/0!</v>
      </c>
      <c r="N978" s="517">
        <v>10</v>
      </c>
      <c r="O978" s="1">
        <f t="shared" si="480"/>
        <v>8</v>
      </c>
      <c r="P978" s="650" t="s">
        <v>1151</v>
      </c>
      <c r="Q978" s="650"/>
      <c r="R978" s="650"/>
      <c r="S978" s="650"/>
      <c r="T978" s="566"/>
      <c r="U978" s="396">
        <v>1E-3</v>
      </c>
      <c r="V978" s="396">
        <v>0</v>
      </c>
      <c r="W978" s="396">
        <v>1</v>
      </c>
      <c r="X978" s="71" t="s">
        <v>1183</v>
      </c>
      <c r="AD978" s="1">
        <f t="shared" si="481"/>
        <v>1</v>
      </c>
      <c r="AE978" s="1" t="e">
        <f t="shared" ca="1" si="482"/>
        <v>#DIV/0!</v>
      </c>
      <c r="AF978" s="1" t="e">
        <f t="shared" ca="1" si="483"/>
        <v>#DIV/0!</v>
      </c>
      <c r="AG978" s="1" t="e">
        <f t="shared" ca="1" si="484"/>
        <v>#DIV/0!</v>
      </c>
      <c r="AO978" s="1">
        <f t="shared" si="486"/>
        <v>0</v>
      </c>
    </row>
    <row r="979" spans="1:41" x14ac:dyDescent="0.3">
      <c r="A979" s="615" t="s">
        <v>1182</v>
      </c>
      <c r="B979" s="616"/>
      <c r="C979" s="616"/>
      <c r="D979" s="616"/>
      <c r="E979" s="787" t="e">
        <f t="shared" ca="1" si="478"/>
        <v>#DIV/0!</v>
      </c>
      <c r="F979" s="603"/>
      <c r="G979" s="606" t="e">
        <f ca="1">SUM(G969:H978)</f>
        <v>#DIV/0!</v>
      </c>
      <c r="H979" s="603"/>
      <c r="I979" s="621"/>
      <c r="J979" s="622"/>
      <c r="K979" s="524"/>
      <c r="L979" s="526" t="e">
        <f ca="1">SUM(L969:L978)</f>
        <v>#DIV/0!</v>
      </c>
      <c r="M979" s="346"/>
      <c r="N979" s="517">
        <v>11</v>
      </c>
      <c r="P979" s="650" t="s">
        <v>1152</v>
      </c>
      <c r="Q979" s="650"/>
      <c r="R979" s="650"/>
      <c r="S979" s="650"/>
      <c r="T979" s="566"/>
      <c r="U979" s="396">
        <v>2E-3</v>
      </c>
      <c r="V979" s="396">
        <v>0</v>
      </c>
      <c r="W979" s="396">
        <v>1</v>
      </c>
      <c r="X979" s="71" t="s">
        <v>1155</v>
      </c>
      <c r="AE979" s="543" t="e">
        <f ca="1">SUM(AE969:AE977)</f>
        <v>#DIV/0!</v>
      </c>
      <c r="AF979" s="543" t="e">
        <f ca="1">SUM(AF969:AF977)</f>
        <v>#DIV/0!</v>
      </c>
      <c r="AG979" s="544">
        <f>J961</f>
        <v>0</v>
      </c>
      <c r="AO979" s="543">
        <f>SUM(AO969:AO978)</f>
        <v>0</v>
      </c>
    </row>
    <row r="980" spans="1:41" x14ac:dyDescent="0.3">
      <c r="A980" s="613" t="s">
        <v>1172</v>
      </c>
      <c r="B980" s="591"/>
      <c r="C980" s="591"/>
      <c r="D980" s="591"/>
      <c r="E980" s="591"/>
      <c r="F980" s="591"/>
      <c r="G980" s="591"/>
      <c r="H980" s="591"/>
      <c r="I980" s="591"/>
      <c r="J980" s="591"/>
      <c r="K980" s="591"/>
      <c r="L980" s="614"/>
      <c r="M980" s="346"/>
      <c r="N980" s="517">
        <v>12</v>
      </c>
      <c r="P980" s="650" t="s">
        <v>1153</v>
      </c>
      <c r="Q980" s="650"/>
      <c r="R980" s="650"/>
      <c r="S980" s="650"/>
      <c r="T980" s="566"/>
      <c r="U980" s="396">
        <v>3.0000000000000001E-3</v>
      </c>
      <c r="V980" s="396">
        <v>0</v>
      </c>
      <c r="W980" s="396">
        <v>1</v>
      </c>
      <c r="X980" s="71" t="s">
        <v>1156</v>
      </c>
    </row>
    <row r="981" spans="1:41" x14ac:dyDescent="0.3">
      <c r="A981" s="608" t="s">
        <v>1173</v>
      </c>
      <c r="B981" s="609"/>
      <c r="C981" s="609"/>
      <c r="D981" s="609"/>
      <c r="E981" s="576" t="e">
        <f ca="1">G981/C$25</f>
        <v>#DIV/0!</v>
      </c>
      <c r="F981" s="577"/>
      <c r="G981" s="599" t="e">
        <f ca="1">SUM(AK969:AK974)</f>
        <v>#DIV/0!</v>
      </c>
      <c r="H981" s="577"/>
      <c r="I981" s="612" t="str">
        <f ca="1">INDIRECT("X"&amp;ROW()+O981-N981)</f>
        <v>геотермална</v>
      </c>
      <c r="J981" s="612"/>
      <c r="K981" s="522">
        <v>3.0000000000000001E-3</v>
      </c>
      <c r="L981" s="506" t="e">
        <f t="shared" ca="1" si="485"/>
        <v>#DIV/0!</v>
      </c>
      <c r="N981" s="517">
        <v>13</v>
      </c>
      <c r="O981" s="1">
        <f t="shared" si="480"/>
        <v>12</v>
      </c>
      <c r="P981" s="485"/>
      <c r="Q981" s="485"/>
      <c r="R981" s="485"/>
      <c r="S981" s="485"/>
      <c r="T981" s="485"/>
    </row>
    <row r="982" spans="1:41" x14ac:dyDescent="0.3">
      <c r="A982" s="608" t="s">
        <v>1175</v>
      </c>
      <c r="B982" s="609"/>
      <c r="C982" s="609"/>
      <c r="D982" s="609"/>
      <c r="E982" s="576" t="e">
        <f ca="1">G982/C$25</f>
        <v>#DIV/0!</v>
      </c>
      <c r="F982" s="577"/>
      <c r="G982" s="599">
        <f ca="1">J957</f>
        <v>0</v>
      </c>
      <c r="H982" s="577"/>
      <c r="I982" s="612" t="str">
        <f ca="1">INDIRECT("X"&amp;ROW()+O982-N982)</f>
        <v>сл. - термална</v>
      </c>
      <c r="J982" s="612"/>
      <c r="K982" s="522">
        <v>1E-3</v>
      </c>
      <c r="L982" s="506">
        <f t="shared" ca="1" si="485"/>
        <v>0</v>
      </c>
      <c r="M982" s="346"/>
      <c r="N982" s="517">
        <v>14</v>
      </c>
      <c r="O982" s="1">
        <f t="shared" si="480"/>
        <v>10</v>
      </c>
      <c r="P982" s="485"/>
      <c r="Q982" s="485"/>
      <c r="R982" s="485"/>
      <c r="S982" s="485"/>
      <c r="T982" s="485"/>
    </row>
    <row r="983" spans="1:41" x14ac:dyDescent="0.3">
      <c r="A983" s="608" t="s">
        <v>1176</v>
      </c>
      <c r="B983" s="609"/>
      <c r="C983" s="609"/>
      <c r="D983" s="609"/>
      <c r="E983" s="576" t="e">
        <f ca="1">G983/C$25</f>
        <v>#DIV/0!</v>
      </c>
      <c r="F983" s="577"/>
      <c r="G983" s="599">
        <f ca="1">J958</f>
        <v>0</v>
      </c>
      <c r="H983" s="577"/>
      <c r="I983" s="612" t="str">
        <f ca="1">INDIRECT("X"&amp;ROW()+O983-N983)</f>
        <v>сл. - термална</v>
      </c>
      <c r="J983" s="612"/>
      <c r="K983" s="522">
        <v>1E-3</v>
      </c>
      <c r="L983" s="506">
        <f t="shared" ca="1" si="485"/>
        <v>0</v>
      </c>
      <c r="M983" s="346"/>
      <c r="N983" s="517">
        <v>15</v>
      </c>
      <c r="O983" s="1">
        <f t="shared" si="480"/>
        <v>10</v>
      </c>
      <c r="P983" s="485"/>
      <c r="Q983" s="485"/>
      <c r="R983" s="485"/>
      <c r="S983" s="485"/>
      <c r="T983" s="485"/>
    </row>
    <row r="984" spans="1:41" x14ac:dyDescent="0.3">
      <c r="A984" s="608" t="s">
        <v>1174</v>
      </c>
      <c r="B984" s="609"/>
      <c r="C984" s="609"/>
      <c r="D984" s="609"/>
      <c r="E984" s="576" t="e">
        <f>G984/C$25</f>
        <v>#DIV/0!</v>
      </c>
      <c r="F984" s="577"/>
      <c r="G984" s="599">
        <f>J961</f>
        <v>0</v>
      </c>
      <c r="H984" s="577"/>
      <c r="I984" s="612" t="str">
        <f ca="1">INDIRECT("X"&amp;ROW()+O984-N984)</f>
        <v>PV енергия</v>
      </c>
      <c r="J984" s="612"/>
      <c r="K984" s="522">
        <v>0</v>
      </c>
      <c r="L984" s="506">
        <f t="shared" si="485"/>
        <v>0</v>
      </c>
      <c r="M984" s="346"/>
      <c r="N984" s="517">
        <v>16</v>
      </c>
      <c r="O984" s="1">
        <f t="shared" si="480"/>
        <v>9</v>
      </c>
    </row>
    <row r="985" spans="1:41" x14ac:dyDescent="0.3">
      <c r="A985" s="615" t="s">
        <v>1181</v>
      </c>
      <c r="B985" s="616"/>
      <c r="C985" s="616"/>
      <c r="D985" s="616"/>
      <c r="E985" s="787" t="e">
        <f ca="1">G985/C$25</f>
        <v>#DIV/0!</v>
      </c>
      <c r="F985" s="603"/>
      <c r="G985" s="606" t="e">
        <f ca="1">SUM(G981:H984)</f>
        <v>#DIV/0!</v>
      </c>
      <c r="H985" s="603"/>
      <c r="I985" s="515"/>
      <c r="J985" s="165"/>
      <c r="K985" s="516"/>
      <c r="L985" s="165"/>
      <c r="M985" s="346"/>
      <c r="P985" s="485"/>
      <c r="Q985" s="485"/>
      <c r="R985" s="485"/>
      <c r="S985" s="485"/>
      <c r="T985" s="485"/>
    </row>
    <row r="986" spans="1:41" x14ac:dyDescent="0.3">
      <c r="A986" s="511"/>
      <c r="B986" s="511"/>
      <c r="C986" s="511"/>
      <c r="D986" s="511"/>
      <c r="E986" s="512"/>
      <c r="F986" s="512"/>
      <c r="G986" s="485"/>
      <c r="H986" s="485"/>
      <c r="K986" s="135"/>
      <c r="L986" s="135"/>
      <c r="M986" s="346"/>
      <c r="O986" s="485"/>
      <c r="P986" s="485"/>
      <c r="Q986" s="485"/>
      <c r="R986" s="485"/>
      <c r="S986" s="485"/>
      <c r="T986" s="485"/>
    </row>
    <row r="987" spans="1:41" x14ac:dyDescent="0.3">
      <c r="A987" s="619" t="s">
        <v>756</v>
      </c>
      <c r="B987" s="568"/>
      <c r="C987" s="568"/>
      <c r="D987" s="568"/>
      <c r="E987" s="611" t="s">
        <v>1179</v>
      </c>
      <c r="F987" s="575"/>
      <c r="G987" s="568"/>
      <c r="H987" s="566"/>
      <c r="I987" s="611" t="s">
        <v>1180</v>
      </c>
      <c r="J987" s="575"/>
      <c r="K987" s="568"/>
      <c r="L987" s="566"/>
      <c r="M987" s="346"/>
      <c r="R987" s="485"/>
      <c r="S987" s="485"/>
      <c r="T987" s="485"/>
    </row>
    <row r="988" spans="1:41" x14ac:dyDescent="0.3">
      <c r="A988" s="568"/>
      <c r="B988" s="568"/>
      <c r="C988" s="568"/>
      <c r="D988" s="568"/>
      <c r="E988" s="575"/>
      <c r="F988" s="575"/>
      <c r="G988" s="568"/>
      <c r="H988" s="566"/>
      <c r="I988" s="575"/>
      <c r="J988" s="575"/>
      <c r="K988" s="568"/>
      <c r="L988" s="566"/>
      <c r="M988" s="346"/>
      <c r="R988" s="485"/>
      <c r="S988" s="485"/>
      <c r="T988" s="485"/>
    </row>
    <row r="989" spans="1:41" ht="28.8" x14ac:dyDescent="0.3">
      <c r="A989" s="568"/>
      <c r="B989" s="568"/>
      <c r="C989" s="568"/>
      <c r="D989" s="568"/>
      <c r="E989" s="518" t="s">
        <v>1184</v>
      </c>
      <c r="F989" s="519" t="s">
        <v>1186</v>
      </c>
      <c r="G989" s="610" t="s">
        <v>945</v>
      </c>
      <c r="H989" s="566"/>
      <c r="I989" s="518" t="s">
        <v>1185</v>
      </c>
      <c r="J989" s="519" t="s">
        <v>1186</v>
      </c>
      <c r="K989" s="610" t="s">
        <v>945</v>
      </c>
      <c r="L989" s="566"/>
      <c r="M989" s="346"/>
      <c r="O989" s="485"/>
      <c r="P989" s="485"/>
      <c r="Q989" s="485"/>
      <c r="R989" s="485"/>
      <c r="S989" s="485"/>
      <c r="T989" s="485"/>
    </row>
    <row r="990" spans="1:41" x14ac:dyDescent="0.3">
      <c r="A990" s="609" t="s">
        <v>484</v>
      </c>
      <c r="B990" s="609"/>
      <c r="C990" s="609"/>
      <c r="D990" s="609"/>
      <c r="E990" s="520">
        <f ca="1">INDIRECT("V"&amp;ROW()+O969-N969-21)</f>
        <v>2.2999999999999998</v>
      </c>
      <c r="F990" s="514" t="e">
        <f ca="1">G990/C$25</f>
        <v>#DIV/0!</v>
      </c>
      <c r="G990" s="599" t="e">
        <f t="shared" ref="G990:G996" ca="1" si="487">(G969-AG969)*E990</f>
        <v>#DIV/0!</v>
      </c>
      <c r="H990" s="600"/>
      <c r="I990" s="520">
        <f ca="1">INDIRECT("W"&amp;ROW()+O969-N969-21)</f>
        <v>0.2</v>
      </c>
      <c r="J990" s="514" t="e">
        <f ca="1">K990/C$25</f>
        <v>#DIV/0!</v>
      </c>
      <c r="K990" s="599" t="e">
        <f t="shared" ref="K990:K999" ca="1" si="488">G969*I990</f>
        <v>#DIV/0!</v>
      </c>
      <c r="L990" s="600"/>
      <c r="M990" s="346"/>
      <c r="O990" s="485"/>
      <c r="P990" s="485"/>
      <c r="Q990" s="485"/>
      <c r="R990" s="485"/>
      <c r="S990" s="485"/>
      <c r="T990" s="485"/>
    </row>
    <row r="991" spans="1:41" x14ac:dyDescent="0.3">
      <c r="A991" s="609" t="s">
        <v>759</v>
      </c>
      <c r="B991" s="609"/>
      <c r="C991" s="609"/>
      <c r="D991" s="609"/>
      <c r="E991" s="520">
        <f t="shared" ref="E991:E999" ca="1" si="489">INDIRECT("V"&amp;ROW()+O970-N970-21)</f>
        <v>2.2999999999999998</v>
      </c>
      <c r="F991" s="514" t="e">
        <f t="shared" ref="F991:F1003" ca="1" si="490">G991/C$25</f>
        <v>#DIV/0!</v>
      </c>
      <c r="G991" s="599" t="e">
        <f t="shared" ca="1" si="487"/>
        <v>#DIV/0!</v>
      </c>
      <c r="H991" s="600"/>
      <c r="I991" s="520">
        <f t="shared" ref="I991:I999" ca="1" si="491">INDIRECT("W"&amp;ROW()+O970-N970-21)</f>
        <v>0.2</v>
      </c>
      <c r="J991" s="514" t="e">
        <f t="shared" ref="J991:J1003" ca="1" si="492">K991/C$25</f>
        <v>#DIV/0!</v>
      </c>
      <c r="K991" s="599">
        <f t="shared" ca="1" si="488"/>
        <v>0</v>
      </c>
      <c r="L991" s="600"/>
      <c r="M991" s="346"/>
      <c r="O991" s="485"/>
      <c r="P991" s="485"/>
      <c r="Q991" s="485"/>
      <c r="R991" s="485"/>
      <c r="S991" s="485"/>
      <c r="T991" s="485"/>
    </row>
    <row r="992" spans="1:41" x14ac:dyDescent="0.3">
      <c r="A992" s="609" t="s">
        <v>760</v>
      </c>
      <c r="B992" s="609"/>
      <c r="C992" s="609"/>
      <c r="D992" s="609"/>
      <c r="E992" s="520">
        <f t="shared" ca="1" si="489"/>
        <v>2.2999999999999998</v>
      </c>
      <c r="F992" s="514" t="e">
        <f t="shared" ca="1" si="490"/>
        <v>#DIV/0!</v>
      </c>
      <c r="G992" s="599" t="e">
        <f t="shared" ca="1" si="487"/>
        <v>#DIV/0!</v>
      </c>
      <c r="H992" s="600"/>
      <c r="I992" s="520">
        <f t="shared" ca="1" si="491"/>
        <v>0.2</v>
      </c>
      <c r="J992" s="514" t="e">
        <f t="shared" ca="1" si="492"/>
        <v>#DIV/0!</v>
      </c>
      <c r="K992" s="599">
        <f t="shared" ca="1" si="488"/>
        <v>0</v>
      </c>
      <c r="L992" s="600"/>
      <c r="M992" s="346"/>
      <c r="O992" s="485"/>
      <c r="P992" s="485"/>
      <c r="Q992" s="485"/>
      <c r="R992" s="485"/>
      <c r="S992" s="485"/>
      <c r="T992" s="485"/>
    </row>
    <row r="993" spans="1:20" x14ac:dyDescent="0.3">
      <c r="A993" s="609" t="s">
        <v>757</v>
      </c>
      <c r="B993" s="609"/>
      <c r="C993" s="609"/>
      <c r="D993" s="609"/>
      <c r="E993" s="520">
        <f t="shared" ca="1" si="489"/>
        <v>2.2999999999999998</v>
      </c>
      <c r="F993" s="514" t="e">
        <f t="shared" ca="1" si="490"/>
        <v>#DIV/0!</v>
      </c>
      <c r="G993" s="599" t="e">
        <f t="shared" ca="1" si="487"/>
        <v>#DIV/0!</v>
      </c>
      <c r="H993" s="600"/>
      <c r="I993" s="520">
        <f t="shared" ca="1" si="491"/>
        <v>0.2</v>
      </c>
      <c r="J993" s="514" t="e">
        <f t="shared" ca="1" si="492"/>
        <v>#DIV/0!</v>
      </c>
      <c r="K993" s="599" t="e">
        <f t="shared" ca="1" si="488"/>
        <v>#DIV/0!</v>
      </c>
      <c r="L993" s="600"/>
      <c r="M993" s="346"/>
      <c r="O993" s="485"/>
      <c r="P993" s="485"/>
      <c r="Q993" s="485"/>
      <c r="R993" s="485"/>
      <c r="S993" s="485"/>
      <c r="T993" s="485"/>
    </row>
    <row r="994" spans="1:20" x14ac:dyDescent="0.3">
      <c r="A994" s="609" t="s">
        <v>743</v>
      </c>
      <c r="B994" s="609"/>
      <c r="C994" s="609"/>
      <c r="D994" s="609"/>
      <c r="E994" s="520">
        <f t="shared" ca="1" si="489"/>
        <v>2.2999999999999998</v>
      </c>
      <c r="F994" s="514" t="e">
        <f t="shared" ca="1" si="490"/>
        <v>#DIV/0!</v>
      </c>
      <c r="G994" s="599" t="e">
        <f t="shared" ca="1" si="487"/>
        <v>#DIV/0!</v>
      </c>
      <c r="H994" s="600"/>
      <c r="I994" s="520">
        <f t="shared" ca="1" si="491"/>
        <v>0.2</v>
      </c>
      <c r="J994" s="514" t="e">
        <f t="shared" ca="1" si="492"/>
        <v>#DIV/0!</v>
      </c>
      <c r="K994" s="599">
        <f t="shared" ca="1" si="488"/>
        <v>433.99601632653071</v>
      </c>
      <c r="L994" s="600"/>
      <c r="M994" s="346"/>
      <c r="O994" s="485"/>
      <c r="P994" s="485"/>
      <c r="Q994" s="485"/>
      <c r="R994" s="485"/>
      <c r="S994" s="485"/>
      <c r="T994" s="485"/>
    </row>
    <row r="995" spans="1:20" x14ac:dyDescent="0.3">
      <c r="A995" s="609" t="s">
        <v>744</v>
      </c>
      <c r="B995" s="609"/>
      <c r="C995" s="609"/>
      <c r="D995" s="609"/>
      <c r="E995" s="520">
        <f t="shared" ca="1" si="489"/>
        <v>2.2999999999999998</v>
      </c>
      <c r="F995" s="514" t="e">
        <f t="shared" ca="1" si="490"/>
        <v>#DIV/0!</v>
      </c>
      <c r="G995" s="599" t="e">
        <f t="shared" ca="1" si="487"/>
        <v>#DIV/0!</v>
      </c>
      <c r="H995" s="600"/>
      <c r="I995" s="520">
        <f t="shared" ca="1" si="491"/>
        <v>0.2</v>
      </c>
      <c r="J995" s="514" t="e">
        <f t="shared" ca="1" si="492"/>
        <v>#DIV/0!</v>
      </c>
      <c r="K995" s="599">
        <f t="shared" ca="1" si="488"/>
        <v>313.21410612244904</v>
      </c>
      <c r="L995" s="600"/>
      <c r="M995" s="346"/>
      <c r="O995" s="485"/>
      <c r="P995" s="485"/>
      <c r="Q995" s="485"/>
      <c r="R995" s="485"/>
      <c r="S995" s="485"/>
      <c r="T995" s="485"/>
    </row>
    <row r="996" spans="1:20" x14ac:dyDescent="0.3">
      <c r="A996" s="608" t="s">
        <v>1237</v>
      </c>
      <c r="B996" s="609"/>
      <c r="C996" s="609"/>
      <c r="D996" s="609"/>
      <c r="E996" s="520">
        <f t="shared" ca="1" si="489"/>
        <v>2.2999999999999998</v>
      </c>
      <c r="F996" s="514" t="e">
        <f ca="1">G996/C$25</f>
        <v>#DIV/0!</v>
      </c>
      <c r="G996" s="599" t="e">
        <f t="shared" ca="1" si="487"/>
        <v>#DIV/0!</v>
      </c>
      <c r="H996" s="600"/>
      <c r="I996" s="520">
        <f t="shared" ca="1" si="491"/>
        <v>0.2</v>
      </c>
      <c r="J996" s="514" t="e">
        <f ca="1">K996/C$25</f>
        <v>#DIV/0!</v>
      </c>
      <c r="K996" s="599">
        <f t="shared" ca="1" si="488"/>
        <v>0</v>
      </c>
      <c r="L996" s="600"/>
      <c r="M996" s="346"/>
      <c r="O996" s="485"/>
      <c r="P996" s="485"/>
      <c r="Q996" s="485"/>
      <c r="R996" s="485"/>
      <c r="S996" s="485"/>
      <c r="T996" s="485"/>
    </row>
    <row r="997" spans="1:20" x14ac:dyDescent="0.3">
      <c r="A997" s="609" t="s">
        <v>300</v>
      </c>
      <c r="B997" s="609"/>
      <c r="C997" s="609"/>
      <c r="D997" s="609"/>
      <c r="E997" s="520">
        <f t="shared" ca="1" si="489"/>
        <v>2.2999999999999998</v>
      </c>
      <c r="F997" s="514" t="e">
        <f t="shared" ca="1" si="490"/>
        <v>#DIV/0!</v>
      </c>
      <c r="G997" s="599" t="e">
        <f ca="1">(G976-AG975)*E997</f>
        <v>#DIV/0!</v>
      </c>
      <c r="H997" s="600"/>
      <c r="I997" s="520">
        <f t="shared" ca="1" si="491"/>
        <v>0.2</v>
      </c>
      <c r="J997" s="514" t="e">
        <f t="shared" ca="1" si="492"/>
        <v>#DIV/0!</v>
      </c>
      <c r="K997" s="599" t="e">
        <f t="shared" ca="1" si="488"/>
        <v>#DIV/0!</v>
      </c>
      <c r="L997" s="600"/>
      <c r="M997" s="346"/>
      <c r="O997" s="485"/>
      <c r="P997" s="485"/>
      <c r="Q997" s="485"/>
      <c r="R997" s="485"/>
      <c r="S997" s="485"/>
      <c r="T997" s="485"/>
    </row>
    <row r="998" spans="1:20" x14ac:dyDescent="0.3">
      <c r="A998" s="623" t="s">
        <v>629</v>
      </c>
      <c r="B998" s="623"/>
      <c r="C998" s="623"/>
      <c r="D998" s="623"/>
      <c r="E998" s="520">
        <f t="shared" ca="1" si="489"/>
        <v>2.2999999999999998</v>
      </c>
      <c r="F998" s="514" t="e">
        <f t="shared" ca="1" si="490"/>
        <v>#DIV/0!</v>
      </c>
      <c r="G998" s="599" t="e">
        <f ca="1">(G977-AG976)*E998</f>
        <v>#DIV/0!</v>
      </c>
      <c r="H998" s="600"/>
      <c r="I998" s="520">
        <f t="shared" ca="1" si="491"/>
        <v>0.2</v>
      </c>
      <c r="J998" s="514" t="e">
        <f t="shared" ca="1" si="492"/>
        <v>#DIV/0!</v>
      </c>
      <c r="K998" s="599" t="e">
        <f t="shared" ca="1" si="488"/>
        <v>#DIV/0!</v>
      </c>
      <c r="L998" s="600"/>
      <c r="M998" s="346"/>
      <c r="O998" s="485"/>
      <c r="P998" s="485"/>
      <c r="Q998" s="485"/>
      <c r="R998" s="485"/>
      <c r="S998" s="485"/>
      <c r="T998" s="485"/>
    </row>
    <row r="999" spans="1:20" x14ac:dyDescent="0.3">
      <c r="A999" s="623" t="s">
        <v>630</v>
      </c>
      <c r="B999" s="623"/>
      <c r="C999" s="623"/>
      <c r="D999" s="623"/>
      <c r="E999" s="520">
        <f t="shared" ca="1" si="489"/>
        <v>2.2999999999999998</v>
      </c>
      <c r="F999" s="514" t="e">
        <f t="shared" ca="1" si="490"/>
        <v>#DIV/0!</v>
      </c>
      <c r="G999" s="599" t="e">
        <f ca="1">(G978-AG977)*E999</f>
        <v>#DIV/0!</v>
      </c>
      <c r="H999" s="600"/>
      <c r="I999" s="520">
        <f t="shared" ca="1" si="491"/>
        <v>0.2</v>
      </c>
      <c r="J999" s="514" t="e">
        <f t="shared" ca="1" si="492"/>
        <v>#DIV/0!</v>
      </c>
      <c r="K999" s="599" t="e">
        <f t="shared" ca="1" si="488"/>
        <v>#DIV/0!</v>
      </c>
      <c r="L999" s="600"/>
      <c r="M999" s="346"/>
      <c r="O999" s="485"/>
      <c r="P999" s="485"/>
      <c r="Q999" s="485"/>
      <c r="R999" s="485"/>
      <c r="S999" s="485"/>
      <c r="T999" s="485"/>
    </row>
    <row r="1000" spans="1:20" x14ac:dyDescent="0.3">
      <c r="A1000" s="608" t="s">
        <v>1173</v>
      </c>
      <c r="B1000" s="609"/>
      <c r="C1000" s="609"/>
      <c r="D1000" s="609"/>
      <c r="E1000" s="520">
        <f ca="1">INDIRECT("V"&amp;ROW()+O981-N981-19)</f>
        <v>0</v>
      </c>
      <c r="F1000" s="514" t="e">
        <f t="shared" ca="1" si="490"/>
        <v>#DIV/0!</v>
      </c>
      <c r="G1000" s="599" t="e">
        <f ca="1">G981*E1000</f>
        <v>#DIV/0!</v>
      </c>
      <c r="H1000" s="600"/>
      <c r="I1000" s="520">
        <f ca="1">INDIRECT("W"&amp;ROW()+O981-N981-19)</f>
        <v>1</v>
      </c>
      <c r="J1000" s="514" t="e">
        <f t="shared" ca="1" si="492"/>
        <v>#DIV/0!</v>
      </c>
      <c r="K1000" s="599" t="e">
        <f ca="1">G981*I1000</f>
        <v>#DIV/0!</v>
      </c>
      <c r="L1000" s="600"/>
      <c r="M1000" s="346"/>
      <c r="O1000" s="485"/>
      <c r="P1000" s="485"/>
      <c r="Q1000" s="485"/>
      <c r="R1000" s="485"/>
      <c r="S1000" s="485"/>
      <c r="T1000" s="485"/>
    </row>
    <row r="1001" spans="1:20" x14ac:dyDescent="0.3">
      <c r="A1001" s="608" t="s">
        <v>1175</v>
      </c>
      <c r="B1001" s="609"/>
      <c r="C1001" s="609"/>
      <c r="D1001" s="609"/>
      <c r="E1001" s="520">
        <f ca="1">INDIRECT("V"&amp;ROW()+O982-N982-19)</f>
        <v>0</v>
      </c>
      <c r="F1001" s="514" t="e">
        <f t="shared" ca="1" si="490"/>
        <v>#DIV/0!</v>
      </c>
      <c r="G1001" s="599">
        <f ca="1">G982*E1001</f>
        <v>0</v>
      </c>
      <c r="H1001" s="600"/>
      <c r="I1001" s="520">
        <f ca="1">INDIRECT("W"&amp;ROW()+O982-N982-19)</f>
        <v>1</v>
      </c>
      <c r="J1001" s="514" t="e">
        <f t="shared" ca="1" si="492"/>
        <v>#DIV/0!</v>
      </c>
      <c r="K1001" s="599">
        <f ca="1">G982*I1001</f>
        <v>0</v>
      </c>
      <c r="L1001" s="600"/>
      <c r="M1001" s="346"/>
      <c r="O1001" s="485"/>
      <c r="P1001" s="485"/>
      <c r="Q1001" s="485"/>
      <c r="R1001" s="485"/>
      <c r="S1001" s="485"/>
      <c r="T1001" s="485"/>
    </row>
    <row r="1002" spans="1:20" x14ac:dyDescent="0.3">
      <c r="A1002" s="608" t="s">
        <v>1176</v>
      </c>
      <c r="B1002" s="609"/>
      <c r="C1002" s="609"/>
      <c r="D1002" s="609"/>
      <c r="E1002" s="520">
        <f ca="1">INDIRECT("V"&amp;ROW()+O983-N983-19)</f>
        <v>0</v>
      </c>
      <c r="F1002" s="514" t="e">
        <f t="shared" ca="1" si="490"/>
        <v>#DIV/0!</v>
      </c>
      <c r="G1002" s="599">
        <f ca="1">G983*E1002</f>
        <v>0</v>
      </c>
      <c r="H1002" s="600"/>
      <c r="I1002" s="520">
        <f ca="1">INDIRECT("W"&amp;ROW()+O983-N983-19)</f>
        <v>1</v>
      </c>
      <c r="J1002" s="514" t="e">
        <f t="shared" ca="1" si="492"/>
        <v>#DIV/0!</v>
      </c>
      <c r="K1002" s="599">
        <f ca="1">G983*I1002</f>
        <v>0</v>
      </c>
      <c r="L1002" s="600"/>
      <c r="M1002" s="346"/>
      <c r="O1002" s="485"/>
      <c r="P1002" s="485"/>
      <c r="Q1002" s="485"/>
      <c r="R1002" s="485"/>
      <c r="S1002" s="485"/>
      <c r="T1002" s="485"/>
    </row>
    <row r="1003" spans="1:20" x14ac:dyDescent="0.3">
      <c r="A1003" s="608" t="s">
        <v>1174</v>
      </c>
      <c r="B1003" s="609"/>
      <c r="C1003" s="609"/>
      <c r="D1003" s="609"/>
      <c r="E1003" s="520">
        <f ca="1">INDIRECT("V"&amp;ROW()+O984-N984-19)</f>
        <v>0</v>
      </c>
      <c r="F1003" s="514" t="e">
        <f t="shared" ca="1" si="490"/>
        <v>#DIV/0!</v>
      </c>
      <c r="G1003" s="599">
        <f ca="1">G984*E1003</f>
        <v>0</v>
      </c>
      <c r="H1003" s="600"/>
      <c r="I1003" s="520">
        <f ca="1">INDIRECT("W"&amp;ROW()+O984-N984-19)</f>
        <v>1</v>
      </c>
      <c r="J1003" s="514" t="e">
        <f t="shared" ca="1" si="492"/>
        <v>#DIV/0!</v>
      </c>
      <c r="K1003" s="599">
        <f ca="1">G984*I1003</f>
        <v>0</v>
      </c>
      <c r="L1003" s="600"/>
      <c r="M1003" s="346"/>
      <c r="O1003" s="485"/>
      <c r="P1003" s="485"/>
      <c r="Q1003" s="485"/>
      <c r="R1003" s="485"/>
      <c r="S1003" s="485"/>
      <c r="T1003" s="485"/>
    </row>
    <row r="1004" spans="1:20" x14ac:dyDescent="0.3">
      <c r="A1004" s="615" t="s">
        <v>1181</v>
      </c>
      <c r="B1004" s="616"/>
      <c r="C1004" s="616"/>
      <c r="D1004" s="616"/>
      <c r="E1004" s="502"/>
      <c r="F1004" s="523" t="e">
        <f ca="1">SUM(F990:F1003)</f>
        <v>#DIV/0!</v>
      </c>
      <c r="G1004" s="606" t="e">
        <f ca="1">SUM(G990:H1003)</f>
        <v>#DIV/0!</v>
      </c>
      <c r="H1004" s="607"/>
      <c r="I1004" s="521"/>
      <c r="J1004" s="523" t="e">
        <f ca="1">SUM(J990:J1003)</f>
        <v>#DIV/0!</v>
      </c>
      <c r="K1004" s="606" t="e">
        <f ca="1">SUM(K990:L1003)</f>
        <v>#DIV/0!</v>
      </c>
      <c r="L1004" s="607"/>
      <c r="M1004" s="346"/>
      <c r="O1004" s="485"/>
      <c r="P1004" s="485"/>
      <c r="Q1004" s="485"/>
      <c r="R1004" s="485"/>
      <c r="S1004" s="485"/>
      <c r="T1004" s="485"/>
    </row>
    <row r="1005" spans="1:20" x14ac:dyDescent="0.3">
      <c r="A1005" s="511"/>
      <c r="B1005" s="511"/>
      <c r="C1005" s="511"/>
      <c r="D1005" s="511"/>
      <c r="E1005" s="512"/>
      <c r="F1005" s="512"/>
      <c r="G1005" s="485"/>
      <c r="H1005" s="485"/>
      <c r="I1005" s="135"/>
      <c r="J1005" s="135"/>
      <c r="M1005" s="346"/>
      <c r="O1005" s="485"/>
      <c r="P1005" s="485"/>
      <c r="Q1005" s="485"/>
      <c r="R1005" s="485"/>
      <c r="S1005" s="485"/>
      <c r="T1005" s="485"/>
    </row>
    <row r="1006" spans="1:20" x14ac:dyDescent="0.3">
      <c r="A1006" s="812" t="s">
        <v>1118</v>
      </c>
      <c r="B1006" s="602"/>
      <c r="C1006" s="602"/>
      <c r="D1006" s="580"/>
      <c r="E1006" s="8" t="s">
        <v>904</v>
      </c>
      <c r="F1006" s="8" t="s">
        <v>905</v>
      </c>
      <c r="G1006" s="812" t="s">
        <v>1118</v>
      </c>
      <c r="H1006" s="602"/>
      <c r="I1006" s="602"/>
      <c r="J1006" s="580"/>
      <c r="K1006" s="8" t="s">
        <v>904</v>
      </c>
      <c r="L1006" s="8" t="s">
        <v>905</v>
      </c>
    </row>
    <row r="1007" spans="1:20" x14ac:dyDescent="0.3">
      <c r="A1007" s="795" t="s">
        <v>1113</v>
      </c>
      <c r="B1007" s="602"/>
      <c r="C1007" s="602"/>
      <c r="D1007" s="580"/>
      <c r="E1007" s="473" t="e">
        <f>I433</f>
        <v>#DIV/0!</v>
      </c>
      <c r="F1007" s="473">
        <f>J433</f>
        <v>0</v>
      </c>
      <c r="G1007" s="795" t="s">
        <v>902</v>
      </c>
      <c r="H1007" s="602"/>
      <c r="I1007" s="602"/>
      <c r="J1007" s="580"/>
      <c r="K1007" s="473">
        <f>I437</f>
        <v>0.25276256708669598</v>
      </c>
      <c r="L1007" s="473">
        <f>J437</f>
        <v>0</v>
      </c>
    </row>
    <row r="1008" spans="1:20" x14ac:dyDescent="0.3">
      <c r="A1008" s="795" t="s">
        <v>1114</v>
      </c>
      <c r="B1008" s="602"/>
      <c r="C1008" s="602"/>
      <c r="D1008" s="580"/>
      <c r="E1008" s="473" t="e">
        <f>I434</f>
        <v>#DIV/0!</v>
      </c>
      <c r="F1008" s="473">
        <f>J434</f>
        <v>-9.9999999999999996E-83</v>
      </c>
      <c r="G1008" s="795" t="s">
        <v>901</v>
      </c>
      <c r="H1008" s="602"/>
      <c r="I1008" s="602"/>
      <c r="J1008" s="580"/>
      <c r="K1008" s="547">
        <f t="shared" ref="K1008:L1011" si="493">I447</f>
        <v>0.47771918674580288</v>
      </c>
      <c r="L1008" s="473">
        <f t="shared" si="493"/>
        <v>9.9999999999999995E-45</v>
      </c>
    </row>
    <row r="1009" spans="1:17" x14ac:dyDescent="0.3">
      <c r="A1009" s="795" t="s">
        <v>1115</v>
      </c>
      <c r="B1009" s="602"/>
      <c r="C1009" s="602"/>
      <c r="D1009" s="580"/>
      <c r="E1009" s="473">
        <f>L1148</f>
        <v>0.25099071131333112</v>
      </c>
      <c r="F1009" s="473">
        <f>D145</f>
        <v>1E-52</v>
      </c>
      <c r="G1009" s="795" t="s">
        <v>1074</v>
      </c>
      <c r="H1009" s="602"/>
      <c r="I1009" s="602"/>
      <c r="J1009" s="580"/>
      <c r="K1009" s="547">
        <f t="shared" si="493"/>
        <v>0.35396073262513633</v>
      </c>
      <c r="L1009" s="473">
        <f t="shared" si="493"/>
        <v>0</v>
      </c>
    </row>
    <row r="1010" spans="1:17" x14ac:dyDescent="0.3">
      <c r="A1010" s="795" t="s">
        <v>1116</v>
      </c>
      <c r="B1010" s="602"/>
      <c r="C1010" s="602"/>
      <c r="D1010" s="580"/>
      <c r="E1010" s="473">
        <f>L1132</f>
        <v>0.25069822466978497</v>
      </c>
      <c r="F1010" s="473">
        <f>C145</f>
        <v>1E-22</v>
      </c>
      <c r="G1010" s="795" t="s">
        <v>1036</v>
      </c>
      <c r="H1010" s="602"/>
      <c r="I1010" s="602"/>
      <c r="J1010" s="580"/>
      <c r="K1010" s="547">
        <f t="shared" si="493"/>
        <v>0.41711237387778188</v>
      </c>
      <c r="L1010" s="473">
        <f t="shared" si="493"/>
        <v>0</v>
      </c>
    </row>
    <row r="1011" spans="1:17" x14ac:dyDescent="0.3">
      <c r="A1011" s="795" t="s">
        <v>1117</v>
      </c>
      <c r="B1011" s="602"/>
      <c r="C1011" s="602"/>
      <c r="D1011" s="580"/>
      <c r="E1011" s="547">
        <f ca="1">L1115</f>
        <v>0.21257066417245804</v>
      </c>
      <c r="F1011" s="473">
        <f>J436</f>
        <v>1E-41</v>
      </c>
      <c r="G1011" s="795" t="s">
        <v>1051</v>
      </c>
      <c r="H1011" s="602"/>
      <c r="I1011" s="602"/>
      <c r="J1011" s="580"/>
      <c r="K1011" s="547">
        <f t="shared" si="493"/>
        <v>0</v>
      </c>
      <c r="L1011" s="473">
        <f t="shared" si="493"/>
        <v>9.9999999999999996E-83</v>
      </c>
    </row>
    <row r="1012" spans="1:17" x14ac:dyDescent="0.3">
      <c r="A1012" s="24"/>
      <c r="B1012" s="24"/>
      <c r="C1012" s="24"/>
      <c r="D1012" s="24"/>
      <c r="E1012" s="24"/>
      <c r="F1012" s="24"/>
      <c r="G1012" s="23"/>
      <c r="H1012" s="23"/>
      <c r="I1012" s="24"/>
      <c r="J1012" s="24"/>
      <c r="K1012" s="500"/>
      <c r="L1012" s="162"/>
    </row>
    <row r="1013" spans="1:17" ht="18" hidden="1" x14ac:dyDescent="0.35">
      <c r="A1013" s="67" t="s">
        <v>1188</v>
      </c>
      <c r="B1013" s="67"/>
      <c r="C1013" s="67"/>
      <c r="D1013" s="67"/>
      <c r="E1013" s="67"/>
      <c r="F1013" s="67"/>
      <c r="G1013" s="67"/>
      <c r="H1013" s="73"/>
      <c r="I1013" s="14"/>
      <c r="J1013" s="527" t="s">
        <v>1189</v>
      </c>
      <c r="K1013" s="528" t="e">
        <f ca="1">K1004/(G1004+K1004)*100</f>
        <v>#DIV/0!</v>
      </c>
      <c r="L1013" s="527" t="s">
        <v>1</v>
      </c>
    </row>
    <row r="1014" spans="1:17" ht="18" x14ac:dyDescent="0.35">
      <c r="A1014" s="783" t="s">
        <v>1245</v>
      </c>
      <c r="B1014" s="784"/>
      <c r="C1014" s="784"/>
      <c r="D1014" s="784"/>
      <c r="E1014" s="784"/>
      <c r="F1014" s="784"/>
      <c r="G1014" s="784"/>
      <c r="H1014" s="784"/>
      <c r="I1014" s="784"/>
      <c r="J1014" s="784"/>
      <c r="K1014" s="784"/>
      <c r="L1014" s="589"/>
      <c r="M1014" s="199"/>
      <c r="O1014" s="133"/>
      <c r="P1014" s="133"/>
    </row>
    <row r="1015" spans="1:17" ht="18" x14ac:dyDescent="0.35">
      <c r="A1015" s="808" t="s">
        <v>1164</v>
      </c>
      <c r="B1015" s="809"/>
      <c r="C1015" s="809"/>
      <c r="D1015" s="809"/>
      <c r="E1015" s="809"/>
      <c r="F1015" s="809"/>
      <c r="G1015" s="809"/>
      <c r="H1015" s="809"/>
      <c r="I1015" s="809"/>
      <c r="J1015" s="809"/>
      <c r="K1015" s="809"/>
      <c r="O1015" s="133"/>
      <c r="P1015" s="133"/>
    </row>
    <row r="1016" spans="1:17" ht="18" x14ac:dyDescent="0.35">
      <c r="A1016" s="120"/>
      <c r="B1016" s="71"/>
      <c r="C1016" s="71"/>
      <c r="D1016" s="71"/>
      <c r="E1016" s="71"/>
      <c r="F1016" s="71"/>
      <c r="G1016" s="71"/>
      <c r="H1016" s="71"/>
      <c r="I1016" s="71"/>
      <c r="J1016" s="71"/>
      <c r="K1016" s="71"/>
    </row>
    <row r="1017" spans="1:17" x14ac:dyDescent="0.3">
      <c r="A1017" s="790" t="s">
        <v>943</v>
      </c>
      <c r="B1017" s="790"/>
      <c r="C1017" s="790"/>
      <c r="D1017" s="790"/>
      <c r="E1017" s="790"/>
      <c r="F1017" s="790"/>
      <c r="G1017" s="790"/>
      <c r="H1017" s="791"/>
      <c r="I1017" s="791"/>
      <c r="J1017" s="791"/>
      <c r="K1017" s="791"/>
      <c r="L1017" s="791"/>
      <c r="M1017" s="199"/>
      <c r="O1017" s="132"/>
      <c r="P1017" s="24"/>
    </row>
    <row r="1018" spans="1:17" x14ac:dyDescent="0.3">
      <c r="A1018" s="790" t="str">
        <f ca="1">A193</f>
        <v>Еднофамилна жилищна сграда</v>
      </c>
      <c r="B1018" s="790"/>
      <c r="C1018" s="790"/>
      <c r="D1018" s="790"/>
      <c r="E1018" s="790"/>
      <c r="F1018" s="790"/>
      <c r="G1018" s="790"/>
      <c r="H1018" s="791"/>
      <c r="I1018" s="791"/>
      <c r="J1018" s="791"/>
      <c r="K1018" s="791"/>
      <c r="L1018" s="791"/>
      <c r="M1018" s="199"/>
      <c r="O1018" s="132"/>
      <c r="P1018" s="24"/>
      <c r="Q1018" s="131"/>
    </row>
    <row r="1019" spans="1:17" ht="19.8" x14ac:dyDescent="0.3">
      <c r="B1019" s="567" t="s">
        <v>210</v>
      </c>
      <c r="C1019" s="567"/>
      <c r="D1019" s="567"/>
      <c r="E1019" s="567"/>
      <c r="F1019" s="567" t="s">
        <v>191</v>
      </c>
      <c r="G1019" s="568"/>
      <c r="H1019" s="378" t="s">
        <v>211</v>
      </c>
      <c r="I1019" s="567" t="s">
        <v>192</v>
      </c>
      <c r="J1019" s="568"/>
      <c r="P1019" s="24"/>
      <c r="Q1019" s="131"/>
    </row>
    <row r="1020" spans="1:17" x14ac:dyDescent="0.3">
      <c r="B1020" s="567"/>
      <c r="C1020" s="567"/>
      <c r="D1020" s="567"/>
      <c r="E1020" s="567"/>
      <c r="F1020" s="569" t="s">
        <v>193</v>
      </c>
      <c r="G1020" s="568"/>
      <c r="H1020" s="94" t="s">
        <v>193</v>
      </c>
      <c r="I1020" s="567" t="s">
        <v>193</v>
      </c>
      <c r="J1020" s="568"/>
      <c r="O1020" s="807" t="e">
        <f ca="1">ROUND(F1004,2)</f>
        <v>#DIV/0!</v>
      </c>
      <c r="P1020" s="807"/>
    </row>
    <row r="1021" spans="1:17" ht="18" customHeight="1" x14ac:dyDescent="0.3">
      <c r="B1021" s="796" t="s">
        <v>195</v>
      </c>
      <c r="C1021" s="796"/>
      <c r="D1021" s="796"/>
      <c r="E1021" s="796"/>
      <c r="F1021" s="570" t="str">
        <f>Стойности!B23</f>
        <v>не се дефинира</v>
      </c>
      <c r="G1021" s="571"/>
      <c r="H1021" s="561" t="e">
        <f ca="1">IF(O$1020&lt;J1021,O$1020,"")</f>
        <v>#DIV/0!</v>
      </c>
      <c r="I1021" s="562" t="s">
        <v>1249</v>
      </c>
      <c r="J1021" s="564">
        <f ca="1">Стойности!C23</f>
        <v>83</v>
      </c>
      <c r="O1021" s="72" t="s">
        <v>905</v>
      </c>
      <c r="P1021" s="1" t="e">
        <f ca="1">SUM(Q1021:Q1027)</f>
        <v>#DIV/0!</v>
      </c>
      <c r="Q1021" s="1" t="e">
        <f ca="1">IF(H1021&lt;&gt;"",2,0)</f>
        <v>#DIV/0!</v>
      </c>
    </row>
    <row r="1022" spans="1:17" ht="18" x14ac:dyDescent="0.35">
      <c r="B1022" s="796" t="s">
        <v>194</v>
      </c>
      <c r="C1022" s="796"/>
      <c r="D1022" s="796"/>
      <c r="E1022" s="796"/>
      <c r="F1022" s="562">
        <f ca="1">Стойности!B24</f>
        <v>83</v>
      </c>
      <c r="G1022" s="563" t="s">
        <v>1248</v>
      </c>
      <c r="H1022" s="560" t="e">
        <f ca="1">IF(O$1020&lt;J1022,IF(O$1020&gt;=F1022,O$1020,""),"")</f>
        <v>#DIV/0!</v>
      </c>
      <c r="I1022" s="562" t="s">
        <v>1249</v>
      </c>
      <c r="J1022" s="564">
        <f ca="1">Стойности!C24</f>
        <v>166</v>
      </c>
      <c r="O1022" s="72" t="s">
        <v>92</v>
      </c>
      <c r="Q1022" s="1" t="e">
        <f ca="1">IF(H1022&lt;&gt;"",3,0)</f>
        <v>#DIV/0!</v>
      </c>
    </row>
    <row r="1023" spans="1:17" ht="18" x14ac:dyDescent="0.35">
      <c r="B1023" s="796" t="s">
        <v>196</v>
      </c>
      <c r="C1023" s="796"/>
      <c r="D1023" s="796"/>
      <c r="E1023" s="796"/>
      <c r="F1023" s="562">
        <f ca="1">Стойности!B25</f>
        <v>166</v>
      </c>
      <c r="G1023" s="563" t="s">
        <v>1248</v>
      </c>
      <c r="H1023" s="560" t="e">
        <f ca="1">IF(O$1020&lt;J1023,IF(O$1020&gt;=F1023,O$1020,""),"")</f>
        <v>#DIV/0!</v>
      </c>
      <c r="I1023" s="562" t="s">
        <v>1249</v>
      </c>
      <c r="J1023" s="564">
        <f ca="1">Стойности!C25</f>
        <v>203</v>
      </c>
      <c r="O1023" s="72" t="s">
        <v>946</v>
      </c>
      <c r="Q1023" s="1" t="e">
        <f ca="1">IF(H1023&lt;&gt;"",4,0)</f>
        <v>#DIV/0!</v>
      </c>
    </row>
    <row r="1024" spans="1:17" ht="18" x14ac:dyDescent="0.35">
      <c r="B1024" s="796" t="s">
        <v>197</v>
      </c>
      <c r="C1024" s="796"/>
      <c r="D1024" s="796"/>
      <c r="E1024" s="796"/>
      <c r="F1024" s="562">
        <f ca="1">Стойности!B26</f>
        <v>203</v>
      </c>
      <c r="G1024" s="563" t="s">
        <v>1248</v>
      </c>
      <c r="H1024" s="560" t="e">
        <f ca="1">IF(O$1020&lt;J1024,IF(O$1020&gt;=F1024,O$1020,""),"")</f>
        <v>#DIV/0!</v>
      </c>
      <c r="I1024" s="562" t="s">
        <v>1249</v>
      </c>
      <c r="J1024" s="564">
        <f ca="1">Стойности!C26</f>
        <v>240</v>
      </c>
      <c r="O1024" s="72" t="s">
        <v>93</v>
      </c>
      <c r="Q1024" s="1" t="e">
        <f ca="1">IF(H1024&lt;&gt;"",5,0)</f>
        <v>#DIV/0!</v>
      </c>
    </row>
    <row r="1025" spans="1:17" ht="18" x14ac:dyDescent="0.35">
      <c r="B1025" s="796" t="s">
        <v>198</v>
      </c>
      <c r="C1025" s="796"/>
      <c r="D1025" s="796"/>
      <c r="E1025" s="796"/>
      <c r="F1025" s="562">
        <f ca="1">Стойности!B27</f>
        <v>240</v>
      </c>
      <c r="G1025" s="563" t="s">
        <v>1248</v>
      </c>
      <c r="H1025" s="560" t="e">
        <f ca="1">IF(O$1020&lt;J1025,IF(O$1020&gt;=F1025,O$1020,""),"")</f>
        <v>#DIV/0!</v>
      </c>
      <c r="I1025" s="562" t="s">
        <v>1249</v>
      </c>
      <c r="J1025" s="564">
        <f ca="1">Стойности!C27</f>
        <v>300</v>
      </c>
      <c r="O1025" s="72" t="s">
        <v>94</v>
      </c>
      <c r="Q1025" s="1" t="e">
        <f ca="1">IF(H1025&lt;&gt;"",6,0)</f>
        <v>#DIV/0!</v>
      </c>
    </row>
    <row r="1026" spans="1:17" ht="18" x14ac:dyDescent="0.35">
      <c r="B1026" s="796" t="s">
        <v>208</v>
      </c>
      <c r="C1026" s="796"/>
      <c r="D1026" s="796"/>
      <c r="E1026" s="796"/>
      <c r="F1026" s="562">
        <f ca="1">Стойности!B28</f>
        <v>300</v>
      </c>
      <c r="G1026" s="563" t="s">
        <v>1248</v>
      </c>
      <c r="H1026" s="560" t="e">
        <f ca="1">IF(O$1020&lt;J1026,IF(O$1020&gt;=F1026,O$1020,""),"")</f>
        <v>#DIV/0!</v>
      </c>
      <c r="I1026" s="562" t="s">
        <v>1249</v>
      </c>
      <c r="J1026" s="564">
        <f ca="1">Стойности!C28</f>
        <v>360</v>
      </c>
      <c r="O1026" s="72" t="s">
        <v>95</v>
      </c>
      <c r="Q1026" s="1" t="e">
        <f ca="1">IF(H1026&lt;&gt;"",7,0)</f>
        <v>#DIV/0!</v>
      </c>
    </row>
    <row r="1027" spans="1:17" ht="18" customHeight="1" x14ac:dyDescent="0.35">
      <c r="B1027" s="796" t="s">
        <v>209</v>
      </c>
      <c r="C1027" s="796"/>
      <c r="D1027" s="796"/>
      <c r="E1027" s="796"/>
      <c r="F1027" s="562">
        <f ca="1">Стойности!B29</f>
        <v>360</v>
      </c>
      <c r="G1027" s="563" t="s">
        <v>1248</v>
      </c>
      <c r="H1027" s="560" t="e">
        <f ca="1">IF(O$1020&gt;=F1027,O$1020,"")</f>
        <v>#DIV/0!</v>
      </c>
      <c r="I1027" s="572" t="str">
        <f>Стойности!C29</f>
        <v>не се дефинира</v>
      </c>
      <c r="J1027" s="573"/>
      <c r="O1027" s="72" t="s">
        <v>96</v>
      </c>
      <c r="Q1027" s="1" t="e">
        <f ca="1">IF(H1027&lt;&gt;"",8,0)</f>
        <v>#DIV/0!</v>
      </c>
    </row>
    <row r="1029" spans="1:17" x14ac:dyDescent="0.3">
      <c r="O1029" s="132"/>
      <c r="P1029" s="24"/>
      <c r="Q1029" s="131"/>
    </row>
    <row r="1030" spans="1:17" ht="22.8" x14ac:dyDescent="0.4">
      <c r="A1030" s="953" t="s">
        <v>632</v>
      </c>
      <c r="B1030" s="954"/>
      <c r="C1030" s="954"/>
      <c r="D1030" s="954"/>
      <c r="E1030" s="954"/>
      <c r="F1030" s="954"/>
      <c r="G1030" s="954"/>
      <c r="H1030" s="954"/>
      <c r="I1030" s="438" t="e">
        <f ca="1">INDIRECT("O"&amp;ROW()+P1021-11)</f>
        <v>#DIV/0!</v>
      </c>
      <c r="J1030" s="439"/>
      <c r="K1030" s="439"/>
      <c r="L1030" s="73"/>
      <c r="M1030" s="199"/>
      <c r="O1030" s="132"/>
      <c r="P1030" s="24"/>
      <c r="Q1030" s="131"/>
    </row>
    <row r="1031" spans="1:17" ht="22.8" x14ac:dyDescent="0.4">
      <c r="A1031" s="800" t="s">
        <v>631</v>
      </c>
      <c r="B1031" s="800"/>
      <c r="C1031" s="800"/>
      <c r="D1031" s="800"/>
      <c r="E1031" s="800"/>
      <c r="F1031" s="800"/>
      <c r="G1031" s="800"/>
      <c r="H1031" s="800"/>
      <c r="I1031" s="800"/>
      <c r="J1031" s="800"/>
      <c r="K1031" s="800"/>
      <c r="L1031" s="801"/>
      <c r="M1031" s="199"/>
      <c r="O1031" s="132"/>
      <c r="P1031" s="24"/>
      <c r="Q1031" s="128"/>
    </row>
    <row r="1032" spans="1:17" x14ac:dyDescent="0.3">
      <c r="O1032" s="132"/>
      <c r="P1032" s="24"/>
      <c r="Q1032" s="128"/>
    </row>
    <row r="1033" spans="1:17" ht="20.399999999999999" x14ac:dyDescent="0.35">
      <c r="A1033" s="788" t="s">
        <v>1241</v>
      </c>
      <c r="B1033" s="789"/>
      <c r="C1033" s="789"/>
      <c r="D1033" s="789"/>
      <c r="E1033" s="789"/>
      <c r="F1033" s="789"/>
      <c r="G1033" s="789"/>
      <c r="H1033" s="789"/>
      <c r="I1033" s="789"/>
      <c r="J1033" s="789"/>
      <c r="K1033" s="789"/>
      <c r="L1033" s="789"/>
      <c r="O1033" s="132"/>
      <c r="P1033" s="24"/>
      <c r="Q1033" s="128"/>
    </row>
    <row r="1034" spans="1:17" ht="20.399999999999999" x14ac:dyDescent="0.35">
      <c r="A1034" s="788" t="s">
        <v>1242</v>
      </c>
      <c r="B1034" s="789"/>
      <c r="C1034" s="789"/>
      <c r="D1034" s="789"/>
      <c r="E1034" s="789"/>
      <c r="F1034" s="789"/>
      <c r="G1034" s="789"/>
      <c r="H1034" s="789"/>
      <c r="I1034" s="789"/>
      <c r="J1034" s="789"/>
      <c r="K1034" s="789"/>
      <c r="L1034" s="789"/>
    </row>
    <row r="1035" spans="1:17" ht="18.75" customHeight="1" x14ac:dyDescent="0.35">
      <c r="A1035" s="67"/>
      <c r="B1035" s="67"/>
      <c r="C1035" s="67"/>
      <c r="D1035" s="67"/>
      <c r="E1035" s="797" t="e">
        <f ca="1">ROUND(SUM(G985,AO979)/SUM(G969:H976,G985)*100,2)</f>
        <v>#DIV/0!</v>
      </c>
      <c r="F1035" s="589"/>
      <c r="G1035" s="559" t="s">
        <v>1</v>
      </c>
      <c r="H1035" s="73"/>
      <c r="I1035" s="14"/>
      <c r="J1035" s="527"/>
      <c r="L1035" s="1"/>
    </row>
    <row r="1036" spans="1:17" x14ac:dyDescent="0.3">
      <c r="A1036" s="24"/>
      <c r="B1036" s="24"/>
      <c r="C1036" s="24"/>
      <c r="D1036" s="24"/>
      <c r="E1036" s="24"/>
      <c r="F1036" s="24"/>
      <c r="G1036" s="23"/>
      <c r="H1036" s="23"/>
      <c r="I1036" s="24"/>
      <c r="J1036" s="24"/>
      <c r="K1036" s="89"/>
      <c r="L1036" s="161"/>
    </row>
    <row r="1037" spans="1:17" ht="22.8" x14ac:dyDescent="0.4">
      <c r="A1037" s="798" t="e">
        <f ca="1">IF(E1035&gt;55,IF(H1021&lt;&gt;"","Сградата е с близко до нулево потребление съгл. §1, т. 31 от","Сградата не е с близко до нулево потребление съгл. §1, т. 31 от"),"Сградата не е с близко до нулево потребление съгл. §1, т. 31 от")</f>
        <v>#DIV/0!</v>
      </c>
      <c r="B1037" s="799"/>
      <c r="C1037" s="799"/>
      <c r="D1037" s="799"/>
      <c r="E1037" s="799"/>
      <c r="F1037" s="799"/>
      <c r="G1037" s="799"/>
      <c r="H1037" s="799"/>
      <c r="I1037" s="799"/>
      <c r="J1037" s="799"/>
      <c r="K1037" s="799"/>
      <c r="L1037" s="799"/>
      <c r="O1037" s="24" t="e">
        <f ca="1">IF(H1021="",0,1)</f>
        <v>#DIV/0!</v>
      </c>
      <c r="P1037" s="24"/>
      <c r="Q1037" s="24"/>
    </row>
    <row r="1038" spans="1:17" ht="22.8" x14ac:dyDescent="0.4">
      <c r="A1038" s="798" t="s">
        <v>1247</v>
      </c>
      <c r="B1038" s="799"/>
      <c r="C1038" s="799"/>
      <c r="D1038" s="799"/>
      <c r="E1038" s="799"/>
      <c r="F1038" s="799"/>
      <c r="G1038" s="799"/>
      <c r="H1038" s="799"/>
      <c r="I1038" s="806"/>
      <c r="J1038" s="806"/>
      <c r="K1038" s="806"/>
      <c r="L1038" s="806"/>
      <c r="O1038" s="24"/>
      <c r="P1038" s="24"/>
      <c r="Q1038" s="24"/>
    </row>
    <row r="1039" spans="1:17" ht="18.75" customHeight="1" x14ac:dyDescent="0.4">
      <c r="A1039" s="545"/>
      <c r="B1039" s="546"/>
      <c r="C1039" s="546"/>
      <c r="D1039" s="546"/>
      <c r="E1039" s="546"/>
      <c r="F1039" s="546"/>
      <c r="G1039" s="546"/>
      <c r="H1039" s="546"/>
      <c r="I1039" s="14"/>
      <c r="J1039" s="14"/>
      <c r="K1039" s="14"/>
      <c r="L1039" s="14"/>
      <c r="O1039" s="24"/>
      <c r="P1039" s="24"/>
      <c r="Q1039" s="24"/>
    </row>
    <row r="1040" spans="1:17" ht="18.75" customHeight="1" x14ac:dyDescent="0.4">
      <c r="A1040" s="545"/>
      <c r="B1040" s="546"/>
      <c r="C1040" s="546"/>
      <c r="D1040" s="546"/>
      <c r="E1040" s="546"/>
      <c r="F1040" s="546"/>
      <c r="G1040" s="546"/>
      <c r="H1040" s="546"/>
      <c r="I1040" s="14"/>
      <c r="J1040" s="14"/>
      <c r="K1040" s="14"/>
      <c r="L1040" s="14"/>
      <c r="O1040" s="24"/>
      <c r="P1040" s="24"/>
      <c r="Q1040" s="24"/>
    </row>
    <row r="1041" spans="1:17" ht="18.75" customHeight="1" x14ac:dyDescent="0.4">
      <c r="A1041" s="545"/>
      <c r="B1041" s="546"/>
      <c r="C1041" s="546"/>
      <c r="D1041" s="546"/>
      <c r="E1041" s="546"/>
      <c r="F1041" s="546"/>
      <c r="G1041" s="546"/>
      <c r="H1041" s="546"/>
      <c r="I1041" s="14"/>
      <c r="J1041" s="14"/>
      <c r="K1041" s="14"/>
      <c r="L1041" s="14"/>
      <c r="O1041" s="24"/>
      <c r="P1041" s="24"/>
      <c r="Q1041" s="24"/>
    </row>
    <row r="1044" spans="1:17" ht="18" x14ac:dyDescent="0.35">
      <c r="G1044" s="2" t="s">
        <v>1054</v>
      </c>
    </row>
    <row r="1045" spans="1:17" ht="18" x14ac:dyDescent="0.35">
      <c r="A1045" s="714" t="s">
        <v>670</v>
      </c>
      <c r="B1045" s="714"/>
      <c r="C1045" s="714"/>
      <c r="D1045" s="714"/>
      <c r="E1045" s="714"/>
      <c r="F1045" s="714"/>
      <c r="G1045" s="714"/>
      <c r="H1045" s="714"/>
      <c r="I1045" s="714"/>
      <c r="J1045" s="714"/>
      <c r="K1045" s="714"/>
      <c r="L1045" s="715"/>
      <c r="M1045" s="347"/>
    </row>
    <row r="1046" spans="1:17" ht="18" x14ac:dyDescent="0.35">
      <c r="A1046" s="810" t="s">
        <v>396</v>
      </c>
      <c r="B1046" s="810"/>
      <c r="C1046" s="810"/>
      <c r="D1046" s="810"/>
      <c r="E1046" s="810"/>
      <c r="F1046" s="810"/>
      <c r="G1046" s="810"/>
      <c r="H1046" s="810"/>
      <c r="I1046" s="810"/>
      <c r="J1046" s="810"/>
      <c r="K1046" s="810"/>
      <c r="L1046" s="811"/>
      <c r="M1046" s="348"/>
    </row>
    <row r="1048" spans="1:17" ht="21" x14ac:dyDescent="0.4">
      <c r="A1048" s="710" t="str">
        <f>CONCATENATE("Детайл ",A1410)</f>
        <v>Детайл 0</v>
      </c>
      <c r="B1048" s="710"/>
      <c r="C1048" s="710"/>
      <c r="D1048" s="710"/>
      <c r="E1048" s="710"/>
      <c r="F1048" s="710"/>
      <c r="G1048" s="710"/>
      <c r="H1048" s="710"/>
      <c r="I1048" s="710"/>
      <c r="J1048" s="710"/>
      <c r="K1048" s="710"/>
      <c r="L1048" s="711"/>
      <c r="M1048" s="349"/>
      <c r="O1048" s="501"/>
    </row>
    <row r="1049" spans="1:17" x14ac:dyDescent="0.3">
      <c r="A1049" s="676" t="s">
        <v>789</v>
      </c>
      <c r="B1049" s="676"/>
      <c r="C1049" s="676"/>
      <c r="D1049" s="676"/>
      <c r="E1049" s="676"/>
      <c r="F1049" s="676"/>
      <c r="G1049" s="676"/>
      <c r="H1049" s="676"/>
      <c r="I1049" s="676"/>
      <c r="J1049" s="676"/>
      <c r="K1049" s="676"/>
      <c r="L1049" s="719"/>
      <c r="M1049" s="350"/>
    </row>
    <row r="1050" spans="1:17" x14ac:dyDescent="0.3">
      <c r="A1050" s="240"/>
      <c r="B1050" s="240"/>
      <c r="C1050" s="240"/>
      <c r="D1050" s="240"/>
      <c r="E1050" s="240"/>
      <c r="F1050" s="240"/>
      <c r="G1050" s="240"/>
      <c r="H1050" s="240"/>
      <c r="I1050" s="240"/>
      <c r="J1050" s="240"/>
      <c r="K1050" s="240"/>
      <c r="L1050" s="241"/>
      <c r="M1050" s="350"/>
    </row>
    <row r="1051" spans="1:17" x14ac:dyDescent="0.3">
      <c r="A1051" s="240"/>
      <c r="B1051" s="240"/>
      <c r="C1051" s="240"/>
      <c r="D1051" s="240"/>
      <c r="E1051" s="240"/>
      <c r="F1051" s="240"/>
      <c r="G1051" s="240"/>
      <c r="H1051" s="240"/>
      <c r="I1051" s="240"/>
      <c r="J1051" s="240"/>
      <c r="K1051" s="240"/>
      <c r="L1051" s="241"/>
      <c r="M1051" s="350"/>
    </row>
    <row r="1052" spans="1:17" x14ac:dyDescent="0.3">
      <c r="A1052" s="240"/>
      <c r="B1052" s="240"/>
      <c r="C1052" s="240"/>
      <c r="D1052" s="240"/>
      <c r="E1052" s="240"/>
      <c r="F1052" s="240"/>
      <c r="G1052" s="240"/>
      <c r="H1052" s="240"/>
      <c r="I1052" s="240"/>
      <c r="J1052" s="240"/>
      <c r="K1052" s="240"/>
      <c r="L1052" s="241"/>
      <c r="M1052" s="350"/>
    </row>
    <row r="1053" spans="1:17" x14ac:dyDescent="0.3">
      <c r="A1053" s="240"/>
      <c r="B1053" s="240"/>
      <c r="C1053" s="240"/>
      <c r="D1053" s="240"/>
      <c r="E1053" s="240"/>
      <c r="F1053" s="240"/>
      <c r="G1053" s="240"/>
      <c r="H1053" s="240"/>
      <c r="I1053" s="240"/>
      <c r="J1053" s="240"/>
      <c r="K1053" s="240"/>
      <c r="L1053" s="241"/>
      <c r="M1053" s="350"/>
    </row>
    <row r="1054" spans="1:17" x14ac:dyDescent="0.3">
      <c r="A1054" s="240"/>
      <c r="B1054" s="240"/>
      <c r="C1054" s="240"/>
      <c r="D1054" s="240"/>
      <c r="E1054" s="240"/>
      <c r="F1054" s="240"/>
      <c r="G1054" s="240"/>
      <c r="H1054" s="240"/>
      <c r="I1054" s="240"/>
      <c r="J1054" s="240"/>
      <c r="K1054" s="240"/>
      <c r="L1054" s="241"/>
      <c r="M1054" s="350"/>
    </row>
    <row r="1055" spans="1:17" x14ac:dyDescent="0.3">
      <c r="A1055" s="240"/>
      <c r="B1055" s="240"/>
      <c r="C1055" s="240"/>
      <c r="D1055" s="240"/>
      <c r="E1055" s="240"/>
      <c r="F1055" s="240"/>
      <c r="G1055" s="240"/>
      <c r="H1055" s="240"/>
      <c r="I1055" s="240"/>
      <c r="J1055" s="240"/>
      <c r="K1055" s="240"/>
      <c r="L1055" s="241"/>
      <c r="M1055" s="350"/>
    </row>
    <row r="1056" spans="1:17" x14ac:dyDescent="0.3">
      <c r="A1056" s="240"/>
      <c r="B1056" s="240"/>
      <c r="C1056" s="240"/>
      <c r="D1056" s="240"/>
      <c r="E1056" s="240"/>
      <c r="F1056" s="240"/>
      <c r="G1056" s="240"/>
      <c r="H1056" s="240"/>
      <c r="I1056" s="240"/>
      <c r="J1056" s="240"/>
      <c r="K1056" s="240"/>
      <c r="L1056" s="241"/>
      <c r="M1056" s="350"/>
    </row>
    <row r="1057" spans="1:15" x14ac:dyDescent="0.3">
      <c r="A1057" s="240"/>
      <c r="B1057" s="240"/>
      <c r="C1057" s="240"/>
      <c r="D1057" s="240"/>
      <c r="E1057" s="240"/>
      <c r="F1057" s="240"/>
      <c r="G1057" s="240"/>
      <c r="H1057" s="240"/>
      <c r="I1057" s="240"/>
      <c r="J1057" s="240"/>
      <c r="K1057" s="240"/>
      <c r="L1057" s="241"/>
      <c r="M1057" s="350"/>
    </row>
    <row r="1058" spans="1:15" x14ac:dyDescent="0.3">
      <c r="A1058" s="240"/>
      <c r="B1058" s="240"/>
      <c r="C1058" s="240"/>
      <c r="D1058" s="240"/>
      <c r="E1058" s="240"/>
      <c r="F1058" s="240"/>
      <c r="G1058" s="240"/>
      <c r="H1058" s="240"/>
      <c r="I1058" s="240"/>
      <c r="J1058" s="240"/>
      <c r="K1058" s="240"/>
      <c r="L1058" s="241"/>
      <c r="M1058" s="350"/>
    </row>
    <row r="1060" spans="1:15" x14ac:dyDescent="0.3">
      <c r="E1060" s="569" t="s">
        <v>392</v>
      </c>
      <c r="F1060" s="569"/>
      <c r="G1060" s="569"/>
      <c r="H1060" s="569"/>
      <c r="I1060" s="566"/>
      <c r="J1060" s="246" t="s">
        <v>393</v>
      </c>
      <c r="K1060" s="246" t="s">
        <v>394</v>
      </c>
    </row>
    <row r="1061" spans="1:15" x14ac:dyDescent="0.3">
      <c r="E1061" s="569"/>
      <c r="F1061" s="569"/>
      <c r="G1061" s="569"/>
      <c r="H1061" s="569"/>
      <c r="I1061" s="566"/>
      <c r="J1061" s="247" t="s">
        <v>883</v>
      </c>
      <c r="K1061" s="247" t="s">
        <v>395</v>
      </c>
    </row>
    <row r="1062" spans="1:15" x14ac:dyDescent="0.3">
      <c r="E1062" s="794" t="s">
        <v>777</v>
      </c>
      <c r="F1062" s="794"/>
      <c r="G1062" s="794"/>
      <c r="H1062" s="794"/>
      <c r="I1062" s="598"/>
      <c r="J1062" s="41"/>
      <c r="K1062" s="41"/>
      <c r="O1062" s="1">
        <f t="shared" ref="O1062:O1067" si="494">IF(K1062=0,0,J1062/K1062)</f>
        <v>0</v>
      </c>
    </row>
    <row r="1063" spans="1:15" x14ac:dyDescent="0.3">
      <c r="E1063" s="794" t="s">
        <v>779</v>
      </c>
      <c r="F1063" s="794"/>
      <c r="G1063" s="794"/>
      <c r="H1063" s="794"/>
      <c r="I1063" s="598"/>
      <c r="J1063" s="41">
        <v>2E-3</v>
      </c>
      <c r="K1063" s="41">
        <v>0.19</v>
      </c>
      <c r="O1063" s="1">
        <f t="shared" si="494"/>
        <v>1.0526315789473684E-2</v>
      </c>
    </row>
    <row r="1064" spans="1:15" x14ac:dyDescent="0.3">
      <c r="E1064" s="794" t="s">
        <v>778</v>
      </c>
      <c r="F1064" s="794"/>
      <c r="G1064" s="794"/>
      <c r="H1064" s="794"/>
      <c r="I1064" s="598"/>
      <c r="J1064" s="41">
        <v>2.5000000000000001E-2</v>
      </c>
      <c r="K1064" s="41">
        <v>0.23</v>
      </c>
      <c r="O1064" s="1">
        <f t="shared" si="494"/>
        <v>0.10869565217391304</v>
      </c>
    </row>
    <row r="1065" spans="1:15" x14ac:dyDescent="0.3">
      <c r="E1065" s="794" t="s">
        <v>780</v>
      </c>
      <c r="F1065" s="794"/>
      <c r="G1065" s="794"/>
      <c r="H1065" s="794"/>
      <c r="I1065" s="598"/>
      <c r="J1065" s="41"/>
      <c r="K1065" s="41"/>
      <c r="O1065" s="1">
        <f t="shared" si="494"/>
        <v>0</v>
      </c>
    </row>
    <row r="1066" spans="1:15" x14ac:dyDescent="0.3">
      <c r="E1066" s="794" t="s">
        <v>439</v>
      </c>
      <c r="F1066" s="794"/>
      <c r="G1066" s="794"/>
      <c r="H1066" s="794"/>
      <c r="I1066" s="598"/>
      <c r="J1066" s="41"/>
      <c r="K1066" s="41"/>
      <c r="O1066" s="1">
        <f t="shared" si="494"/>
        <v>0</v>
      </c>
    </row>
    <row r="1067" spans="1:15" x14ac:dyDescent="0.3">
      <c r="E1067" s="794" t="s">
        <v>781</v>
      </c>
      <c r="F1067" s="794"/>
      <c r="G1067" s="794"/>
      <c r="H1067" s="794"/>
      <c r="I1067" s="598"/>
      <c r="J1067" s="41"/>
      <c r="K1067" s="41"/>
      <c r="O1067" s="1">
        <f t="shared" si="494"/>
        <v>0</v>
      </c>
    </row>
    <row r="1068" spans="1:15" ht="18" x14ac:dyDescent="0.3">
      <c r="I1068" s="249" t="s">
        <v>782</v>
      </c>
      <c r="J1068" s="792">
        <f>SUM(O1062:O1067)</f>
        <v>0.11922196796338673</v>
      </c>
      <c r="K1068" s="793"/>
    </row>
    <row r="1070" spans="1:15" x14ac:dyDescent="0.3">
      <c r="E1070" s="569" t="s">
        <v>392</v>
      </c>
      <c r="F1070" s="569"/>
      <c r="G1070" s="569"/>
      <c r="H1070" s="569"/>
      <c r="I1070" s="566"/>
      <c r="J1070" s="246" t="s">
        <v>393</v>
      </c>
      <c r="K1070" s="246" t="s">
        <v>394</v>
      </c>
    </row>
    <row r="1071" spans="1:15" x14ac:dyDescent="0.3">
      <c r="E1071" s="569"/>
      <c r="F1071" s="569"/>
      <c r="G1071" s="569"/>
      <c r="H1071" s="569"/>
      <c r="I1071" s="566"/>
      <c r="J1071" s="247" t="s">
        <v>883</v>
      </c>
      <c r="K1071" s="247" t="s">
        <v>395</v>
      </c>
    </row>
    <row r="1072" spans="1:15" x14ac:dyDescent="0.3">
      <c r="E1072" s="794" t="s">
        <v>800</v>
      </c>
      <c r="F1072" s="794"/>
      <c r="G1072" s="794"/>
      <c r="H1072" s="794"/>
      <c r="I1072" s="598"/>
      <c r="J1072" s="41">
        <v>0.12</v>
      </c>
      <c r="K1072" s="41">
        <v>3.4000000000000002E-2</v>
      </c>
      <c r="O1072" s="1">
        <f>IF(K1072=0,0,J1072/K1072)</f>
        <v>3.5294117647058818</v>
      </c>
    </row>
    <row r="1073" spans="1:16" x14ac:dyDescent="0.3">
      <c r="E1073" s="794" t="s">
        <v>783</v>
      </c>
      <c r="F1073" s="794"/>
      <c r="G1073" s="794"/>
      <c r="H1073" s="794"/>
      <c r="I1073" s="598"/>
      <c r="J1073" s="41">
        <v>2E-3</v>
      </c>
      <c r="K1073" s="41">
        <v>0.19</v>
      </c>
      <c r="O1073" s="1">
        <f>IF(K1073=0,0,J1073/K1073)</f>
        <v>1.0526315789473684E-2</v>
      </c>
    </row>
    <row r="1074" spans="1:16" hidden="1" x14ac:dyDescent="0.3">
      <c r="E1074" s="803" t="s">
        <v>784</v>
      </c>
      <c r="F1074" s="804"/>
      <c r="G1074" s="804"/>
      <c r="H1074" s="804"/>
      <c r="I1074" s="805"/>
      <c r="J1074" s="41"/>
      <c r="K1074" s="41"/>
      <c r="O1074" s="1">
        <f>IF(K1074=0,0,J1074/K1074)</f>
        <v>0</v>
      </c>
    </row>
    <row r="1075" spans="1:16" x14ac:dyDescent="0.3">
      <c r="E1075" s="794" t="s">
        <v>693</v>
      </c>
      <c r="F1075" s="794"/>
      <c r="G1075" s="794"/>
      <c r="H1075" s="794"/>
      <c r="I1075" s="598"/>
      <c r="J1075" s="41">
        <v>0.14000000000000001</v>
      </c>
      <c r="K1075" s="41">
        <v>1.63</v>
      </c>
      <c r="O1075" s="1">
        <f>IF(K1075=0,0,J1075/K1075)</f>
        <v>8.5889570552147257E-2</v>
      </c>
    </row>
    <row r="1076" spans="1:16" x14ac:dyDescent="0.3">
      <c r="E1076" s="794" t="s">
        <v>872</v>
      </c>
      <c r="F1076" s="794"/>
      <c r="G1076" s="794"/>
      <c r="H1076" s="794"/>
      <c r="I1076" s="598"/>
      <c r="J1076" s="41">
        <v>0.02</v>
      </c>
      <c r="K1076" s="41">
        <v>0.7</v>
      </c>
      <c r="O1076" s="1">
        <f>IF(K1076=0,0,J1076/K1076)</f>
        <v>2.8571428571428574E-2</v>
      </c>
    </row>
    <row r="1077" spans="1:16" ht="18" x14ac:dyDescent="0.3">
      <c r="I1077" s="249" t="s">
        <v>787</v>
      </c>
      <c r="J1077" s="792">
        <f>SUM(O1072:O1076)</f>
        <v>3.6543990796189312</v>
      </c>
      <c r="K1077" s="793"/>
    </row>
    <row r="1079" spans="1:16" ht="18.600000000000001" x14ac:dyDescent="0.4">
      <c r="A1079" s="586" t="s">
        <v>976</v>
      </c>
      <c r="B1079" s="586"/>
      <c r="C1079" s="586"/>
      <c r="D1079" s="586"/>
      <c r="E1079" s="586"/>
      <c r="F1079" s="586"/>
      <c r="G1079" s="586"/>
      <c r="H1079" s="709"/>
      <c r="K1079" s="45" t="s">
        <v>987</v>
      </c>
      <c r="L1079" s="61">
        <v>1</v>
      </c>
      <c r="M1079" s="351"/>
      <c r="O1079" s="45" t="s">
        <v>987</v>
      </c>
      <c r="P1079" s="61">
        <f>L1079</f>
        <v>1</v>
      </c>
    </row>
    <row r="1080" spans="1:16" x14ac:dyDescent="0.3">
      <c r="A1080" s="586" t="s">
        <v>541</v>
      </c>
      <c r="B1080" s="586"/>
      <c r="C1080" s="586"/>
      <c r="D1080" s="586"/>
      <c r="E1080" s="586"/>
      <c r="F1080" s="586"/>
      <c r="G1080" s="586"/>
      <c r="H1080" s="709"/>
      <c r="K1080" s="45" t="s">
        <v>542</v>
      </c>
      <c r="L1080" s="61">
        <v>0</v>
      </c>
      <c r="M1080" s="351"/>
      <c r="O1080" s="45" t="s">
        <v>542</v>
      </c>
      <c r="P1080" s="61">
        <f>L1080</f>
        <v>0</v>
      </c>
    </row>
    <row r="1081" spans="1:16" x14ac:dyDescent="0.3">
      <c r="A1081" s="586" t="s">
        <v>1049</v>
      </c>
      <c r="B1081" s="586"/>
      <c r="C1081" s="586"/>
      <c r="D1081" s="586"/>
      <c r="E1081" s="586"/>
      <c r="F1081" s="586"/>
      <c r="G1081" s="586"/>
      <c r="H1081" s="709"/>
      <c r="K1081" s="45" t="s">
        <v>1050</v>
      </c>
      <c r="L1081" s="61">
        <f>L1079*L1085</f>
        <v>1E-41</v>
      </c>
      <c r="M1081" s="351"/>
      <c r="O1081" s="45" t="s">
        <v>1050</v>
      </c>
      <c r="P1081" s="61">
        <f>L1081</f>
        <v>1E-41</v>
      </c>
    </row>
    <row r="1082" spans="1:16" ht="18.600000000000001" x14ac:dyDescent="0.4">
      <c r="A1082" s="586" t="s">
        <v>977</v>
      </c>
      <c r="B1082" s="586"/>
      <c r="C1082" s="586"/>
      <c r="D1082" s="586"/>
      <c r="E1082" s="586"/>
      <c r="F1082" s="586"/>
      <c r="G1082" s="586"/>
      <c r="H1082" s="709"/>
      <c r="K1082" s="45" t="s">
        <v>982</v>
      </c>
      <c r="L1082" s="59">
        <f>J1077</f>
        <v>3.6543990796189312</v>
      </c>
      <c r="M1082" s="352"/>
      <c r="O1082" s="45" t="s">
        <v>982</v>
      </c>
      <c r="P1082" s="59">
        <f>3.13-0.1-0.17</f>
        <v>2.86</v>
      </c>
    </row>
    <row r="1083" spans="1:16" ht="18.600000000000001" x14ac:dyDescent="0.4">
      <c r="A1083" s="586" t="s">
        <v>978</v>
      </c>
      <c r="B1083" s="586"/>
      <c r="C1083" s="586"/>
      <c r="D1083" s="586"/>
      <c r="E1083" s="586"/>
      <c r="F1083" s="586"/>
      <c r="G1083" s="586"/>
      <c r="H1083" s="709"/>
      <c r="K1083" s="45" t="s">
        <v>983</v>
      </c>
      <c r="L1083" s="59">
        <f>J1068</f>
        <v>0.11922196796338673</v>
      </c>
      <c r="M1083" s="352"/>
      <c r="O1083" s="45" t="s">
        <v>983</v>
      </c>
      <c r="P1083" s="59">
        <f>IF(J1066=0,L1083,3.33-0.1-0.17)</f>
        <v>0.11922196796338673</v>
      </c>
    </row>
    <row r="1084" spans="1:16" ht="18.600000000000001" x14ac:dyDescent="0.4">
      <c r="A1084" s="586" t="s">
        <v>979</v>
      </c>
      <c r="B1084" s="586"/>
      <c r="C1084" s="586"/>
      <c r="D1084" s="586"/>
      <c r="E1084" s="586"/>
      <c r="F1084" s="586"/>
      <c r="G1084" s="586"/>
      <c r="H1084" s="709"/>
      <c r="K1084" s="45" t="s">
        <v>984</v>
      </c>
      <c r="L1084" s="59">
        <f>J1160</f>
        <v>3.8587470001263107</v>
      </c>
      <c r="M1084" s="352"/>
      <c r="O1084" s="45" t="s">
        <v>984</v>
      </c>
      <c r="P1084" s="59">
        <f>J1160</f>
        <v>3.8587470001263107</v>
      </c>
    </row>
    <row r="1085" spans="1:16" ht="18.600000000000001" x14ac:dyDescent="0.4">
      <c r="A1085" s="586" t="s">
        <v>980</v>
      </c>
      <c r="B1085" s="586"/>
      <c r="C1085" s="586"/>
      <c r="D1085" s="586"/>
      <c r="E1085" s="586"/>
      <c r="F1085" s="586"/>
      <c r="G1085" s="586"/>
      <c r="H1085" s="709"/>
      <c r="K1085" s="45" t="s">
        <v>985</v>
      </c>
      <c r="L1085" s="57">
        <f>H154</f>
        <v>1E-41</v>
      </c>
      <c r="M1085" s="352"/>
      <c r="O1085" s="45" t="s">
        <v>985</v>
      </c>
      <c r="P1085" s="57">
        <f>L1085</f>
        <v>1E-41</v>
      </c>
    </row>
    <row r="1086" spans="1:16" ht="18.600000000000001" x14ac:dyDescent="0.4">
      <c r="A1086" s="586" t="s">
        <v>981</v>
      </c>
      <c r="B1086" s="586"/>
      <c r="C1086" s="586"/>
      <c r="D1086" s="586"/>
      <c r="E1086" s="586"/>
      <c r="F1086" s="586"/>
      <c r="G1086" s="586"/>
      <c r="H1086" s="709"/>
      <c r="K1086" s="45" t="s">
        <v>986</v>
      </c>
      <c r="L1086" s="57">
        <f>L1085*1.3</f>
        <v>1.3E-41</v>
      </c>
      <c r="M1086" s="352"/>
      <c r="O1086" s="45" t="s">
        <v>986</v>
      </c>
      <c r="P1086" s="57">
        <f>L1086</f>
        <v>1.3E-41</v>
      </c>
    </row>
    <row r="1087" spans="1:16" ht="18.600000000000001" x14ac:dyDescent="0.4">
      <c r="A1087" s="586" t="s">
        <v>988</v>
      </c>
      <c r="B1087" s="586"/>
      <c r="C1087" s="586"/>
      <c r="D1087" s="586"/>
      <c r="E1087" s="586"/>
      <c r="F1087" s="586"/>
      <c r="G1087" s="586"/>
      <c r="H1087" s="709"/>
      <c r="K1087" s="45" t="s">
        <v>1037</v>
      </c>
      <c r="L1087" s="57">
        <v>0</v>
      </c>
      <c r="M1087" s="352"/>
      <c r="O1087" s="45" t="s">
        <v>1037</v>
      </c>
      <c r="P1087" s="57">
        <f>L1087</f>
        <v>0</v>
      </c>
    </row>
    <row r="1088" spans="1:16" ht="18.600000000000001" x14ac:dyDescent="0.4">
      <c r="A1088" s="586" t="s">
        <v>1024</v>
      </c>
      <c r="B1088" s="586"/>
      <c r="C1088" s="586"/>
      <c r="D1088" s="586"/>
      <c r="E1088" s="586"/>
      <c r="F1088" s="586"/>
      <c r="G1088" s="589"/>
      <c r="H1088" s="589"/>
      <c r="K1088" s="45" t="s">
        <v>1023</v>
      </c>
      <c r="L1088" s="59">
        <f>L1080*L1087</f>
        <v>0</v>
      </c>
      <c r="M1088" s="352"/>
      <c r="O1088" s="45" t="s">
        <v>1023</v>
      </c>
      <c r="P1088" s="59">
        <f>P1080*P1087</f>
        <v>0</v>
      </c>
    </row>
    <row r="1089" spans="1:16" ht="18.600000000000001" x14ac:dyDescent="0.4">
      <c r="A1089" s="586" t="s">
        <v>990</v>
      </c>
      <c r="B1089" s="586"/>
      <c r="C1089" s="586"/>
      <c r="D1089" s="586"/>
      <c r="E1089" s="586"/>
      <c r="F1089" s="586"/>
      <c r="G1089" s="589"/>
      <c r="H1089" s="589"/>
      <c r="K1089" s="11" t="s">
        <v>991</v>
      </c>
      <c r="L1089" s="200">
        <f>K181</f>
        <v>19</v>
      </c>
      <c r="M1089" s="353"/>
      <c r="O1089" s="11" t="s">
        <v>991</v>
      </c>
      <c r="P1089" s="200">
        <f>L1089</f>
        <v>19</v>
      </c>
    </row>
    <row r="1090" spans="1:16" ht="18.600000000000001" x14ac:dyDescent="0.4">
      <c r="A1090" s="586" t="s">
        <v>992</v>
      </c>
      <c r="B1090" s="586"/>
      <c r="C1090" s="586"/>
      <c r="D1090" s="586"/>
      <c r="E1090" s="586"/>
      <c r="F1090" s="586"/>
      <c r="G1090" s="589"/>
      <c r="H1090" s="589"/>
      <c r="K1090" s="11" t="s">
        <v>993</v>
      </c>
      <c r="L1090" s="233">
        <f ca="1">'Климатични зони'!AF18</f>
        <v>2.2000000000000002</v>
      </c>
      <c r="M1090" s="353"/>
      <c r="O1090" s="11" t="s">
        <v>993</v>
      </c>
      <c r="P1090" s="200">
        <f ca="1">L1090</f>
        <v>2.2000000000000002</v>
      </c>
    </row>
    <row r="1091" spans="1:16" ht="18.600000000000001" x14ac:dyDescent="0.4">
      <c r="A1091" s="637" t="s">
        <v>989</v>
      </c>
      <c r="B1091" s="637"/>
      <c r="C1091" s="637"/>
      <c r="D1091" s="637"/>
      <c r="E1091" s="637"/>
      <c r="F1091" s="637"/>
      <c r="G1091" s="637"/>
      <c r="H1091" s="651"/>
      <c r="I1091" s="54"/>
      <c r="K1091" s="31" t="s">
        <v>1022</v>
      </c>
      <c r="L1091" s="62">
        <f ca="1">((L1089*L1085)/(0.1+L1082+0.1)+(L1090*L1086)/(0.1+L1083+0.04)+(L1090*L1088)/(0.13+L1084+0.04)+L1090*0.33*0.3*L1081)/(L1085/(0.1+L1082+0.1)+L1086/(0.1+L1083+0.04)+L1088/(0.13+L1084+0.04)+0.33*0.3*L1081)</f>
        <v>3.0111465396069277</v>
      </c>
      <c r="M1091" s="354"/>
      <c r="O1091" s="31" t="s">
        <v>1022</v>
      </c>
      <c r="P1091" s="62">
        <f ca="1">((P1089*P1085)/(0.1+P1082+0.1)+(P1090*P1086)/(0.1+P1083+0.04)+(P1090*P1088)/(0.13+P1084+0.04)+P1090*0.33*0.3*P1081)/(P1085/(0.1+P1082+0.1)+P1086/(0.1+P1083+0.04)+P1088/(0.13+P1084+0.04)+0.33*0.3*P1081)</f>
        <v>3.2090780014495519</v>
      </c>
    </row>
    <row r="1092" spans="1:16" x14ac:dyDescent="0.3">
      <c r="B1092"/>
      <c r="L1092" s="1"/>
    </row>
    <row r="1093" spans="1:16" x14ac:dyDescent="0.3">
      <c r="B1093"/>
      <c r="L1093" s="1"/>
    </row>
    <row r="1094" spans="1:16" x14ac:dyDescent="0.3">
      <c r="A1094" s="586" t="s">
        <v>994</v>
      </c>
      <c r="B1094" s="586"/>
      <c r="C1094" s="586"/>
      <c r="D1094" s="586"/>
      <c r="E1094" s="586"/>
      <c r="F1094" s="586"/>
      <c r="G1094" s="589"/>
      <c r="H1094" s="589"/>
      <c r="K1094" s="763" t="s">
        <v>998</v>
      </c>
      <c r="L1094" s="763">
        <f ca="1">L1091+0.1*(1/(0.1+L1082+0.1))*(L1089-L1091)</f>
        <v>3.4259674528055117</v>
      </c>
      <c r="M1094" s="320"/>
      <c r="O1094" s="763" t="s">
        <v>998</v>
      </c>
      <c r="P1094" s="763">
        <f ca="1">P1091+0.1*(1/(0.1+P1082+0.1))*(P1089-P1091)</f>
        <v>3.7251212040165602</v>
      </c>
    </row>
    <row r="1095" spans="1:16" x14ac:dyDescent="0.3">
      <c r="A1095" s="586" t="s">
        <v>996</v>
      </c>
      <c r="B1095" s="586"/>
      <c r="C1095" s="586"/>
      <c r="D1095" s="586"/>
      <c r="E1095" s="586"/>
      <c r="F1095" s="586"/>
      <c r="G1095" s="589"/>
      <c r="H1095" s="589"/>
      <c r="K1095" s="636"/>
      <c r="L1095" s="636"/>
      <c r="M1095" s="355"/>
      <c r="O1095" s="636"/>
      <c r="P1095" s="636"/>
    </row>
    <row r="1096" spans="1:16" x14ac:dyDescent="0.3">
      <c r="A1096" s="586" t="s">
        <v>997</v>
      </c>
      <c r="B1096" s="586"/>
      <c r="C1096" s="586"/>
      <c r="D1096" s="586"/>
      <c r="E1096" s="586"/>
      <c r="F1096" s="586"/>
      <c r="G1096" s="589"/>
      <c r="H1096" s="589"/>
      <c r="K1096" s="763" t="s">
        <v>999</v>
      </c>
      <c r="L1096" s="802">
        <f ca="1">L1091-0.17*(1/(0.1+L1083+0.04))*(L1091-L1090)</f>
        <v>2.4791896502407673</v>
      </c>
      <c r="M1096" s="356"/>
      <c r="O1096" s="763" t="s">
        <v>999</v>
      </c>
      <c r="P1096" s="802">
        <f ca="1">P1091-0.1*(1/(0.1+P1083+0.04))*(P1091-P1090)</f>
        <v>2.8198062088705846</v>
      </c>
    </row>
    <row r="1097" spans="1:16" x14ac:dyDescent="0.3">
      <c r="A1097" s="586" t="s">
        <v>996</v>
      </c>
      <c r="B1097" s="586"/>
      <c r="C1097" s="586"/>
      <c r="D1097" s="586"/>
      <c r="E1097" s="586"/>
      <c r="F1097" s="586"/>
      <c r="G1097" s="589"/>
      <c r="H1097" s="589"/>
      <c r="K1097" s="636"/>
      <c r="L1097" s="636"/>
      <c r="M1097" s="355"/>
      <c r="O1097" s="636"/>
      <c r="P1097" s="636"/>
    </row>
    <row r="1098" spans="1:16" x14ac:dyDescent="0.3">
      <c r="A1098" s="586" t="s">
        <v>1000</v>
      </c>
      <c r="B1098" s="586"/>
      <c r="C1098" s="586"/>
      <c r="D1098" s="586"/>
      <c r="E1098" s="586"/>
      <c r="F1098" s="586"/>
      <c r="G1098" s="589"/>
      <c r="H1098" s="589"/>
      <c r="K1098" s="11" t="s">
        <v>1001</v>
      </c>
      <c r="L1098" s="48">
        <f ca="1">1/(L1091+273.15)</f>
        <v>3.6210741899443135E-3</v>
      </c>
      <c r="M1098" s="357"/>
      <c r="O1098" s="11" t="s">
        <v>1001</v>
      </c>
      <c r="P1098" s="48">
        <f ca="1">1/(P1091+273.15)</f>
        <v>3.6184807361195311E-3</v>
      </c>
    </row>
    <row r="1099" spans="1:16" x14ac:dyDescent="0.3">
      <c r="A1099" s="586" t="s">
        <v>1004</v>
      </c>
      <c r="B1099" s="586"/>
      <c r="C1099" s="586"/>
      <c r="D1099" s="586"/>
      <c r="E1099" s="586"/>
      <c r="F1099" s="586"/>
      <c r="G1099" s="589"/>
      <c r="H1099" s="589"/>
      <c r="K1099" s="11" t="s">
        <v>1005</v>
      </c>
      <c r="L1099" s="50">
        <f>13.447*10^-6</f>
        <v>1.3446999999999998E-5</v>
      </c>
      <c r="M1099" s="357"/>
      <c r="O1099" s="11" t="s">
        <v>1005</v>
      </c>
      <c r="P1099" s="50">
        <f>L1099</f>
        <v>1.3446999999999998E-5</v>
      </c>
    </row>
    <row r="1100" spans="1:16" x14ac:dyDescent="0.3">
      <c r="A1100" s="586" t="s">
        <v>1002</v>
      </c>
      <c r="B1100" s="586"/>
      <c r="C1100" s="586"/>
      <c r="D1100" s="586"/>
      <c r="E1100" s="586"/>
      <c r="F1100" s="586"/>
      <c r="G1100" s="589"/>
      <c r="H1100" s="589"/>
      <c r="K1100" s="45" t="s">
        <v>1003</v>
      </c>
      <c r="L1100" s="49">
        <f ca="1">(9.81*L1098*(L1079^3)*(L1094-L1096))/(L1099^2)</f>
        <v>185996035.68031341</v>
      </c>
      <c r="M1100" s="358"/>
      <c r="O1100" s="45" t="s">
        <v>1003</v>
      </c>
      <c r="P1100" s="49">
        <f ca="1">(9.81*P1098*(P1079^3)*(P1094-P1096))/(P1099^2)</f>
        <v>177723221.29156438</v>
      </c>
    </row>
    <row r="1101" spans="1:16" x14ac:dyDescent="0.3">
      <c r="L1101" s="1"/>
    </row>
    <row r="1102" spans="1:16" x14ac:dyDescent="0.3">
      <c r="B1102"/>
      <c r="L1102" s="1"/>
    </row>
    <row r="1103" spans="1:16" ht="18.600000000000001" x14ac:dyDescent="0.4">
      <c r="A1103" s="586" t="s">
        <v>1007</v>
      </c>
      <c r="B1103" s="586"/>
      <c r="C1103" s="586"/>
      <c r="D1103" s="586"/>
      <c r="E1103" s="586"/>
      <c r="F1103" s="586"/>
      <c r="G1103" s="589"/>
      <c r="H1103" s="589"/>
      <c r="K1103" s="45" t="s">
        <v>1006</v>
      </c>
      <c r="L1103" s="52">
        <v>0.71945000000000003</v>
      </c>
      <c r="M1103" s="359"/>
      <c r="O1103" s="45" t="s">
        <v>1006</v>
      </c>
      <c r="P1103" s="52">
        <f>L1103</f>
        <v>0.71945000000000003</v>
      </c>
    </row>
    <row r="1104" spans="1:16" ht="18.600000000000001" x14ac:dyDescent="0.4">
      <c r="A1104" s="586" t="s">
        <v>1008</v>
      </c>
      <c r="B1104" s="586"/>
      <c r="C1104" s="586"/>
      <c r="D1104" s="586"/>
      <c r="E1104" s="586"/>
      <c r="F1104" s="586"/>
      <c r="G1104" s="589"/>
      <c r="H1104" s="589"/>
      <c r="K1104" s="11" t="s">
        <v>1009</v>
      </c>
      <c r="L1104" s="47">
        <f ca="1">IF(L1100*L1103&lt;1000,1,IF(L1100*L1103&lt;10^6,0.105*(L1100*L1103)^0.3,0.4*(L1100*L1103)^0.25))</f>
        <v>43.021551407426159</v>
      </c>
      <c r="M1104" s="360"/>
      <c r="O1104" s="11" t="s">
        <v>1009</v>
      </c>
      <c r="P1104" s="47">
        <f ca="1">IF(P1100*P1103&lt;1000,1,IF(P1100*P1103&lt;10^6,0.105*(P1100*P1103)^0.3,0.4*(P1100*P1103)^0.25))</f>
        <v>42.534975760829781</v>
      </c>
    </row>
    <row r="1105" spans="1:16" ht="18.600000000000001" x14ac:dyDescent="0.4">
      <c r="A1105" s="586" t="s">
        <v>1010</v>
      </c>
      <c r="B1105" s="586"/>
      <c r="C1105" s="586"/>
      <c r="D1105" s="586"/>
      <c r="E1105" s="586"/>
      <c r="F1105" s="586"/>
      <c r="G1105" s="589"/>
      <c r="H1105" s="589"/>
      <c r="K1105" s="11" t="s">
        <v>1011</v>
      </c>
      <c r="L1105" s="52">
        <v>2.4181999999999999E-2</v>
      </c>
      <c r="M1105" s="359"/>
      <c r="O1105" s="11" t="s">
        <v>1011</v>
      </c>
      <c r="P1105" s="52">
        <f>L1105</f>
        <v>2.4181999999999999E-2</v>
      </c>
    </row>
    <row r="1106" spans="1:16" ht="18.600000000000001" x14ac:dyDescent="0.4">
      <c r="A1106" s="586" t="s">
        <v>1012</v>
      </c>
      <c r="B1106" s="586"/>
      <c r="C1106" s="586"/>
      <c r="D1106" s="586"/>
      <c r="E1106" s="586"/>
      <c r="F1106" s="586"/>
      <c r="G1106" s="589"/>
      <c r="H1106" s="589"/>
      <c r="K1106" s="11" t="s">
        <v>1013</v>
      </c>
      <c r="L1106" s="51">
        <f ca="1">L1105*L1104</f>
        <v>1.0403471561343793</v>
      </c>
      <c r="M1106" s="359"/>
      <c r="O1106" s="11" t="s">
        <v>1013</v>
      </c>
      <c r="P1106" s="51">
        <f ca="1">P1105*P1104</f>
        <v>1.0285807838483858</v>
      </c>
    </row>
    <row r="1107" spans="1:16" ht="18.600000000000001" x14ac:dyDescent="0.4">
      <c r="A1107" s="586" t="s">
        <v>1014</v>
      </c>
      <c r="B1107" s="586"/>
      <c r="C1107" s="586"/>
      <c r="D1107" s="586"/>
      <c r="E1107" s="586"/>
      <c r="F1107" s="586"/>
      <c r="G1107" s="589"/>
      <c r="H1107" s="589"/>
      <c r="I1107" s="53"/>
      <c r="K1107" s="45" t="s">
        <v>1015</v>
      </c>
      <c r="L1107" s="43">
        <f ca="1">L1079/(2*L1106)</f>
        <v>0.48060880164064784</v>
      </c>
      <c r="M1107" s="109"/>
      <c r="O1107" s="45" t="s">
        <v>1015</v>
      </c>
      <c r="P1107" s="43">
        <f ca="1">P1079/(2*P1106)</f>
        <v>0.48610668977236177</v>
      </c>
    </row>
    <row r="1108" spans="1:16" ht="18.600000000000001" x14ac:dyDescent="0.4">
      <c r="A1108" s="586" t="s">
        <v>1016</v>
      </c>
      <c r="B1108" s="586"/>
      <c r="C1108" s="586"/>
      <c r="D1108" s="586"/>
      <c r="E1108" s="586"/>
      <c r="F1108" s="586"/>
      <c r="G1108" s="589"/>
      <c r="H1108" s="589"/>
      <c r="I1108" s="53"/>
      <c r="K1108" s="45" t="s">
        <v>1017</v>
      </c>
      <c r="L1108" s="43">
        <f ca="1">1/(0.1+L1082+L1107)</f>
        <v>0.23612706942651054</v>
      </c>
      <c r="M1108" s="109"/>
      <c r="O1108" s="45" t="s">
        <v>1017</v>
      </c>
      <c r="P1108" s="43">
        <f ca="1">1/(0.1+P1082+P1107)</f>
        <v>0.29018254222014717</v>
      </c>
    </row>
    <row r="1109" spans="1:16" ht="18.600000000000001" x14ac:dyDescent="0.4">
      <c r="A1109" s="586" t="s">
        <v>1018</v>
      </c>
      <c r="B1109" s="586"/>
      <c r="C1109" s="586"/>
      <c r="D1109" s="586"/>
      <c r="E1109" s="586"/>
      <c r="F1109" s="586"/>
      <c r="G1109" s="589"/>
      <c r="H1109" s="589"/>
      <c r="I1109" s="53"/>
      <c r="K1109" s="45" t="s">
        <v>1021</v>
      </c>
      <c r="L1109" s="43">
        <f ca="1">1/(L1107+L1083+0.04)</f>
        <v>1.5629132694241314</v>
      </c>
      <c r="M1109" s="109"/>
      <c r="O1109" s="45" t="s">
        <v>1021</v>
      </c>
      <c r="P1109" s="43">
        <f ca="1">1/(P1107+P1083+0.04)</f>
        <v>1.549598004075442</v>
      </c>
    </row>
    <row r="1110" spans="1:16" ht="18.600000000000001" x14ac:dyDescent="0.4">
      <c r="A1110" s="586" t="s">
        <v>1019</v>
      </c>
      <c r="B1110" s="586"/>
      <c r="C1110" s="586"/>
      <c r="D1110" s="586"/>
      <c r="E1110" s="586"/>
      <c r="F1110" s="586"/>
      <c r="G1110" s="589"/>
      <c r="H1110" s="589"/>
      <c r="I1110" s="53"/>
      <c r="K1110" s="45" t="s">
        <v>1020</v>
      </c>
      <c r="L1110" s="43">
        <f>1/(0.13+L1084+0.04)</f>
        <v>0.24821613270047677</v>
      </c>
      <c r="M1110" s="109"/>
      <c r="O1110" s="45" t="s">
        <v>1020</v>
      </c>
      <c r="P1110" s="43">
        <f>1/(0.13+P1084+0.04)</f>
        <v>0.24821613270047677</v>
      </c>
    </row>
    <row r="1111" spans="1:16" x14ac:dyDescent="0.3">
      <c r="A1111" s="36"/>
      <c r="B1111" s="36"/>
      <c r="C1111" s="36"/>
      <c r="D1111" s="36"/>
      <c r="E1111" s="36"/>
      <c r="F1111" s="36"/>
      <c r="G1111" s="14"/>
      <c r="H1111" s="14"/>
      <c r="I1111" s="53"/>
      <c r="K1111" s="45"/>
      <c r="L1111" s="43"/>
      <c r="M1111" s="109"/>
      <c r="O1111" s="45"/>
      <c r="P1111" s="43"/>
    </row>
    <row r="1112" spans="1:16" x14ac:dyDescent="0.3">
      <c r="A1112" s="36"/>
      <c r="B1112" s="36"/>
      <c r="C1112" s="36"/>
      <c r="D1112" s="36"/>
      <c r="E1112" s="36"/>
      <c r="F1112" s="36"/>
      <c r="G1112" s="14"/>
      <c r="H1112" s="14"/>
      <c r="I1112" s="53"/>
      <c r="K1112" s="45"/>
      <c r="L1112" s="43"/>
      <c r="M1112" s="109"/>
      <c r="O1112" s="45"/>
      <c r="P1112" s="43"/>
    </row>
    <row r="1113" spans="1:16" x14ac:dyDescent="0.3">
      <c r="A1113" s="36"/>
      <c r="B1113" s="36"/>
      <c r="C1113" s="36"/>
      <c r="D1113" s="36"/>
      <c r="E1113" s="36"/>
      <c r="F1113" s="36"/>
      <c r="G1113" s="14"/>
      <c r="H1113" s="14"/>
      <c r="I1113" s="53"/>
      <c r="K1113" s="45"/>
      <c r="L1113" s="43"/>
      <c r="M1113" s="109"/>
      <c r="O1113" s="45"/>
      <c r="P1113" s="43"/>
    </row>
    <row r="1114" spans="1:16" x14ac:dyDescent="0.3">
      <c r="A1114" s="36"/>
      <c r="B1114" s="36"/>
      <c r="C1114" s="36"/>
      <c r="D1114" s="36"/>
      <c r="E1114" s="36"/>
      <c r="F1114" s="36"/>
      <c r="G1114" s="14"/>
      <c r="H1114" s="14"/>
      <c r="I1114" s="53"/>
      <c r="K1114" s="45"/>
      <c r="L1114" s="43"/>
      <c r="M1114" s="109"/>
      <c r="O1114" s="45"/>
      <c r="P1114" s="43"/>
    </row>
    <row r="1115" spans="1:16" x14ac:dyDescent="0.3">
      <c r="A1115" s="637" t="s">
        <v>281</v>
      </c>
      <c r="B1115" s="637"/>
      <c r="C1115" s="637"/>
      <c r="D1115" s="637"/>
      <c r="E1115" s="637"/>
      <c r="F1115" s="637"/>
      <c r="G1115" s="637"/>
      <c r="H1115" s="651"/>
      <c r="I1115" s="651"/>
      <c r="K1115" s="635" t="s">
        <v>1025</v>
      </c>
      <c r="L1115" s="712">
        <f ca="1">1/(1/L1108+L1085/(L1086*L1109+L1088*L1110+0.33*0.3*L1081))</f>
        <v>0.21257066417245804</v>
      </c>
      <c r="M1115" s="361"/>
      <c r="O1115" s="635" t="s">
        <v>1025</v>
      </c>
      <c r="P1115" s="712">
        <f ca="1">1/(1/P1108+P1085/(P1086*P1109+P1088*P1110+0.33*0.3*P1081))</f>
        <v>0.25515017089978215</v>
      </c>
    </row>
    <row r="1116" spans="1:16" x14ac:dyDescent="0.3">
      <c r="A1116" s="637" t="s">
        <v>788</v>
      </c>
      <c r="B1116" s="637"/>
      <c r="C1116" s="637"/>
      <c r="D1116" s="637"/>
      <c r="E1116" s="637"/>
      <c r="F1116" s="637"/>
      <c r="G1116" s="637"/>
      <c r="H1116" s="651"/>
      <c r="I1116" s="651"/>
      <c r="K1116" s="636"/>
      <c r="L1116" s="682"/>
      <c r="M1116" s="362"/>
      <c r="O1116" s="636"/>
      <c r="P1116" s="682"/>
    </row>
    <row r="1118" spans="1:16" ht="21" x14ac:dyDescent="0.4">
      <c r="A1118" s="710" t="str">
        <f>CONCATENATE("Детайл ",A1412)</f>
        <v>Детайл 0</v>
      </c>
      <c r="B1118" s="710"/>
      <c r="C1118" s="710"/>
      <c r="D1118" s="710"/>
      <c r="E1118" s="710"/>
      <c r="F1118" s="710"/>
      <c r="G1118" s="710"/>
      <c r="H1118" s="710"/>
      <c r="I1118" s="710"/>
      <c r="J1118" s="710"/>
      <c r="K1118" s="710"/>
      <c r="L1118" s="711"/>
      <c r="M1118" s="349"/>
      <c r="O1118" s="501"/>
    </row>
    <row r="1119" spans="1:16" x14ac:dyDescent="0.3">
      <c r="A1119" s="676" t="s">
        <v>701</v>
      </c>
      <c r="B1119" s="676"/>
      <c r="C1119" s="676"/>
      <c r="D1119" s="676"/>
      <c r="E1119" s="676"/>
      <c r="F1119" s="676"/>
      <c r="G1119" s="676"/>
      <c r="H1119" s="676"/>
      <c r="I1119" s="676"/>
      <c r="J1119" s="676"/>
      <c r="K1119" s="676"/>
      <c r="L1119" s="719"/>
      <c r="M1119" s="350"/>
    </row>
    <row r="1120" spans="1:16" x14ac:dyDescent="0.3">
      <c r="A1120" s="7"/>
      <c r="B1120" s="55"/>
      <c r="C1120" s="7"/>
      <c r="D1120" s="7"/>
      <c r="E1120" s="7"/>
      <c r="F1120" s="7"/>
      <c r="G1120" s="7"/>
      <c r="H1120" s="7"/>
      <c r="I1120" s="7"/>
      <c r="J1120" s="7"/>
      <c r="K1120" s="7"/>
      <c r="L1120" s="107"/>
      <c r="M1120" s="333"/>
    </row>
    <row r="1121" spans="1:16" x14ac:dyDescent="0.3">
      <c r="A1121" s="7"/>
      <c r="B1121" s="55"/>
      <c r="C1121" s="7"/>
      <c r="D1121" s="7"/>
      <c r="E1121" s="569" t="s">
        <v>392</v>
      </c>
      <c r="F1121" s="569"/>
      <c r="G1121" s="569"/>
      <c r="H1121" s="569"/>
      <c r="I1121" s="566"/>
      <c r="J1121" s="246" t="s">
        <v>393</v>
      </c>
      <c r="K1121" s="246" t="s">
        <v>394</v>
      </c>
      <c r="L1121" s="107"/>
      <c r="M1121" s="333"/>
    </row>
    <row r="1122" spans="1:16" x14ac:dyDescent="0.3">
      <c r="A1122" s="7"/>
      <c r="B1122" s="55"/>
      <c r="C1122" s="7"/>
      <c r="D1122" s="7"/>
      <c r="E1122" s="569"/>
      <c r="F1122" s="569"/>
      <c r="G1122" s="569"/>
      <c r="H1122" s="569"/>
      <c r="I1122" s="566"/>
      <c r="J1122" s="247" t="s">
        <v>883</v>
      </c>
      <c r="K1122" s="247" t="s">
        <v>395</v>
      </c>
      <c r="L1122" s="107"/>
      <c r="M1122" s="333"/>
    </row>
    <row r="1123" spans="1:16" x14ac:dyDescent="0.3">
      <c r="A1123" s="7"/>
      <c r="B1123" s="55"/>
      <c r="C1123" s="7"/>
      <c r="D1123" s="7"/>
      <c r="E1123" s="657" t="s">
        <v>702</v>
      </c>
      <c r="F1123" s="657"/>
      <c r="G1123" s="657"/>
      <c r="H1123" s="657"/>
      <c r="I1123" s="657"/>
      <c r="J1123" s="243"/>
      <c r="K1123" s="243"/>
      <c r="L1123" s="107"/>
      <c r="M1123" s="333"/>
      <c r="P1123" s="1">
        <f>IF(K1123=0,0,J1123/K1123)</f>
        <v>0</v>
      </c>
    </row>
    <row r="1124" spans="1:16" x14ac:dyDescent="0.3">
      <c r="A1124" s="7"/>
      <c r="B1124" s="55"/>
      <c r="C1124" s="7"/>
      <c r="D1124" s="7"/>
      <c r="E1124" s="657" t="s">
        <v>779</v>
      </c>
      <c r="F1124" s="657"/>
      <c r="G1124" s="657"/>
      <c r="H1124" s="657"/>
      <c r="I1124" s="657"/>
      <c r="J1124" s="243">
        <v>2E-3</v>
      </c>
      <c r="K1124" s="243">
        <v>0.19</v>
      </c>
      <c r="L1124" s="107"/>
      <c r="M1124" s="333"/>
      <c r="P1124" s="1">
        <f t="shared" ref="P1124:P1129" si="495">IF(K1124=0,0,J1124/K1124)</f>
        <v>1.0526315789473684E-2</v>
      </c>
    </row>
    <row r="1125" spans="1:16" x14ac:dyDescent="0.3">
      <c r="A1125" s="7"/>
      <c r="B1125" s="55"/>
      <c r="C1125" s="7"/>
      <c r="D1125" s="7"/>
      <c r="E1125" s="657" t="s">
        <v>778</v>
      </c>
      <c r="F1125" s="657"/>
      <c r="G1125" s="657"/>
      <c r="H1125" s="657"/>
      <c r="I1125" s="657"/>
      <c r="J1125" s="41">
        <v>0.02</v>
      </c>
      <c r="K1125" s="41">
        <v>0.23</v>
      </c>
      <c r="L1125" s="107"/>
      <c r="M1125" s="333"/>
      <c r="P1125" s="1">
        <f t="shared" si="495"/>
        <v>8.6956521739130432E-2</v>
      </c>
    </row>
    <row r="1126" spans="1:16" x14ac:dyDescent="0.3">
      <c r="A1126" s="7"/>
      <c r="B1126" s="55"/>
      <c r="C1126" s="7"/>
      <c r="D1126" s="7"/>
      <c r="E1126" s="657" t="s">
        <v>1082</v>
      </c>
      <c r="F1126" s="657"/>
      <c r="G1126" s="657"/>
      <c r="H1126" s="657"/>
      <c r="I1126" s="657"/>
      <c r="J1126" s="243">
        <v>0.12</v>
      </c>
      <c r="K1126" s="243">
        <v>3.3000000000000002E-2</v>
      </c>
      <c r="L1126" s="107"/>
      <c r="M1126" s="333"/>
      <c r="P1126" s="1">
        <f t="shared" si="495"/>
        <v>3.6363636363636362</v>
      </c>
    </row>
    <row r="1127" spans="1:16" x14ac:dyDescent="0.3">
      <c r="A1127" s="7"/>
      <c r="B1127" s="55"/>
      <c r="C1127" s="7"/>
      <c r="D1127" s="7"/>
      <c r="E1127" s="657" t="s">
        <v>792</v>
      </c>
      <c r="F1127" s="657"/>
      <c r="G1127" s="657"/>
      <c r="H1127" s="657"/>
      <c r="I1127" s="657"/>
      <c r="J1127" s="243"/>
      <c r="K1127" s="243"/>
      <c r="L1127" s="107"/>
      <c r="M1127" s="333"/>
      <c r="P1127" s="1">
        <f t="shared" si="495"/>
        <v>0</v>
      </c>
    </row>
    <row r="1128" spans="1:16" x14ac:dyDescent="0.3">
      <c r="A1128" s="7"/>
      <c r="B1128" s="55"/>
      <c r="C1128" s="7"/>
      <c r="D1128" s="7"/>
      <c r="E1128" s="657" t="s">
        <v>205</v>
      </c>
      <c r="F1128" s="657"/>
      <c r="G1128" s="657"/>
      <c r="H1128" s="657"/>
      <c r="I1128" s="657"/>
      <c r="J1128" s="243">
        <v>0.15</v>
      </c>
      <c r="K1128" s="243">
        <v>1.63</v>
      </c>
      <c r="L1128" s="107"/>
      <c r="M1128" s="333"/>
      <c r="P1128" s="1">
        <f t="shared" si="495"/>
        <v>9.202453987730061E-2</v>
      </c>
    </row>
    <row r="1129" spans="1:16" x14ac:dyDescent="0.3">
      <c r="A1129" s="7"/>
      <c r="B1129" s="55"/>
      <c r="C1129" s="7"/>
      <c r="D1129" s="7"/>
      <c r="E1129" s="657" t="s">
        <v>206</v>
      </c>
      <c r="F1129" s="657"/>
      <c r="G1129" s="657"/>
      <c r="H1129" s="657"/>
      <c r="I1129" s="657"/>
      <c r="J1129" s="243">
        <v>0.02</v>
      </c>
      <c r="K1129" s="243">
        <v>0.87</v>
      </c>
      <c r="L1129" s="1"/>
      <c r="P1129" s="1">
        <f t="shared" si="495"/>
        <v>2.2988505747126436E-2</v>
      </c>
    </row>
    <row r="1130" spans="1:16" x14ac:dyDescent="0.3">
      <c r="A1130" s="7"/>
      <c r="B1130" s="55"/>
      <c r="C1130" s="7"/>
      <c r="D1130" s="7"/>
      <c r="E1130" s="7"/>
      <c r="F1130" s="7"/>
      <c r="I1130" s="248" t="s">
        <v>793</v>
      </c>
      <c r="J1130" s="707">
        <f>SUM(P1123:P1129)</f>
        <v>3.8488595195166675</v>
      </c>
      <c r="K1130" s="708"/>
      <c r="L1130" s="1"/>
    </row>
    <row r="1131" spans="1:16" x14ac:dyDescent="0.3">
      <c r="A1131" s="7"/>
      <c r="B1131" s="55"/>
      <c r="C1131" s="7"/>
      <c r="D1131" s="7"/>
      <c r="E1131" s="7"/>
      <c r="F1131" s="7"/>
      <c r="L1131" s="1"/>
    </row>
    <row r="1132" spans="1:16" ht="19.8" x14ac:dyDescent="0.3">
      <c r="A1132" s="637" t="s">
        <v>794</v>
      </c>
      <c r="B1132" s="637"/>
      <c r="C1132" s="637"/>
      <c r="D1132" s="637"/>
      <c r="E1132" s="637"/>
      <c r="F1132" s="637"/>
      <c r="G1132" s="637"/>
      <c r="H1132" s="651"/>
      <c r="I1132" s="651"/>
      <c r="K1132" s="124" t="s">
        <v>1025</v>
      </c>
      <c r="L1132" s="244">
        <f>1/(0.04+J1130+0.1)</f>
        <v>0.25069822466978497</v>
      </c>
      <c r="M1132" s="361"/>
    </row>
    <row r="1134" spans="1:16" ht="21" x14ac:dyDescent="0.4">
      <c r="A1134" s="710" t="str">
        <f>CONCATENATE("Детайл ",A1414)</f>
        <v>Детайл 0</v>
      </c>
      <c r="B1134" s="710"/>
      <c r="C1134" s="710"/>
      <c r="D1134" s="710"/>
      <c r="E1134" s="710"/>
      <c r="F1134" s="710"/>
      <c r="G1134" s="710"/>
      <c r="H1134" s="710"/>
      <c r="I1134" s="710"/>
      <c r="J1134" s="710"/>
      <c r="K1134" s="710"/>
      <c r="L1134" s="711"/>
      <c r="M1134" s="349"/>
      <c r="O1134" s="501"/>
    </row>
    <row r="1135" spans="1:16" x14ac:dyDescent="0.3">
      <c r="A1135" s="676" t="s">
        <v>692</v>
      </c>
      <c r="B1135" s="676"/>
      <c r="C1135" s="676"/>
      <c r="D1135" s="676"/>
      <c r="E1135" s="676"/>
      <c r="F1135" s="676"/>
      <c r="G1135" s="676"/>
      <c r="H1135" s="676"/>
      <c r="I1135" s="676"/>
      <c r="J1135" s="676"/>
      <c r="K1135" s="676"/>
      <c r="L1135" s="719"/>
      <c r="M1135" s="350"/>
    </row>
    <row r="1136" spans="1:16" x14ac:dyDescent="0.3">
      <c r="A1136" s="7"/>
      <c r="B1136" s="55"/>
      <c r="C1136" s="7"/>
      <c r="D1136" s="7"/>
      <c r="E1136" s="7"/>
      <c r="F1136" s="7"/>
      <c r="G1136" s="7"/>
      <c r="H1136" s="7"/>
      <c r="I1136" s="7"/>
      <c r="J1136" s="7"/>
      <c r="K1136" s="7"/>
      <c r="L1136" s="107"/>
      <c r="M1136" s="333"/>
    </row>
    <row r="1137" spans="1:16" x14ac:dyDescent="0.3">
      <c r="A1137" s="7"/>
      <c r="B1137" s="55"/>
      <c r="C1137" s="7"/>
      <c r="D1137" s="7"/>
      <c r="E1137" s="569" t="s">
        <v>392</v>
      </c>
      <c r="F1137" s="569"/>
      <c r="G1137" s="569"/>
      <c r="H1137" s="569"/>
      <c r="I1137" s="566"/>
      <c r="J1137" s="246" t="s">
        <v>393</v>
      </c>
      <c r="K1137" s="246" t="s">
        <v>394</v>
      </c>
      <c r="L1137" s="107"/>
      <c r="M1137" s="333"/>
    </row>
    <row r="1138" spans="1:16" x14ac:dyDescent="0.3">
      <c r="A1138" s="7"/>
      <c r="B1138" s="55"/>
      <c r="C1138" s="7"/>
      <c r="D1138" s="7"/>
      <c r="E1138" s="569"/>
      <c r="F1138" s="569"/>
      <c r="G1138" s="569"/>
      <c r="H1138" s="569"/>
      <c r="I1138" s="566"/>
      <c r="J1138" s="247" t="s">
        <v>883</v>
      </c>
      <c r="K1138" s="247" t="s">
        <v>395</v>
      </c>
      <c r="L1138" s="107"/>
      <c r="M1138" s="333"/>
    </row>
    <row r="1139" spans="1:16" x14ac:dyDescent="0.3">
      <c r="A1139" s="7"/>
      <c r="B1139" s="55"/>
      <c r="C1139" s="7"/>
      <c r="D1139" s="7"/>
      <c r="E1139" s="657" t="s">
        <v>790</v>
      </c>
      <c r="F1139" s="657"/>
      <c r="G1139" s="657"/>
      <c r="H1139" s="657"/>
      <c r="I1139" s="657"/>
      <c r="J1139" s="243">
        <v>0.01</v>
      </c>
      <c r="K1139" s="243">
        <v>1.05</v>
      </c>
      <c r="L1139" s="107"/>
      <c r="M1139" s="333"/>
      <c r="P1139" s="1">
        <f>IF(K1139=0,0,J1139/K1139)</f>
        <v>9.5238095238095229E-3</v>
      </c>
    </row>
    <row r="1140" spans="1:16" x14ac:dyDescent="0.3">
      <c r="A1140" s="7"/>
      <c r="B1140" s="55"/>
      <c r="C1140" s="7"/>
      <c r="D1140" s="7"/>
      <c r="E1140" s="657" t="s">
        <v>779</v>
      </c>
      <c r="F1140" s="657"/>
      <c r="G1140" s="657"/>
      <c r="H1140" s="657"/>
      <c r="I1140" s="657"/>
      <c r="J1140" s="243">
        <v>2E-3</v>
      </c>
      <c r="K1140" s="243">
        <v>0.19</v>
      </c>
      <c r="L1140" s="107"/>
      <c r="M1140" s="333"/>
      <c r="P1140" s="1">
        <f t="shared" ref="P1140:P1145" si="496">IF(K1140=0,0,J1140/K1140)</f>
        <v>1.0526315789473684E-2</v>
      </c>
    </row>
    <row r="1141" spans="1:16" x14ac:dyDescent="0.3">
      <c r="A1141" s="7"/>
      <c r="B1141" s="55"/>
      <c r="C1141" s="7"/>
      <c r="D1141" s="7"/>
      <c r="E1141" s="657" t="s">
        <v>791</v>
      </c>
      <c r="F1141" s="657"/>
      <c r="G1141" s="657"/>
      <c r="H1141" s="657"/>
      <c r="I1141" s="657"/>
      <c r="J1141" s="41">
        <v>0.03</v>
      </c>
      <c r="K1141" s="41">
        <v>0.93</v>
      </c>
      <c r="L1141" s="107"/>
      <c r="M1141" s="333"/>
      <c r="P1141" s="1">
        <f t="shared" si="496"/>
        <v>3.2258064516129031E-2</v>
      </c>
    </row>
    <row r="1142" spans="1:16" x14ac:dyDescent="0.3">
      <c r="A1142" s="7"/>
      <c r="B1142" s="55"/>
      <c r="C1142" s="7"/>
      <c r="D1142" s="7"/>
      <c r="E1142" s="657" t="s">
        <v>1082</v>
      </c>
      <c r="F1142" s="657"/>
      <c r="G1142" s="657"/>
      <c r="H1142" s="657"/>
      <c r="I1142" s="657"/>
      <c r="J1142" s="243">
        <v>0.12</v>
      </c>
      <c r="K1142" s="243">
        <v>3.3000000000000002E-2</v>
      </c>
      <c r="L1142" s="107"/>
      <c r="M1142" s="333"/>
      <c r="P1142" s="1">
        <f t="shared" si="496"/>
        <v>3.6363636363636362</v>
      </c>
    </row>
    <row r="1143" spans="1:16" x14ac:dyDescent="0.3">
      <c r="A1143" s="7"/>
      <c r="B1143" s="55"/>
      <c r="C1143" s="7"/>
      <c r="D1143" s="7"/>
      <c r="E1143" s="657" t="s">
        <v>792</v>
      </c>
      <c r="F1143" s="657"/>
      <c r="G1143" s="657"/>
      <c r="H1143" s="657"/>
      <c r="I1143" s="657"/>
      <c r="J1143" s="243">
        <v>2E-3</v>
      </c>
      <c r="K1143" s="243">
        <v>0.19</v>
      </c>
      <c r="L1143" s="107"/>
      <c r="M1143" s="333"/>
      <c r="P1143" s="1">
        <f t="shared" si="496"/>
        <v>1.0526315789473684E-2</v>
      </c>
    </row>
    <row r="1144" spans="1:16" x14ac:dyDescent="0.3">
      <c r="A1144" s="7"/>
      <c r="B1144" s="55"/>
      <c r="C1144" s="7"/>
      <c r="D1144" s="7"/>
      <c r="E1144" s="657" t="s">
        <v>205</v>
      </c>
      <c r="F1144" s="657"/>
      <c r="G1144" s="657"/>
      <c r="H1144" s="657"/>
      <c r="I1144" s="657"/>
      <c r="J1144" s="243">
        <v>0.15</v>
      </c>
      <c r="K1144" s="243">
        <v>1.63</v>
      </c>
      <c r="L1144" s="107"/>
      <c r="M1144" s="333"/>
      <c r="P1144" s="1">
        <f t="shared" si="496"/>
        <v>9.202453987730061E-2</v>
      </c>
    </row>
    <row r="1145" spans="1:16" x14ac:dyDescent="0.3">
      <c r="A1145" s="7"/>
      <c r="B1145" s="55"/>
      <c r="C1145" s="7"/>
      <c r="D1145" s="7"/>
      <c r="E1145" s="657" t="s">
        <v>206</v>
      </c>
      <c r="F1145" s="657"/>
      <c r="G1145" s="657"/>
      <c r="H1145" s="657"/>
      <c r="I1145" s="657"/>
      <c r="J1145" s="243">
        <v>0.02</v>
      </c>
      <c r="K1145" s="243">
        <v>0.87</v>
      </c>
      <c r="L1145" s="1"/>
      <c r="P1145" s="1">
        <f t="shared" si="496"/>
        <v>2.2988505747126436E-2</v>
      </c>
    </row>
    <row r="1146" spans="1:16" x14ac:dyDescent="0.3">
      <c r="A1146" s="7"/>
      <c r="B1146" s="55"/>
      <c r="C1146" s="7"/>
      <c r="D1146" s="7"/>
      <c r="E1146" s="7"/>
      <c r="F1146" s="7"/>
      <c r="I1146" s="248" t="s">
        <v>793</v>
      </c>
      <c r="J1146" s="707">
        <f>SUM(P1139:P1145)</f>
        <v>3.8142111876069493</v>
      </c>
      <c r="K1146" s="708"/>
      <c r="L1146" s="1"/>
    </row>
    <row r="1147" spans="1:16" x14ac:dyDescent="0.3">
      <c r="A1147" s="7"/>
      <c r="B1147" s="55"/>
      <c r="C1147" s="7"/>
      <c r="D1147" s="7"/>
      <c r="E1147" s="7"/>
      <c r="F1147" s="7"/>
      <c r="L1147" s="1"/>
    </row>
    <row r="1148" spans="1:16" ht="19.8" x14ac:dyDescent="0.3">
      <c r="A1148" s="637" t="s">
        <v>794</v>
      </c>
      <c r="B1148" s="637"/>
      <c r="C1148" s="637"/>
      <c r="D1148" s="637"/>
      <c r="E1148" s="637"/>
      <c r="F1148" s="637"/>
      <c r="G1148" s="637"/>
      <c r="H1148" s="651"/>
      <c r="I1148" s="651"/>
      <c r="K1148" s="124" t="s">
        <v>1025</v>
      </c>
      <c r="L1148" s="244">
        <f>1/(0.04+J1146+0.13)</f>
        <v>0.25099071131333112</v>
      </c>
      <c r="M1148" s="361"/>
    </row>
    <row r="1150" spans="1:16" ht="21" x14ac:dyDescent="0.4">
      <c r="A1150" s="710" t="str">
        <f>CONCATENATE("Детайл ",A1416)</f>
        <v>Детайл 0</v>
      </c>
      <c r="B1150" s="710"/>
      <c r="C1150" s="710"/>
      <c r="D1150" s="710"/>
      <c r="E1150" s="710"/>
      <c r="F1150" s="710"/>
      <c r="G1150" s="710"/>
      <c r="H1150" s="710"/>
      <c r="I1150" s="710"/>
      <c r="J1150" s="710"/>
      <c r="K1150" s="710"/>
      <c r="L1150" s="711"/>
      <c r="M1150" s="349"/>
      <c r="O1150" s="501"/>
    </row>
    <row r="1151" spans="1:16" x14ac:dyDescent="0.3">
      <c r="A1151" s="676" t="s">
        <v>681</v>
      </c>
      <c r="B1151" s="676"/>
      <c r="C1151" s="676"/>
      <c r="D1151" s="676"/>
      <c r="E1151" s="676"/>
      <c r="F1151" s="676"/>
      <c r="G1151" s="676"/>
      <c r="H1151" s="676"/>
      <c r="I1151" s="676"/>
      <c r="J1151" s="676"/>
      <c r="K1151" s="676"/>
      <c r="L1151" s="719"/>
      <c r="M1151" s="350"/>
    </row>
    <row r="1153" spans="1:16" x14ac:dyDescent="0.3">
      <c r="E1153" s="569" t="s">
        <v>392</v>
      </c>
      <c r="F1153" s="569"/>
      <c r="G1153" s="569"/>
      <c r="H1153" s="569"/>
      <c r="I1153" s="566"/>
      <c r="J1153" s="246" t="s">
        <v>393</v>
      </c>
      <c r="K1153" s="246" t="s">
        <v>394</v>
      </c>
    </row>
    <row r="1154" spans="1:16" x14ac:dyDescent="0.3">
      <c r="E1154" s="569"/>
      <c r="F1154" s="569"/>
      <c r="G1154" s="569"/>
      <c r="H1154" s="569"/>
      <c r="I1154" s="566"/>
      <c r="J1154" s="247" t="s">
        <v>883</v>
      </c>
      <c r="K1154" s="247" t="s">
        <v>395</v>
      </c>
    </row>
    <row r="1155" spans="1:16" x14ac:dyDescent="0.3">
      <c r="E1155" s="657" t="s">
        <v>795</v>
      </c>
      <c r="F1155" s="657"/>
      <c r="G1155" s="657"/>
      <c r="H1155" s="657"/>
      <c r="I1155" s="657"/>
      <c r="J1155" s="243">
        <v>0.01</v>
      </c>
      <c r="K1155" s="243">
        <v>0.87</v>
      </c>
      <c r="P1155" s="1">
        <f>IF(K1155=0,0,J1155/K1155)</f>
        <v>1.1494252873563218E-2</v>
      </c>
    </row>
    <row r="1156" spans="1:16" x14ac:dyDescent="0.3">
      <c r="E1156" s="657" t="s">
        <v>796</v>
      </c>
      <c r="F1156" s="657"/>
      <c r="G1156" s="657"/>
      <c r="H1156" s="657"/>
      <c r="I1156" s="657"/>
      <c r="J1156" s="243"/>
      <c r="K1156" s="243"/>
      <c r="P1156" s="1">
        <f>IF(K1156=0,0,J1156/K1156)</f>
        <v>0</v>
      </c>
    </row>
    <row r="1157" spans="1:16" x14ac:dyDescent="0.3">
      <c r="E1157" s="657" t="s">
        <v>1083</v>
      </c>
      <c r="F1157" s="657"/>
      <c r="G1157" s="657"/>
      <c r="H1157" s="657"/>
      <c r="I1157" s="657"/>
      <c r="J1157" s="41">
        <v>0.1</v>
      </c>
      <c r="K1157" s="41">
        <v>3.5000000000000003E-2</v>
      </c>
      <c r="P1157" s="1">
        <f>IF(K1157=0,0,J1157/K1157)</f>
        <v>2.8571428571428572</v>
      </c>
    </row>
    <row r="1158" spans="1:16" x14ac:dyDescent="0.3">
      <c r="E1158" s="657" t="s">
        <v>797</v>
      </c>
      <c r="F1158" s="657"/>
      <c r="G1158" s="657"/>
      <c r="H1158" s="657"/>
      <c r="I1158" s="657"/>
      <c r="J1158" s="243">
        <v>0.25</v>
      </c>
      <c r="K1158" s="243">
        <v>0.26</v>
      </c>
      <c r="P1158" s="1">
        <f>IF(K1158=0,0,J1158/K1158)</f>
        <v>0.96153846153846145</v>
      </c>
    </row>
    <row r="1159" spans="1:16" x14ac:dyDescent="0.3">
      <c r="E1159" s="657" t="s">
        <v>786</v>
      </c>
      <c r="F1159" s="657"/>
      <c r="G1159" s="657"/>
      <c r="H1159" s="657"/>
      <c r="I1159" s="657"/>
      <c r="J1159" s="243">
        <v>0.02</v>
      </c>
      <c r="K1159" s="243">
        <v>0.7</v>
      </c>
      <c r="P1159" s="1">
        <f>IF(K1159=0,0,J1159/K1159)</f>
        <v>2.8571428571428574E-2</v>
      </c>
    </row>
    <row r="1160" spans="1:16" ht="18" x14ac:dyDescent="0.3">
      <c r="E1160" s="7"/>
      <c r="F1160" s="7"/>
      <c r="I1160" s="248" t="s">
        <v>804</v>
      </c>
      <c r="J1160" s="707">
        <f>SUM(P1155:P1159)</f>
        <v>3.8587470001263107</v>
      </c>
      <c r="K1160" s="708"/>
    </row>
    <row r="1162" spans="1:16" ht="19.8" x14ac:dyDescent="0.3">
      <c r="A1162" s="637" t="s">
        <v>801</v>
      </c>
      <c r="B1162" s="637"/>
      <c r="C1162" s="637"/>
      <c r="D1162" s="637"/>
      <c r="E1162" s="637"/>
      <c r="F1162" s="637"/>
      <c r="G1162" s="637"/>
      <c r="H1162" s="651"/>
      <c r="I1162" s="651"/>
      <c r="K1162" s="124" t="s">
        <v>803</v>
      </c>
      <c r="L1162" s="244">
        <f>1/(0.04+J1160+0.13)</f>
        <v>0.24821613270047677</v>
      </c>
      <c r="M1162" s="361"/>
    </row>
    <row r="1163" spans="1:16" x14ac:dyDescent="0.3">
      <c r="A1163" s="239"/>
      <c r="B1163" s="239"/>
      <c r="C1163" s="239"/>
      <c r="D1163" s="239"/>
      <c r="E1163" s="239"/>
      <c r="F1163" s="239"/>
      <c r="G1163" s="239"/>
      <c r="H1163" s="242"/>
      <c r="I1163" s="242"/>
      <c r="K1163" s="124"/>
      <c r="L1163" s="244"/>
      <c r="M1163" s="361"/>
    </row>
    <row r="1164" spans="1:16" ht="18" x14ac:dyDescent="0.35">
      <c r="A1164" s="667" t="s">
        <v>1166</v>
      </c>
      <c r="B1164" s="667"/>
      <c r="C1164" s="667"/>
      <c r="D1164" s="667"/>
      <c r="E1164" s="667"/>
      <c r="F1164" s="667"/>
      <c r="G1164" s="667"/>
      <c r="H1164" s="782"/>
      <c r="I1164" s="589"/>
      <c r="J1164" s="589"/>
      <c r="K1164" s="589"/>
      <c r="L1164" s="589"/>
      <c r="M1164" s="361"/>
    </row>
    <row r="1165" spans="1:16" ht="18" x14ac:dyDescent="0.35">
      <c r="A1165" s="667" t="s">
        <v>1167</v>
      </c>
      <c r="B1165" s="667"/>
      <c r="C1165" s="667"/>
      <c r="D1165" s="667"/>
      <c r="E1165" s="667"/>
      <c r="F1165" s="667"/>
      <c r="G1165" s="667"/>
      <c r="H1165" s="782"/>
      <c r="I1165" s="589"/>
      <c r="J1165" s="589"/>
      <c r="K1165" s="589"/>
      <c r="L1165" s="589"/>
      <c r="M1165" s="361"/>
    </row>
    <row r="1166" spans="1:16" ht="18" x14ac:dyDescent="0.35">
      <c r="A1166" s="667" t="s">
        <v>1168</v>
      </c>
      <c r="B1166" s="667"/>
      <c r="C1166" s="667"/>
      <c r="D1166" s="667"/>
      <c r="E1166" s="667"/>
      <c r="F1166" s="667"/>
      <c r="G1166" s="667"/>
      <c r="H1166" s="782"/>
      <c r="I1166" s="589"/>
      <c r="J1166" s="589"/>
      <c r="K1166" s="589"/>
      <c r="L1166" s="589"/>
      <c r="M1166" s="361"/>
    </row>
    <row r="1167" spans="1:16" x14ac:dyDescent="0.3">
      <c r="A1167" s="239"/>
      <c r="B1167" s="239"/>
      <c r="C1167" s="239"/>
      <c r="D1167" s="239"/>
      <c r="E1167" s="239"/>
      <c r="F1167" s="239"/>
      <c r="G1167" s="239"/>
      <c r="H1167" s="242"/>
      <c r="I1167" s="242"/>
      <c r="K1167" s="124"/>
      <c r="L1167" s="244"/>
      <c r="M1167" s="361"/>
    </row>
    <row r="1168" spans="1:16" ht="21" x14ac:dyDescent="0.4">
      <c r="A1168" s="710" t="str">
        <f>CONCATENATE("Детайл ",A1418)</f>
        <v>Детайл 0</v>
      </c>
      <c r="B1168" s="710"/>
      <c r="C1168" s="710"/>
      <c r="D1168" s="710"/>
      <c r="E1168" s="710"/>
      <c r="F1168" s="710"/>
      <c r="G1168" s="710"/>
      <c r="H1168" s="710"/>
      <c r="I1168" s="710"/>
      <c r="J1168" s="710"/>
      <c r="K1168" s="710"/>
      <c r="L1168" s="711"/>
      <c r="M1168" s="349"/>
      <c r="O1168" s="501"/>
    </row>
    <row r="1169" spans="1:19" x14ac:dyDescent="0.3">
      <c r="A1169" s="676" t="s">
        <v>680</v>
      </c>
      <c r="B1169" s="676"/>
      <c r="C1169" s="676"/>
      <c r="D1169" s="676"/>
      <c r="E1169" s="676"/>
      <c r="F1169" s="676"/>
      <c r="G1169" s="676"/>
      <c r="H1169" s="676"/>
      <c r="I1169" s="676"/>
      <c r="J1169" s="676"/>
      <c r="K1169" s="676"/>
      <c r="L1169" s="719"/>
      <c r="M1169" s="350"/>
    </row>
    <row r="1171" spans="1:19" x14ac:dyDescent="0.3">
      <c r="E1171" s="569" t="s">
        <v>392</v>
      </c>
      <c r="F1171" s="569"/>
      <c r="G1171" s="569"/>
      <c r="H1171" s="569"/>
      <c r="I1171" s="566"/>
      <c r="J1171" s="246" t="s">
        <v>393</v>
      </c>
      <c r="K1171" s="246" t="s">
        <v>394</v>
      </c>
    </row>
    <row r="1172" spans="1:19" x14ac:dyDescent="0.3">
      <c r="E1172" s="569"/>
      <c r="F1172" s="569"/>
      <c r="G1172" s="569"/>
      <c r="H1172" s="569"/>
      <c r="I1172" s="566"/>
      <c r="J1172" s="247" t="s">
        <v>883</v>
      </c>
      <c r="K1172" s="247" t="s">
        <v>395</v>
      </c>
    </row>
    <row r="1173" spans="1:19" x14ac:dyDescent="0.3">
      <c r="E1173" s="657" t="s">
        <v>795</v>
      </c>
      <c r="F1173" s="657"/>
      <c r="G1173" s="657"/>
      <c r="H1173" s="657"/>
      <c r="I1173" s="657"/>
      <c r="J1173" s="243">
        <v>0.01</v>
      </c>
      <c r="K1173" s="243">
        <v>0.87</v>
      </c>
      <c r="P1173" s="1">
        <f>IF(K1173=0,0,J1173/K1173)</f>
        <v>1.1494252873563218E-2</v>
      </c>
    </row>
    <row r="1174" spans="1:19" x14ac:dyDescent="0.3">
      <c r="E1174" s="657" t="s">
        <v>796</v>
      </c>
      <c r="F1174" s="657"/>
      <c r="G1174" s="657"/>
      <c r="H1174" s="657"/>
      <c r="I1174" s="657"/>
      <c r="J1174" s="243"/>
      <c r="K1174" s="243"/>
      <c r="P1174" s="1">
        <f>IF(K1174=0,0,J1174/K1174)</f>
        <v>0</v>
      </c>
    </row>
    <row r="1175" spans="1:19" x14ac:dyDescent="0.3">
      <c r="E1175" s="657" t="s">
        <v>1083</v>
      </c>
      <c r="F1175" s="657"/>
      <c r="G1175" s="657"/>
      <c r="H1175" s="657"/>
      <c r="I1175" s="657"/>
      <c r="J1175" s="41">
        <v>0.1</v>
      </c>
      <c r="K1175" s="41">
        <v>3.5000000000000003E-2</v>
      </c>
      <c r="P1175" s="1">
        <f>IF(K1175=0,0,J1175/K1175)</f>
        <v>2.8571428571428572</v>
      </c>
    </row>
    <row r="1176" spans="1:19" x14ac:dyDescent="0.3">
      <c r="E1176" s="794" t="s">
        <v>1207</v>
      </c>
      <c r="F1176" s="657"/>
      <c r="G1176" s="657"/>
      <c r="H1176" s="657"/>
      <c r="I1176" s="657"/>
      <c r="J1176" s="243">
        <v>0.25</v>
      </c>
      <c r="K1176" s="243">
        <v>1.63</v>
      </c>
      <c r="P1176" s="1">
        <f>IF(K1176=0,0,J1176/K1176)</f>
        <v>0.15337423312883436</v>
      </c>
    </row>
    <row r="1177" spans="1:19" x14ac:dyDescent="0.3">
      <c r="E1177" s="657" t="s">
        <v>786</v>
      </c>
      <c r="F1177" s="657"/>
      <c r="G1177" s="657"/>
      <c r="H1177" s="657"/>
      <c r="I1177" s="657"/>
      <c r="J1177" s="243">
        <v>0.02</v>
      </c>
      <c r="K1177" s="243">
        <v>0.7</v>
      </c>
      <c r="P1177" s="1">
        <f>IF(K1177=0,0,J1177/K1177)</f>
        <v>2.8571428571428574E-2</v>
      </c>
    </row>
    <row r="1178" spans="1:19" ht="18" x14ac:dyDescent="0.3">
      <c r="E1178" s="7"/>
      <c r="F1178" s="7"/>
      <c r="I1178" s="248" t="s">
        <v>804</v>
      </c>
      <c r="J1178" s="707">
        <f>SUM(P1173:P1177)</f>
        <v>3.0505827717166834</v>
      </c>
      <c r="K1178" s="708"/>
    </row>
    <row r="1180" spans="1:19" ht="19.8" x14ac:dyDescent="0.3">
      <c r="A1180" s="637" t="s">
        <v>801</v>
      </c>
      <c r="B1180" s="637"/>
      <c r="C1180" s="637"/>
      <c r="D1180" s="637"/>
      <c r="E1180" s="637"/>
      <c r="F1180" s="637"/>
      <c r="G1180" s="637"/>
      <c r="H1180" s="651"/>
      <c r="I1180" s="651"/>
      <c r="K1180" s="124" t="s">
        <v>803</v>
      </c>
      <c r="L1180" s="244">
        <f>1/(0.04+J1178+0.13)</f>
        <v>0.31050280985852913</v>
      </c>
      <c r="M1180" s="361"/>
    </row>
    <row r="1181" spans="1:19" x14ac:dyDescent="0.3">
      <c r="A1181" s="239"/>
      <c r="B1181" s="239"/>
      <c r="C1181" s="239"/>
      <c r="D1181" s="239"/>
      <c r="E1181" s="239"/>
      <c r="F1181" s="239"/>
      <c r="G1181" s="239"/>
      <c r="H1181" s="242"/>
      <c r="I1181" s="242"/>
      <c r="K1181" s="124"/>
      <c r="L1181" s="244"/>
      <c r="M1181" s="361"/>
    </row>
    <row r="1182" spans="1:19" ht="21" x14ac:dyDescent="0.4">
      <c r="A1182" s="710" t="str">
        <f>CONCATENATE("Детайл ",A1420)</f>
        <v>Детайл 0</v>
      </c>
      <c r="B1182" s="710"/>
      <c r="C1182" s="710"/>
      <c r="D1182" s="710"/>
      <c r="E1182" s="710"/>
      <c r="F1182" s="710"/>
      <c r="G1182" s="710"/>
      <c r="H1182" s="710"/>
      <c r="I1182" s="710"/>
      <c r="J1182" s="710"/>
      <c r="K1182" s="710"/>
      <c r="L1182" s="711"/>
      <c r="M1182" s="349"/>
      <c r="O1182" s="501"/>
    </row>
    <row r="1183" spans="1:19" x14ac:dyDescent="0.3">
      <c r="A1183" s="676" t="s">
        <v>682</v>
      </c>
      <c r="B1183" s="676"/>
      <c r="C1183" s="676"/>
      <c r="D1183" s="676"/>
      <c r="E1183" s="676"/>
      <c r="F1183" s="676"/>
      <c r="G1183" s="676"/>
      <c r="H1183" s="676"/>
      <c r="I1183" s="676"/>
      <c r="J1183" s="676"/>
      <c r="K1183" s="676"/>
      <c r="L1183" s="719"/>
      <c r="M1183" s="350"/>
      <c r="P1183" s="1" t="str">
        <f>A1183</f>
        <v>Външна стена - тип 3</v>
      </c>
      <c r="S1183" s="1">
        <f>LEN(P1183)</f>
        <v>20</v>
      </c>
    </row>
    <row r="1185" spans="1:16" x14ac:dyDescent="0.3">
      <c r="E1185" s="569" t="s">
        <v>392</v>
      </c>
      <c r="F1185" s="569"/>
      <c r="G1185" s="569"/>
      <c r="H1185" s="569"/>
      <c r="I1185" s="566"/>
      <c r="J1185" s="246" t="s">
        <v>393</v>
      </c>
      <c r="K1185" s="246" t="s">
        <v>394</v>
      </c>
    </row>
    <row r="1186" spans="1:16" x14ac:dyDescent="0.3">
      <c r="E1186" s="569"/>
      <c r="F1186" s="569"/>
      <c r="G1186" s="569"/>
      <c r="H1186" s="569"/>
      <c r="I1186" s="566"/>
      <c r="J1186" s="247" t="s">
        <v>883</v>
      </c>
      <c r="K1186" s="247" t="s">
        <v>395</v>
      </c>
    </row>
    <row r="1187" spans="1:16" x14ac:dyDescent="0.3">
      <c r="E1187" s="657" t="s">
        <v>795</v>
      </c>
      <c r="F1187" s="657"/>
      <c r="G1187" s="657"/>
      <c r="H1187" s="657"/>
      <c r="I1187" s="657"/>
      <c r="J1187" s="243">
        <v>0.01</v>
      </c>
      <c r="K1187" s="243">
        <v>0.87</v>
      </c>
      <c r="P1187" s="1">
        <f>IF(K1187=0,0,J1187/K1187)</f>
        <v>1.1494252873563218E-2</v>
      </c>
    </row>
    <row r="1188" spans="1:16" x14ac:dyDescent="0.3">
      <c r="E1188" s="657" t="s">
        <v>796</v>
      </c>
      <c r="F1188" s="657"/>
      <c r="G1188" s="657"/>
      <c r="H1188" s="657"/>
      <c r="I1188" s="657"/>
      <c r="J1188" s="243"/>
      <c r="K1188" s="243"/>
      <c r="P1188" s="1">
        <f>IF(K1188=0,0,J1188/K1188)</f>
        <v>0</v>
      </c>
    </row>
    <row r="1189" spans="1:16" x14ac:dyDescent="0.3">
      <c r="E1189" s="657" t="s">
        <v>1083</v>
      </c>
      <c r="F1189" s="657"/>
      <c r="G1189" s="657"/>
      <c r="H1189" s="657"/>
      <c r="I1189" s="657"/>
      <c r="J1189" s="41">
        <v>0.1</v>
      </c>
      <c r="K1189" s="41">
        <v>3.5000000000000003E-2</v>
      </c>
      <c r="P1189" s="1">
        <f>IF(K1189=0,0,J1189/K1189)</f>
        <v>2.8571428571428572</v>
      </c>
    </row>
    <row r="1190" spans="1:16" x14ac:dyDescent="0.3">
      <c r="E1190" s="657" t="s">
        <v>797</v>
      </c>
      <c r="F1190" s="657"/>
      <c r="G1190" s="657"/>
      <c r="H1190" s="657"/>
      <c r="I1190" s="657"/>
      <c r="J1190" s="243">
        <v>0.25</v>
      </c>
      <c r="K1190" s="243">
        <v>0.26</v>
      </c>
      <c r="P1190" s="1">
        <f>IF(K1190=0,0,J1190/K1190)</f>
        <v>0.96153846153846145</v>
      </c>
    </row>
    <row r="1191" spans="1:16" x14ac:dyDescent="0.3">
      <c r="E1191" s="657" t="s">
        <v>786</v>
      </c>
      <c r="F1191" s="657"/>
      <c r="G1191" s="657"/>
      <c r="H1191" s="657"/>
      <c r="I1191" s="657"/>
      <c r="J1191" s="243">
        <v>0.02</v>
      </c>
      <c r="K1191" s="243">
        <v>0.7</v>
      </c>
      <c r="P1191" s="1">
        <f>IF(K1191=0,0,J1191/K1191)</f>
        <v>2.8571428571428574E-2</v>
      </c>
    </row>
    <row r="1192" spans="1:16" ht="18" x14ac:dyDescent="0.3">
      <c r="E1192" s="7"/>
      <c r="F1192" s="7"/>
      <c r="I1192" s="248" t="s">
        <v>804</v>
      </c>
      <c r="J1192" s="707">
        <f>SUM(P1187:P1191)</f>
        <v>3.8587470001263107</v>
      </c>
      <c r="K1192" s="708"/>
    </row>
    <row r="1194" spans="1:16" ht="19.8" x14ac:dyDescent="0.3">
      <c r="A1194" s="637" t="s">
        <v>801</v>
      </c>
      <c r="B1194" s="637"/>
      <c r="C1194" s="637"/>
      <c r="D1194" s="637"/>
      <c r="E1194" s="637"/>
      <c r="F1194" s="637"/>
      <c r="G1194" s="637"/>
      <c r="H1194" s="651"/>
      <c r="I1194" s="651"/>
      <c r="K1194" s="124" t="s">
        <v>803</v>
      </c>
      <c r="L1194" s="244">
        <f>1/(0.04+J1192+0.13)</f>
        <v>0.24821613270047677</v>
      </c>
      <c r="M1194" s="361"/>
    </row>
    <row r="1195" spans="1:16" x14ac:dyDescent="0.3">
      <c r="A1195" s="239"/>
      <c r="B1195" s="239"/>
      <c r="C1195" s="239"/>
      <c r="D1195" s="239"/>
      <c r="E1195" s="239"/>
      <c r="F1195" s="239"/>
      <c r="G1195" s="239"/>
      <c r="H1195" s="242"/>
      <c r="I1195" s="242"/>
      <c r="K1195" s="124"/>
      <c r="L1195" s="244"/>
      <c r="M1195" s="361"/>
    </row>
    <row r="1196" spans="1:16" ht="21" x14ac:dyDescent="0.4">
      <c r="A1196" s="710" t="str">
        <f>CONCATENATE("Детайл ",A1422)</f>
        <v>Детайл 0</v>
      </c>
      <c r="B1196" s="710"/>
      <c r="C1196" s="710"/>
      <c r="D1196" s="710"/>
      <c r="E1196" s="710"/>
      <c r="F1196" s="710"/>
      <c r="G1196" s="710"/>
      <c r="H1196" s="710"/>
      <c r="I1196" s="710"/>
      <c r="J1196" s="710"/>
      <c r="K1196" s="710"/>
      <c r="L1196" s="711"/>
      <c r="M1196" s="349"/>
      <c r="O1196" s="501"/>
    </row>
    <row r="1197" spans="1:16" x14ac:dyDescent="0.3">
      <c r="A1197" s="676" t="s">
        <v>665</v>
      </c>
      <c r="B1197" s="676"/>
      <c r="C1197" s="676"/>
      <c r="D1197" s="676"/>
      <c r="E1197" s="676"/>
      <c r="F1197" s="676"/>
      <c r="G1197" s="676"/>
      <c r="H1197" s="676"/>
      <c r="I1197" s="676"/>
      <c r="J1197" s="676"/>
      <c r="K1197" s="676"/>
      <c r="L1197" s="719"/>
      <c r="M1197" s="350"/>
    </row>
    <row r="1198" spans="1:16" x14ac:dyDescent="0.3">
      <c r="A1198" s="239"/>
      <c r="B1198" s="239"/>
      <c r="C1198" s="239"/>
      <c r="D1198" s="239"/>
      <c r="E1198" s="239"/>
      <c r="F1198" s="239"/>
      <c r="G1198" s="239"/>
      <c r="H1198" s="242"/>
      <c r="I1198" s="242"/>
      <c r="K1198" s="124"/>
      <c r="L1198" s="244"/>
      <c r="M1198" s="361"/>
    </row>
    <row r="1199" spans="1:16" x14ac:dyDescent="0.3">
      <c r="A1199" s="239"/>
      <c r="B1199" s="239"/>
      <c r="C1199" s="239"/>
      <c r="D1199" s="239"/>
      <c r="E1199" s="569" t="s">
        <v>392</v>
      </c>
      <c r="F1199" s="569"/>
      <c r="G1199" s="569"/>
      <c r="H1199" s="569"/>
      <c r="I1199" s="566"/>
      <c r="J1199" s="246" t="s">
        <v>393</v>
      </c>
      <c r="K1199" s="246" t="s">
        <v>394</v>
      </c>
    </row>
    <row r="1200" spans="1:16" x14ac:dyDescent="0.3">
      <c r="A1200" s="239"/>
      <c r="B1200" s="239"/>
      <c r="C1200" s="239"/>
      <c r="D1200" s="239"/>
      <c r="E1200" s="569"/>
      <c r="F1200" s="569"/>
      <c r="G1200" s="569"/>
      <c r="H1200" s="569"/>
      <c r="I1200" s="566"/>
      <c r="J1200" s="247" t="s">
        <v>883</v>
      </c>
      <c r="K1200" s="247" t="s">
        <v>395</v>
      </c>
    </row>
    <row r="1201" spans="1:16" x14ac:dyDescent="0.3">
      <c r="A1201" s="239"/>
      <c r="B1201" s="239"/>
      <c r="C1201" s="239"/>
      <c r="D1201" s="239"/>
      <c r="E1201" s="657" t="s">
        <v>798</v>
      </c>
      <c r="F1201" s="657"/>
      <c r="G1201" s="657"/>
      <c r="H1201" s="657"/>
      <c r="I1201" s="657"/>
      <c r="J1201" s="243">
        <v>0.01</v>
      </c>
      <c r="K1201" s="243">
        <v>1.05</v>
      </c>
      <c r="P1201" s="1">
        <f t="shared" ref="P1201:P1207" si="497">IF(K1201=0,0,J1201/K1201)</f>
        <v>9.5238095238095229E-3</v>
      </c>
    </row>
    <row r="1202" spans="1:16" x14ac:dyDescent="0.3">
      <c r="A1202" s="239"/>
      <c r="B1202" s="239"/>
      <c r="C1202" s="239"/>
      <c r="D1202" s="239"/>
      <c r="E1202" s="657" t="s">
        <v>799</v>
      </c>
      <c r="F1202" s="657"/>
      <c r="G1202" s="657"/>
      <c r="H1202" s="657"/>
      <c r="I1202" s="657"/>
      <c r="J1202" s="243">
        <v>0.01</v>
      </c>
      <c r="K1202" s="243">
        <v>0.93</v>
      </c>
      <c r="P1202" s="1">
        <f t="shared" si="497"/>
        <v>1.075268817204301E-2</v>
      </c>
    </row>
    <row r="1203" spans="1:16" x14ac:dyDescent="0.3">
      <c r="A1203" s="239"/>
      <c r="B1203" s="239"/>
      <c r="C1203" s="239"/>
      <c r="D1203" s="239"/>
      <c r="E1203" s="657" t="s">
        <v>791</v>
      </c>
      <c r="F1203" s="657"/>
      <c r="G1203" s="657"/>
      <c r="H1203" s="657"/>
      <c r="I1203" s="657"/>
      <c r="J1203" s="41">
        <v>0.03</v>
      </c>
      <c r="K1203" s="41">
        <v>0.93</v>
      </c>
      <c r="P1203" s="1">
        <f t="shared" si="497"/>
        <v>3.2258064516129031E-2</v>
      </c>
    </row>
    <row r="1204" spans="1:16" x14ac:dyDescent="0.3">
      <c r="A1204" s="239"/>
      <c r="B1204" s="239"/>
      <c r="C1204" s="239"/>
      <c r="D1204" s="239"/>
      <c r="E1204" s="657" t="s">
        <v>785</v>
      </c>
      <c r="F1204" s="657"/>
      <c r="G1204" s="657"/>
      <c r="H1204" s="657"/>
      <c r="I1204" s="657"/>
      <c r="J1204" s="243">
        <v>0.14000000000000001</v>
      </c>
      <c r="K1204" s="243">
        <v>1.63</v>
      </c>
      <c r="P1204" s="1">
        <f t="shared" si="497"/>
        <v>8.5889570552147257E-2</v>
      </c>
    </row>
    <row r="1205" spans="1:16" x14ac:dyDescent="0.3">
      <c r="A1205" s="239"/>
      <c r="B1205" s="239"/>
      <c r="C1205" s="239"/>
      <c r="D1205" s="239"/>
      <c r="E1205" s="794" t="s">
        <v>1169</v>
      </c>
      <c r="F1205" s="657"/>
      <c r="G1205" s="657"/>
      <c r="H1205" s="657"/>
      <c r="I1205" s="657"/>
      <c r="J1205" s="243">
        <v>0.12</v>
      </c>
      <c r="K1205" s="243">
        <v>3.3000000000000002E-2</v>
      </c>
      <c r="P1205" s="1">
        <f t="shared" si="497"/>
        <v>3.6363636363636362</v>
      </c>
    </row>
    <row r="1206" spans="1:16" x14ac:dyDescent="0.3">
      <c r="A1206" s="239"/>
      <c r="B1206" s="239"/>
      <c r="C1206" s="239"/>
      <c r="D1206" s="239"/>
      <c r="E1206" s="657" t="s">
        <v>666</v>
      </c>
      <c r="F1206" s="657"/>
      <c r="G1206" s="657"/>
      <c r="H1206" s="657"/>
      <c r="I1206" s="657"/>
      <c r="J1206" s="243"/>
      <c r="K1206" s="243"/>
      <c r="P1206" s="1">
        <f t="shared" si="497"/>
        <v>0</v>
      </c>
    </row>
    <row r="1207" spans="1:16" x14ac:dyDescent="0.3">
      <c r="A1207" s="239"/>
      <c r="B1207" s="239"/>
      <c r="C1207" s="239"/>
      <c r="D1207" s="239"/>
      <c r="E1207" s="657" t="s">
        <v>667</v>
      </c>
      <c r="F1207" s="657"/>
      <c r="G1207" s="657"/>
      <c r="H1207" s="657"/>
      <c r="I1207" s="657"/>
      <c r="J1207" s="243">
        <v>0.01</v>
      </c>
      <c r="K1207" s="243">
        <v>0.87</v>
      </c>
      <c r="P1207" s="1">
        <f t="shared" si="497"/>
        <v>1.1494252873563218E-2</v>
      </c>
    </row>
    <row r="1208" spans="1:16" x14ac:dyDescent="0.3">
      <c r="A1208" s="239"/>
      <c r="B1208" s="239"/>
      <c r="C1208" s="239"/>
      <c r="D1208" s="239"/>
      <c r="E1208" s="239"/>
      <c r="F1208" s="239"/>
      <c r="G1208" s="239"/>
      <c r="H1208" s="242"/>
      <c r="I1208" s="248" t="s">
        <v>793</v>
      </c>
      <c r="J1208" s="707">
        <f>SUM(P1201:P1207)</f>
        <v>3.7862820220013282</v>
      </c>
      <c r="K1208" s="708"/>
      <c r="L1208" s="244"/>
      <c r="M1208" s="361"/>
    </row>
    <row r="1209" spans="1:16" x14ac:dyDescent="0.3">
      <c r="A1209" s="239"/>
      <c r="B1209" s="239"/>
      <c r="C1209" s="239"/>
      <c r="D1209" s="239"/>
      <c r="E1209" s="239"/>
      <c r="F1209" s="239"/>
      <c r="G1209" s="239"/>
      <c r="H1209" s="242"/>
      <c r="I1209" s="242"/>
      <c r="K1209" s="124"/>
      <c r="L1209" s="244"/>
      <c r="M1209" s="361"/>
    </row>
    <row r="1210" spans="1:16" x14ac:dyDescent="0.3">
      <c r="A1210" s="637" t="s">
        <v>802</v>
      </c>
      <c r="B1210" s="637"/>
      <c r="C1210" s="637"/>
      <c r="D1210" s="637"/>
      <c r="E1210" s="637"/>
      <c r="F1210" s="637"/>
      <c r="G1210" s="637"/>
      <c r="H1210" s="651"/>
      <c r="I1210" s="651"/>
      <c r="K1210" s="124" t="s">
        <v>381</v>
      </c>
      <c r="L1210" s="244">
        <f>1/(0.04+J1208+0.13)</f>
        <v>0.25276256708669598</v>
      </c>
      <c r="M1210" s="361"/>
    </row>
    <row r="1211" spans="1:16" x14ac:dyDescent="0.3">
      <c r="A1211" s="239"/>
      <c r="B1211" s="239"/>
      <c r="C1211" s="239"/>
      <c r="D1211" s="239"/>
      <c r="E1211" s="239"/>
      <c r="F1211" s="239"/>
      <c r="G1211" s="239"/>
      <c r="H1211" s="242"/>
      <c r="I1211" s="242"/>
      <c r="K1211" s="124"/>
      <c r="L1211" s="244"/>
      <c r="M1211" s="361"/>
    </row>
    <row r="1212" spans="1:16" ht="21" x14ac:dyDescent="0.4">
      <c r="A1212" s="710" t="str">
        <f>CONCATENATE("Детайл ",A1424)</f>
        <v>Детайл 0</v>
      </c>
      <c r="B1212" s="710"/>
      <c r="C1212" s="710"/>
      <c r="D1212" s="710"/>
      <c r="E1212" s="710"/>
      <c r="F1212" s="710"/>
      <c r="G1212" s="710"/>
      <c r="H1212" s="710"/>
      <c r="I1212" s="710"/>
      <c r="J1212" s="710"/>
      <c r="K1212" s="710"/>
      <c r="L1212" s="711"/>
      <c r="M1212" s="349"/>
      <c r="O1212" s="501"/>
    </row>
    <row r="1213" spans="1:16" x14ac:dyDescent="0.3">
      <c r="A1213" s="676" t="s">
        <v>762</v>
      </c>
      <c r="B1213" s="676"/>
      <c r="C1213" s="676"/>
      <c r="D1213" s="676"/>
      <c r="E1213" s="676"/>
      <c r="F1213" s="676"/>
      <c r="G1213" s="676"/>
      <c r="H1213" s="676"/>
      <c r="I1213" s="676"/>
      <c r="J1213" s="676"/>
      <c r="K1213" s="676"/>
      <c r="L1213" s="719"/>
      <c r="M1213" s="350"/>
    </row>
    <row r="1214" spans="1:16" x14ac:dyDescent="0.3">
      <c r="A1214" s="239"/>
      <c r="B1214" s="239"/>
      <c r="C1214" s="239"/>
      <c r="D1214" s="239"/>
      <c r="E1214" s="239"/>
      <c r="F1214" s="239"/>
      <c r="G1214" s="239"/>
      <c r="H1214" s="242"/>
      <c r="I1214" s="242"/>
      <c r="K1214" s="124"/>
      <c r="L1214" s="244"/>
      <c r="M1214" s="361"/>
    </row>
    <row r="1215" spans="1:16" x14ac:dyDescent="0.3">
      <c r="A1215" s="239"/>
      <c r="B1215" s="239"/>
      <c r="C1215" s="239"/>
      <c r="D1215" s="239"/>
      <c r="E1215" s="569" t="s">
        <v>392</v>
      </c>
      <c r="F1215" s="569"/>
      <c r="G1215" s="569"/>
      <c r="H1215" s="569"/>
      <c r="I1215" s="566"/>
      <c r="J1215" s="246" t="s">
        <v>393</v>
      </c>
      <c r="K1215" s="246" t="s">
        <v>394</v>
      </c>
    </row>
    <row r="1216" spans="1:16" x14ac:dyDescent="0.3">
      <c r="E1216" s="569"/>
      <c r="F1216" s="569"/>
      <c r="G1216" s="569"/>
      <c r="H1216" s="569"/>
      <c r="I1216" s="566"/>
      <c r="J1216" s="247" t="s">
        <v>883</v>
      </c>
      <c r="K1216" s="247" t="s">
        <v>395</v>
      </c>
    </row>
    <row r="1217" spans="1:16" x14ac:dyDescent="0.3">
      <c r="E1217" s="657" t="s">
        <v>798</v>
      </c>
      <c r="F1217" s="657"/>
      <c r="G1217" s="657"/>
      <c r="H1217" s="657"/>
      <c r="I1217" s="657"/>
      <c r="J1217" s="243">
        <v>0.01</v>
      </c>
      <c r="K1217" s="243">
        <v>1.05</v>
      </c>
      <c r="P1217" s="1">
        <f t="shared" ref="P1217:P1223" si="498">IF(K1217=0,0,J1217/K1217)</f>
        <v>9.5238095238095229E-3</v>
      </c>
    </row>
    <row r="1218" spans="1:16" x14ac:dyDescent="0.3">
      <c r="E1218" s="657" t="s">
        <v>799</v>
      </c>
      <c r="F1218" s="657"/>
      <c r="G1218" s="657"/>
      <c r="H1218" s="657"/>
      <c r="I1218" s="657"/>
      <c r="J1218" s="243">
        <v>0.03</v>
      </c>
      <c r="K1218" s="243">
        <v>0.93</v>
      </c>
      <c r="P1218" s="1">
        <f t="shared" si="498"/>
        <v>3.2258064516129031E-2</v>
      </c>
    </row>
    <row r="1219" spans="1:16" x14ac:dyDescent="0.3">
      <c r="E1219" s="657" t="s">
        <v>693</v>
      </c>
      <c r="F1219" s="657"/>
      <c r="G1219" s="657"/>
      <c r="H1219" s="657"/>
      <c r="I1219" s="657"/>
      <c r="J1219" s="243">
        <v>0.14000000000000001</v>
      </c>
      <c r="K1219" s="243">
        <v>1.63</v>
      </c>
      <c r="P1219" s="1">
        <f t="shared" si="498"/>
        <v>8.5889570552147257E-2</v>
      </c>
    </row>
    <row r="1220" spans="1:16" x14ac:dyDescent="0.3">
      <c r="E1220" s="657" t="s">
        <v>1082</v>
      </c>
      <c r="F1220" s="657"/>
      <c r="G1220" s="657"/>
      <c r="H1220" s="657"/>
      <c r="I1220" s="657"/>
      <c r="J1220" s="243">
        <v>0.05</v>
      </c>
      <c r="K1220" s="243">
        <v>3.3000000000000002E-2</v>
      </c>
      <c r="P1220" s="1">
        <f t="shared" si="498"/>
        <v>1.5151515151515151</v>
      </c>
    </row>
    <row r="1221" spans="1:16" x14ac:dyDescent="0.3">
      <c r="E1221" s="657" t="s">
        <v>792</v>
      </c>
      <c r="F1221" s="657"/>
      <c r="G1221" s="657"/>
      <c r="H1221" s="657"/>
      <c r="I1221" s="657"/>
      <c r="J1221" s="243"/>
      <c r="K1221" s="243"/>
      <c r="P1221" s="1">
        <f t="shared" si="498"/>
        <v>0</v>
      </c>
    </row>
    <row r="1222" spans="1:16" x14ac:dyDescent="0.3">
      <c r="E1222" s="657" t="s">
        <v>694</v>
      </c>
      <c r="F1222" s="657"/>
      <c r="G1222" s="657"/>
      <c r="H1222" s="657"/>
      <c r="I1222" s="657"/>
      <c r="J1222" s="243">
        <v>0.1</v>
      </c>
      <c r="K1222" s="250">
        <v>2</v>
      </c>
      <c r="P1222" s="1">
        <f t="shared" si="498"/>
        <v>0.05</v>
      </c>
    </row>
    <row r="1223" spans="1:16" x14ac:dyDescent="0.3">
      <c r="E1223" s="657" t="s">
        <v>695</v>
      </c>
      <c r="F1223" s="657"/>
      <c r="G1223" s="657"/>
      <c r="H1223" s="657"/>
      <c r="I1223" s="657"/>
      <c r="J1223" s="243"/>
      <c r="K1223" s="243"/>
      <c r="P1223" s="1">
        <f t="shared" si="498"/>
        <v>0</v>
      </c>
    </row>
    <row r="1224" spans="1:16" x14ac:dyDescent="0.3">
      <c r="E1224" s="239"/>
      <c r="F1224" s="239"/>
      <c r="G1224" s="239"/>
      <c r="H1224" s="242"/>
      <c r="I1224" s="248" t="s">
        <v>793</v>
      </c>
      <c r="J1224" s="707">
        <f>SUM(P1217:P1223)</f>
        <v>1.6928229597436011</v>
      </c>
      <c r="K1224" s="708"/>
      <c r="L1224" s="244"/>
      <c r="M1224" s="361"/>
    </row>
    <row r="1226" spans="1:16" x14ac:dyDescent="0.3">
      <c r="A1226" s="651" t="s">
        <v>498</v>
      </c>
      <c r="B1226" s="651"/>
      <c r="C1226" s="651"/>
      <c r="D1226" s="651"/>
      <c r="E1226" s="651"/>
      <c r="F1226" s="651"/>
      <c r="G1226" s="651"/>
      <c r="H1226" s="651"/>
      <c r="I1226" s="651"/>
      <c r="J1226" s="105">
        <v>0</v>
      </c>
    </row>
    <row r="1227" spans="1:16" x14ac:dyDescent="0.3">
      <c r="A1227" s="586" t="s">
        <v>499</v>
      </c>
      <c r="B1227" s="586"/>
      <c r="C1227" s="586"/>
      <c r="D1227" s="586"/>
      <c r="E1227" s="586"/>
      <c r="F1227" s="586"/>
      <c r="G1227" s="586"/>
      <c r="H1227" s="586"/>
      <c r="I1227" s="589"/>
      <c r="J1227" s="589"/>
      <c r="K1227" s="589"/>
      <c r="L1227" s="589"/>
      <c r="M1227" s="199"/>
    </row>
    <row r="1228" spans="1:16" x14ac:dyDescent="0.3">
      <c r="A1228" s="586" t="s">
        <v>500</v>
      </c>
      <c r="B1228" s="586"/>
      <c r="C1228" s="586"/>
      <c r="D1228" s="586"/>
      <c r="E1228" s="586"/>
      <c r="F1228" s="586"/>
      <c r="G1228" s="586"/>
      <c r="H1228" s="586"/>
      <c r="I1228" s="589"/>
      <c r="J1228" s="589"/>
      <c r="K1228" s="589"/>
      <c r="L1228" s="589"/>
      <c r="M1228" s="199"/>
    </row>
    <row r="1229" spans="1:16" x14ac:dyDescent="0.3">
      <c r="A1229" s="586" t="s">
        <v>501</v>
      </c>
      <c r="B1229" s="586"/>
      <c r="C1229" s="586"/>
      <c r="D1229" s="586"/>
      <c r="E1229" s="586"/>
      <c r="F1229" s="586"/>
      <c r="G1229" s="586"/>
      <c r="H1229" s="586"/>
      <c r="I1229" s="589"/>
      <c r="J1229" s="589"/>
      <c r="K1229" s="589"/>
      <c r="L1229" s="589"/>
      <c r="M1229" s="199"/>
    </row>
    <row r="1230" spans="1:16" x14ac:dyDescent="0.3">
      <c r="A1230" s="166"/>
      <c r="B1230" s="160"/>
      <c r="C1230" s="162"/>
      <c r="D1230" s="162"/>
      <c r="E1230" s="162"/>
      <c r="F1230" s="162"/>
      <c r="G1230" s="162"/>
      <c r="H1230" s="162"/>
      <c r="I1230" s="23"/>
      <c r="K1230" s="14"/>
    </row>
    <row r="1231" spans="1:16" x14ac:dyDescent="0.3">
      <c r="A1231" s="586" t="s">
        <v>274</v>
      </c>
      <c r="B1231" s="586"/>
      <c r="C1231" s="586"/>
      <c r="D1231" s="586"/>
      <c r="E1231" s="586"/>
      <c r="F1231" s="586"/>
      <c r="G1231" s="589"/>
      <c r="H1231" s="589"/>
      <c r="I1231" s="589"/>
      <c r="K1231" s="45" t="s">
        <v>895</v>
      </c>
      <c r="L1231" s="56">
        <f>N158</f>
        <v>9.9999999999999995E-45</v>
      </c>
      <c r="M1231" s="352"/>
      <c r="O1231" s="45" t="s">
        <v>895</v>
      </c>
      <c r="P1231" s="56">
        <f>L1231</f>
        <v>9.9999999999999995E-45</v>
      </c>
    </row>
    <row r="1232" spans="1:16" x14ac:dyDescent="0.3">
      <c r="A1232" s="586" t="s">
        <v>275</v>
      </c>
      <c r="B1232" s="586"/>
      <c r="C1232" s="586"/>
      <c r="D1232" s="586"/>
      <c r="E1232" s="586"/>
      <c r="F1232" s="586"/>
      <c r="G1232" s="589"/>
      <c r="H1232" s="589"/>
      <c r="I1232" s="589"/>
      <c r="J1232" s="589"/>
      <c r="K1232" s="45" t="s">
        <v>896</v>
      </c>
      <c r="L1232" s="56">
        <f>N157</f>
        <v>1E-41</v>
      </c>
      <c r="M1232" s="352"/>
      <c r="O1232" s="45" t="s">
        <v>896</v>
      </c>
      <c r="P1232" s="56">
        <f>L1232</f>
        <v>1E-41</v>
      </c>
    </row>
    <row r="1233" spans="1:16" ht="18.600000000000001" x14ac:dyDescent="0.4">
      <c r="A1233" s="586" t="s">
        <v>331</v>
      </c>
      <c r="B1233" s="586"/>
      <c r="C1233" s="586"/>
      <c r="D1233" s="586"/>
      <c r="E1233" s="586"/>
      <c r="F1233" s="586"/>
      <c r="G1233" s="589"/>
      <c r="H1233" s="589"/>
      <c r="I1233" s="589"/>
      <c r="K1233" s="45" t="s">
        <v>1046</v>
      </c>
      <c r="L1233" s="59">
        <f>J1224</f>
        <v>1.6928229597436011</v>
      </c>
      <c r="M1233" s="352"/>
      <c r="O1233" s="45" t="s">
        <v>1046</v>
      </c>
      <c r="P1233" s="56">
        <v>2.0099999999999998</v>
      </c>
    </row>
    <row r="1234" spans="1:16" x14ac:dyDescent="0.3">
      <c r="A1234" s="586" t="s">
        <v>502</v>
      </c>
      <c r="B1234" s="586"/>
      <c r="C1234" s="586"/>
      <c r="D1234" s="586"/>
      <c r="E1234" s="586"/>
      <c r="F1234" s="586"/>
      <c r="G1234" s="589"/>
      <c r="H1234" s="589"/>
      <c r="I1234" s="589"/>
      <c r="K1234" s="45" t="s">
        <v>257</v>
      </c>
      <c r="L1234" s="46">
        <v>0</v>
      </c>
      <c r="M1234" s="99"/>
      <c r="O1234" s="45" t="s">
        <v>257</v>
      </c>
      <c r="P1234" s="56">
        <f>L1234</f>
        <v>0</v>
      </c>
    </row>
    <row r="1235" spans="1:16" ht="18.600000000000001" x14ac:dyDescent="0.4">
      <c r="A1235" s="586" t="s">
        <v>503</v>
      </c>
      <c r="B1235" s="586"/>
      <c r="C1235" s="586"/>
      <c r="D1235" s="586"/>
      <c r="E1235" s="586"/>
      <c r="F1235" s="586"/>
      <c r="G1235" s="586"/>
      <c r="H1235" s="586"/>
      <c r="I1235" s="586"/>
      <c r="K1235" s="45" t="s">
        <v>505</v>
      </c>
      <c r="L1235" s="46">
        <v>0</v>
      </c>
      <c r="M1235" s="99"/>
      <c r="O1235" s="45" t="s">
        <v>505</v>
      </c>
      <c r="P1235" s="56">
        <f>L1235</f>
        <v>0</v>
      </c>
    </row>
    <row r="1236" spans="1:16" ht="18.600000000000001" x14ac:dyDescent="0.4">
      <c r="A1236" s="586" t="s">
        <v>504</v>
      </c>
      <c r="B1236" s="586"/>
      <c r="C1236" s="586"/>
      <c r="D1236" s="586"/>
      <c r="E1236" s="586"/>
      <c r="F1236" s="586"/>
      <c r="G1236" s="586"/>
      <c r="H1236" s="586"/>
      <c r="I1236" s="586"/>
      <c r="K1236" s="45" t="s">
        <v>506</v>
      </c>
      <c r="L1236" s="46">
        <v>0</v>
      </c>
      <c r="M1236" s="99"/>
      <c r="O1236" s="45" t="s">
        <v>506</v>
      </c>
      <c r="P1236" s="56">
        <f>L1236</f>
        <v>0</v>
      </c>
    </row>
    <row r="1237" spans="1:16" x14ac:dyDescent="0.3">
      <c r="A1237" s="586" t="s">
        <v>517</v>
      </c>
      <c r="B1237" s="586"/>
      <c r="C1237" s="586"/>
      <c r="D1237" s="586"/>
      <c r="E1237" s="586"/>
      <c r="F1237" s="586"/>
      <c r="G1237" s="586"/>
      <c r="H1237" s="586"/>
      <c r="I1237" s="586"/>
      <c r="K1237" s="45" t="s">
        <v>518</v>
      </c>
      <c r="L1237" s="60">
        <f>L1236*2-L1235</f>
        <v>0</v>
      </c>
      <c r="M1237" s="99"/>
      <c r="O1237" s="45" t="s">
        <v>518</v>
      </c>
      <c r="P1237" s="60">
        <f>P1236*2-P1235</f>
        <v>0</v>
      </c>
    </row>
    <row r="1238" spans="1:16" x14ac:dyDescent="0.3">
      <c r="A1238" s="36"/>
      <c r="B1238" s="36"/>
      <c r="C1238"/>
      <c r="D1238" s="36"/>
      <c r="E1238" s="36"/>
      <c r="F1238" s="36"/>
      <c r="G1238" s="36"/>
      <c r="H1238" s="36"/>
      <c r="I1238" s="36"/>
      <c r="K1238" s="45"/>
      <c r="L1238" s="60"/>
      <c r="M1238" s="99"/>
      <c r="O1238" s="45"/>
      <c r="P1238" s="60"/>
    </row>
    <row r="1239" spans="1:16" x14ac:dyDescent="0.3">
      <c r="A1239" s="36"/>
      <c r="B1239" s="36"/>
      <c r="C1239" s="36"/>
      <c r="D1239" s="36"/>
      <c r="E1239" s="36"/>
      <c r="F1239" s="36"/>
      <c r="G1239" s="36"/>
      <c r="H1239" s="36"/>
      <c r="I1239" s="36"/>
      <c r="K1239" s="45"/>
      <c r="L1239" s="60"/>
      <c r="M1239" s="99"/>
      <c r="O1239" s="45"/>
      <c r="P1239" s="60"/>
    </row>
    <row r="1240" spans="1:16" x14ac:dyDescent="0.3">
      <c r="A1240" s="586" t="s">
        <v>332</v>
      </c>
      <c r="B1240" s="586"/>
      <c r="C1240" s="586"/>
      <c r="D1240" s="586"/>
      <c r="E1240" s="586"/>
      <c r="F1240" s="586"/>
      <c r="G1240" s="589"/>
      <c r="H1240" s="589"/>
      <c r="I1240" s="589"/>
      <c r="K1240" s="45" t="s">
        <v>333</v>
      </c>
      <c r="L1240" s="59">
        <f>SUM(J1155:J1159)</f>
        <v>0.38</v>
      </c>
      <c r="M1240" s="352"/>
      <c r="O1240" s="45" t="s">
        <v>333</v>
      </c>
      <c r="P1240" s="59">
        <f>L1240</f>
        <v>0.38</v>
      </c>
    </row>
    <row r="1241" spans="1:16" x14ac:dyDescent="0.3">
      <c r="A1241" s="36"/>
      <c r="B1241" s="36"/>
      <c r="C1241" s="36"/>
      <c r="D1241" s="36"/>
      <c r="E1241" s="36"/>
      <c r="F1241" s="36"/>
      <c r="G1241" s="14"/>
      <c r="H1241" s="14"/>
      <c r="I1241" s="14"/>
      <c r="K1241" s="45"/>
      <c r="L1241" s="60"/>
      <c r="M1241" s="99"/>
      <c r="O1241" s="45"/>
      <c r="P1241" s="60"/>
    </row>
    <row r="1242" spans="1:16" x14ac:dyDescent="0.3">
      <c r="A1242" s="586" t="s">
        <v>280</v>
      </c>
      <c r="B1242" s="586"/>
      <c r="C1242" s="586"/>
      <c r="D1242" s="586"/>
      <c r="E1242" s="586"/>
      <c r="F1242" s="586"/>
      <c r="G1242" s="5"/>
      <c r="H1242" s="5"/>
      <c r="I1242" s="5"/>
      <c r="K1242" s="45" t="s">
        <v>897</v>
      </c>
      <c r="L1242" s="55">
        <f>L1231/(0.5*L1232)</f>
        <v>2E-3</v>
      </c>
      <c r="M1242" s="99"/>
      <c r="O1242" s="45" t="s">
        <v>897</v>
      </c>
      <c r="P1242" s="55">
        <f>P1231/(0.5*P1232)</f>
        <v>2E-3</v>
      </c>
    </row>
    <row r="1243" spans="1:16" x14ac:dyDescent="0.3">
      <c r="P1243" s="24"/>
    </row>
    <row r="1244" spans="1:16" ht="18.600000000000001" x14ac:dyDescent="0.4">
      <c r="A1244" s="586" t="s">
        <v>1047</v>
      </c>
      <c r="B1244" s="586"/>
      <c r="C1244" s="586"/>
      <c r="D1244" s="586"/>
      <c r="E1244" s="586"/>
      <c r="F1244" s="586"/>
      <c r="G1244" s="7"/>
      <c r="H1244" s="7"/>
      <c r="I1244" s="7"/>
      <c r="K1244" s="45" t="s">
        <v>1048</v>
      </c>
      <c r="L1244" s="56">
        <f>L1240+2*(0.17+L1233+0.04)</f>
        <v>4.185645919487202</v>
      </c>
      <c r="M1244" s="352"/>
      <c r="O1244" s="45" t="s">
        <v>1048</v>
      </c>
      <c r="P1244" s="56">
        <f>P1240+2*(0.17+P1233+0.04)</f>
        <v>4.8199999999999994</v>
      </c>
    </row>
    <row r="1245" spans="1:16" ht="18" x14ac:dyDescent="0.35">
      <c r="A1245" s="15" t="s">
        <v>956</v>
      </c>
      <c r="P1245" s="24"/>
    </row>
    <row r="1246" spans="1:16" ht="18" x14ac:dyDescent="0.35">
      <c r="A1246" s="720" t="s">
        <v>334</v>
      </c>
      <c r="B1246" s="589"/>
      <c r="C1246" s="589"/>
      <c r="D1246" s="589"/>
      <c r="E1246" s="589"/>
      <c r="F1246" s="589"/>
      <c r="G1246" s="589"/>
      <c r="H1246" s="589"/>
      <c r="I1246" s="589"/>
      <c r="J1246" s="589"/>
      <c r="K1246" s="589"/>
      <c r="L1246" s="589"/>
      <c r="M1246" s="199"/>
    </row>
    <row r="1247" spans="1:16" ht="21.6" x14ac:dyDescent="0.45">
      <c r="A1247" s="720" t="s">
        <v>507</v>
      </c>
      <c r="B1247" s="589"/>
      <c r="C1247" s="589"/>
      <c r="D1247" s="589"/>
      <c r="E1247" s="589"/>
      <c r="F1247" s="589"/>
      <c r="G1247" s="589"/>
      <c r="H1247" s="589"/>
      <c r="I1247" s="589"/>
      <c r="J1247" s="589"/>
      <c r="K1247" s="589"/>
      <c r="L1247" s="589"/>
      <c r="M1247" s="199"/>
    </row>
    <row r="1248" spans="1:16" ht="21.6" x14ac:dyDescent="0.45">
      <c r="A1248" s="720" t="s">
        <v>508</v>
      </c>
      <c r="B1248" s="589"/>
      <c r="C1248" s="589"/>
      <c r="D1248" s="589"/>
      <c r="E1248" s="589"/>
      <c r="F1248" s="589"/>
      <c r="G1248" s="589"/>
      <c r="H1248" s="589"/>
      <c r="I1248" s="589"/>
      <c r="J1248" s="589"/>
      <c r="K1248" s="589"/>
      <c r="L1248" s="589"/>
      <c r="M1248" s="199"/>
    </row>
    <row r="1250" spans="1:16" ht="20.399999999999999" x14ac:dyDescent="0.45">
      <c r="A1250" s="2" t="s">
        <v>962</v>
      </c>
    </row>
    <row r="1252" spans="1:16" ht="20.399999999999999" x14ac:dyDescent="0.45">
      <c r="A1252" s="2" t="s">
        <v>1073</v>
      </c>
    </row>
    <row r="1254" spans="1:16" x14ac:dyDescent="0.3">
      <c r="A1254" s="637" t="s">
        <v>509</v>
      </c>
      <c r="B1254" s="637"/>
      <c r="C1254" s="637"/>
      <c r="D1254" s="637"/>
      <c r="E1254" s="637"/>
      <c r="F1254" s="637"/>
      <c r="G1254" s="637"/>
      <c r="H1254" s="589"/>
      <c r="I1254" s="589"/>
      <c r="J1254" s="589"/>
      <c r="K1254" s="19" t="s">
        <v>951</v>
      </c>
      <c r="L1254" s="64">
        <f>IF(L1244&lt;L1242,2*2/(3.14*L1242+L1244)*LN(3.14*L1242/L1244+1),2/(0.457*L1242+L1244))</f>
        <v>0.47771918674580288</v>
      </c>
      <c r="M1254" s="363"/>
      <c r="O1254" s="19" t="s">
        <v>951</v>
      </c>
      <c r="P1254" s="64">
        <f>IF(P1244&lt;P1242,2*2/(3.14*P1242+P1244)*LN(3.14*P1242/P1244+1),2/(0.457*P1242+P1244))</f>
        <v>0.41485909103543445</v>
      </c>
    </row>
    <row r="1256" spans="1:16" ht="18.600000000000001" x14ac:dyDescent="0.4">
      <c r="A1256" s="586" t="s">
        <v>510</v>
      </c>
      <c r="B1256" s="586"/>
      <c r="C1256" s="586"/>
      <c r="D1256" s="586"/>
      <c r="E1256" s="586"/>
      <c r="F1256" s="586"/>
      <c r="G1256" s="762"/>
      <c r="H1256" s="762"/>
      <c r="I1256" s="762"/>
      <c r="K1256" s="167" t="s">
        <v>512</v>
      </c>
      <c r="L1256" s="56">
        <f>IF(J1257=0,(-(2/3.14)*(LN(L1234/L1244+1)-LN(L1234/(L1244+L1237)+1))),(-(2/3.14)*(LN(2*L1234/L1244+1)-LN(2*L1234/(L1244+L1237)+1))))</f>
        <v>0</v>
      </c>
      <c r="M1256" s="352"/>
      <c r="O1256" s="167" t="s">
        <v>512</v>
      </c>
      <c r="P1256" s="56">
        <f>IF(J1257=0,(-(2/3.14)*(LN(P1234/P1244+1)-LN(P1234/(P1244+P1237)+1))),(-(2/3.14)*(LN(2*P1234/P1244+1)-LN(2*P1234/(P1244+P1237)+1))))</f>
        <v>0</v>
      </c>
    </row>
    <row r="1257" spans="1:16" x14ac:dyDescent="0.3">
      <c r="A1257" s="651" t="s">
        <v>513</v>
      </c>
      <c r="B1257" s="651"/>
      <c r="C1257" s="651"/>
      <c r="D1257" s="651"/>
      <c r="E1257" s="651"/>
      <c r="F1257" s="651"/>
      <c r="G1257" s="651"/>
      <c r="H1257" s="651"/>
      <c r="I1257" s="651"/>
      <c r="J1257" s="105">
        <v>0</v>
      </c>
    </row>
    <row r="1258" spans="1:16" x14ac:dyDescent="0.3">
      <c r="A1258" s="586" t="s">
        <v>514</v>
      </c>
      <c r="B1258" s="586"/>
      <c r="C1258" s="586"/>
      <c r="D1258" s="586"/>
      <c r="E1258" s="586"/>
      <c r="F1258" s="586"/>
      <c r="G1258" s="586"/>
      <c r="H1258" s="586"/>
      <c r="I1258" s="589"/>
      <c r="J1258" s="589"/>
      <c r="K1258" s="589"/>
      <c r="L1258" s="589"/>
      <c r="M1258" s="199"/>
    </row>
    <row r="1259" spans="1:16" x14ac:dyDescent="0.3">
      <c r="C1259"/>
    </row>
    <row r="1260" spans="1:16" x14ac:dyDescent="0.3">
      <c r="A1260" s="759" t="s">
        <v>516</v>
      </c>
      <c r="B1260" s="759"/>
      <c r="C1260" s="759"/>
      <c r="D1260" s="759"/>
      <c r="E1260" s="759"/>
      <c r="F1260" s="759"/>
      <c r="G1260" s="759" t="s">
        <v>515</v>
      </c>
      <c r="H1260" s="759"/>
      <c r="I1260" s="759"/>
      <c r="J1260" s="759"/>
      <c r="K1260" s="759"/>
      <c r="L1260" s="759"/>
      <c r="M1260" s="321"/>
    </row>
    <row r="1261" spans="1:16" x14ac:dyDescent="0.3">
      <c r="A1261"/>
      <c r="G1261"/>
    </row>
    <row r="1265" spans="1:16" x14ac:dyDescent="0.3">
      <c r="A1265" s="637" t="s">
        <v>519</v>
      </c>
      <c r="B1265" s="637"/>
      <c r="C1265" s="637"/>
      <c r="D1265" s="637"/>
      <c r="E1265" s="637"/>
      <c r="F1265" s="637"/>
      <c r="G1265" s="637"/>
      <c r="H1265" s="589"/>
      <c r="I1265" s="589"/>
      <c r="J1265" s="589"/>
      <c r="K1265" s="19" t="s">
        <v>951</v>
      </c>
      <c r="L1265" s="64">
        <f>IF(J1226=1,L1254+2*L1256/L1242,L1254)</f>
        <v>0.47771918674580288</v>
      </c>
      <c r="M1265" s="363"/>
      <c r="O1265" s="19" t="s">
        <v>951</v>
      </c>
      <c r="P1265" s="64">
        <f>IF(J1226=1,P1254+2*P1256/P1242,P1254)</f>
        <v>0.41485909103543445</v>
      </c>
    </row>
    <row r="1266" spans="1:16" x14ac:dyDescent="0.3">
      <c r="B1266"/>
    </row>
    <row r="1269" spans="1:16" ht="21" x14ac:dyDescent="0.4">
      <c r="A1269" s="710" t="str">
        <f>CONCATENATE("Детайл ",A1426)</f>
        <v>Детайл 0</v>
      </c>
      <c r="B1269" s="710"/>
      <c r="C1269" s="710"/>
      <c r="D1269" s="710"/>
      <c r="E1269" s="710"/>
      <c r="F1269" s="710"/>
      <c r="G1269" s="710"/>
      <c r="H1269" s="710"/>
      <c r="I1269" s="710"/>
      <c r="J1269" s="710"/>
      <c r="K1269" s="710"/>
      <c r="L1269" s="711"/>
      <c r="M1269" s="349"/>
      <c r="O1269" s="501"/>
    </row>
    <row r="1270" spans="1:16" x14ac:dyDescent="0.3">
      <c r="A1270" s="676" t="s">
        <v>761</v>
      </c>
      <c r="B1270" s="676"/>
      <c r="C1270" s="676"/>
      <c r="D1270" s="676"/>
      <c r="E1270" s="676"/>
      <c r="F1270" s="676"/>
      <c r="G1270" s="676"/>
      <c r="H1270" s="676"/>
      <c r="I1270" s="676"/>
      <c r="J1270" s="676"/>
      <c r="K1270" s="676"/>
      <c r="L1270" s="719"/>
      <c r="M1270" s="350"/>
    </row>
    <row r="1271" spans="1:16" x14ac:dyDescent="0.3">
      <c r="A1271" s="586" t="s">
        <v>1119</v>
      </c>
      <c r="B1271" s="586"/>
      <c r="C1271" s="586"/>
      <c r="D1271" s="586"/>
      <c r="E1271" s="586"/>
      <c r="F1271" s="586"/>
      <c r="G1271" s="586"/>
      <c r="H1271" s="586"/>
      <c r="I1271" s="586"/>
      <c r="J1271" s="586"/>
      <c r="K1271" s="586"/>
      <c r="L1271" s="586"/>
    </row>
    <row r="1272" spans="1:16" x14ac:dyDescent="0.3">
      <c r="E1272" s="569" t="s">
        <v>392</v>
      </c>
      <c r="F1272" s="569"/>
      <c r="G1272" s="569"/>
      <c r="H1272" s="569"/>
      <c r="I1272" s="566"/>
      <c r="J1272" s="246" t="s">
        <v>393</v>
      </c>
      <c r="K1272" s="246" t="s">
        <v>394</v>
      </c>
    </row>
    <row r="1273" spans="1:16" x14ac:dyDescent="0.3">
      <c r="E1273" s="569"/>
      <c r="F1273" s="569"/>
      <c r="G1273" s="569"/>
      <c r="H1273" s="569"/>
      <c r="I1273" s="566"/>
      <c r="J1273" s="247" t="s">
        <v>883</v>
      </c>
      <c r="K1273" s="247" t="s">
        <v>395</v>
      </c>
    </row>
    <row r="1274" spans="1:16" x14ac:dyDescent="0.3">
      <c r="E1274" s="657" t="s">
        <v>798</v>
      </c>
      <c r="F1274" s="657"/>
      <c r="G1274" s="657"/>
      <c r="H1274" s="657"/>
      <c r="I1274" s="657"/>
      <c r="J1274" s="243">
        <v>0.01</v>
      </c>
      <c r="K1274" s="243">
        <v>1.05</v>
      </c>
      <c r="P1274" s="1">
        <f t="shared" ref="P1274:P1279" si="499">IF(K1274=0,0,J1274/K1274)</f>
        <v>9.5238095238095229E-3</v>
      </c>
    </row>
    <row r="1275" spans="1:16" x14ac:dyDescent="0.3">
      <c r="E1275" s="657" t="s">
        <v>799</v>
      </c>
      <c r="F1275" s="657"/>
      <c r="G1275" s="657"/>
      <c r="H1275" s="657"/>
      <c r="I1275" s="657"/>
      <c r="J1275" s="243">
        <v>0.05</v>
      </c>
      <c r="K1275" s="243">
        <v>0.93</v>
      </c>
      <c r="P1275" s="1">
        <f t="shared" si="499"/>
        <v>5.3763440860215055E-2</v>
      </c>
    </row>
    <row r="1276" spans="1:16" x14ac:dyDescent="0.3">
      <c r="E1276" s="657" t="s">
        <v>693</v>
      </c>
      <c r="F1276" s="657"/>
      <c r="G1276" s="657"/>
      <c r="H1276" s="657"/>
      <c r="I1276" s="657"/>
      <c r="J1276" s="243">
        <v>0.14000000000000001</v>
      </c>
      <c r="K1276" s="243">
        <v>1.63</v>
      </c>
      <c r="P1276" s="1">
        <f t="shared" si="499"/>
        <v>8.5889570552147257E-2</v>
      </c>
    </row>
    <row r="1277" spans="1:16" x14ac:dyDescent="0.3">
      <c r="E1277" s="657" t="s">
        <v>847</v>
      </c>
      <c r="F1277" s="657"/>
      <c r="G1277" s="657"/>
      <c r="H1277" s="657"/>
      <c r="I1277" s="657"/>
      <c r="J1277" s="243">
        <v>0.05</v>
      </c>
      <c r="K1277" s="243">
        <v>3.5000000000000003E-2</v>
      </c>
      <c r="P1277" s="1">
        <f t="shared" si="499"/>
        <v>1.4285714285714286</v>
      </c>
    </row>
    <row r="1278" spans="1:16" x14ac:dyDescent="0.3">
      <c r="E1278" s="657" t="s">
        <v>696</v>
      </c>
      <c r="F1278" s="657"/>
      <c r="G1278" s="657"/>
      <c r="H1278" s="657"/>
      <c r="I1278" s="657"/>
      <c r="J1278" s="243"/>
      <c r="K1278" s="243"/>
      <c r="P1278" s="1">
        <f t="shared" si="499"/>
        <v>0</v>
      </c>
    </row>
    <row r="1279" spans="1:16" x14ac:dyDescent="0.3">
      <c r="E1279" s="657" t="s">
        <v>697</v>
      </c>
      <c r="F1279" s="657"/>
      <c r="G1279" s="657"/>
      <c r="H1279" s="657"/>
      <c r="I1279" s="657"/>
      <c r="J1279" s="243">
        <v>0.01</v>
      </c>
      <c r="K1279" s="243">
        <v>0.7</v>
      </c>
      <c r="P1279" s="1">
        <f t="shared" si="499"/>
        <v>1.4285714285714287E-2</v>
      </c>
    </row>
    <row r="1280" spans="1:16" x14ac:dyDescent="0.3">
      <c r="E1280" s="239"/>
      <c r="F1280" s="239"/>
      <c r="G1280" s="239"/>
      <c r="H1280" s="242"/>
      <c r="I1280" s="248" t="s">
        <v>793</v>
      </c>
      <c r="J1280" s="707">
        <f>SUM(P1274:P1279)</f>
        <v>1.5920339637933147</v>
      </c>
      <c r="K1280" s="708"/>
      <c r="L1280" s="244"/>
      <c r="M1280" s="361"/>
    </row>
    <row r="1282" spans="1:16" x14ac:dyDescent="0.3">
      <c r="A1282" s="586" t="s">
        <v>1120</v>
      </c>
      <c r="B1282" s="586"/>
      <c r="C1282" s="586"/>
      <c r="D1282" s="586"/>
      <c r="E1282" s="586"/>
      <c r="F1282" s="586"/>
      <c r="G1282" s="586"/>
      <c r="H1282" s="586"/>
      <c r="I1282" s="586"/>
      <c r="J1282" s="586"/>
      <c r="K1282" s="586"/>
      <c r="L1282" s="586"/>
      <c r="M1282" s="339"/>
    </row>
    <row r="1283" spans="1:16" x14ac:dyDescent="0.3">
      <c r="E1283" s="569" t="s">
        <v>392</v>
      </c>
      <c r="F1283" s="569"/>
      <c r="G1283" s="569"/>
      <c r="H1283" s="569"/>
      <c r="I1283" s="566"/>
      <c r="J1283" s="246" t="s">
        <v>393</v>
      </c>
      <c r="K1283" s="246" t="s">
        <v>394</v>
      </c>
    </row>
    <row r="1284" spans="1:16" x14ac:dyDescent="0.3">
      <c r="E1284" s="569"/>
      <c r="F1284" s="569"/>
      <c r="G1284" s="569"/>
      <c r="H1284" s="569"/>
      <c r="I1284" s="566"/>
      <c r="J1284" s="247" t="s">
        <v>883</v>
      </c>
      <c r="K1284" s="247" t="s">
        <v>395</v>
      </c>
    </row>
    <row r="1285" spans="1:16" x14ac:dyDescent="0.3">
      <c r="E1285" s="657" t="s">
        <v>773</v>
      </c>
      <c r="F1285" s="657"/>
      <c r="G1285" s="657"/>
      <c r="H1285" s="657"/>
      <c r="I1285" s="657"/>
      <c r="J1285" s="243"/>
      <c r="K1285" s="243"/>
      <c r="P1285" s="1">
        <f>IF(K1285=0,0,J1285/K1285)</f>
        <v>0</v>
      </c>
    </row>
    <row r="1286" spans="1:16" x14ac:dyDescent="0.3">
      <c r="E1286" s="657" t="s">
        <v>774</v>
      </c>
      <c r="F1286" s="657"/>
      <c r="G1286" s="657"/>
      <c r="H1286" s="657"/>
      <c r="I1286" s="657"/>
      <c r="J1286" s="243">
        <v>0.25</v>
      </c>
      <c r="K1286" s="243">
        <v>1.63</v>
      </c>
      <c r="P1286" s="1">
        <f>IF(K1286=0,0,J1286/K1286)</f>
        <v>0.15337423312883436</v>
      </c>
    </row>
    <row r="1287" spans="1:16" x14ac:dyDescent="0.3">
      <c r="E1287" s="657" t="s">
        <v>1083</v>
      </c>
      <c r="F1287" s="657"/>
      <c r="G1287" s="657"/>
      <c r="H1287" s="657"/>
      <c r="I1287" s="657"/>
      <c r="J1287" s="243"/>
      <c r="K1287" s="243"/>
      <c r="P1287" s="1">
        <f>IF(K1287=0,0,J1287/K1287)</f>
        <v>0</v>
      </c>
    </row>
    <row r="1288" spans="1:16" x14ac:dyDescent="0.3">
      <c r="E1288" s="657" t="s">
        <v>698</v>
      </c>
      <c r="F1288" s="657"/>
      <c r="G1288" s="657"/>
      <c r="H1288" s="657"/>
      <c r="I1288" s="657"/>
      <c r="J1288" s="243"/>
      <c r="K1288" s="243"/>
      <c r="P1288" s="1">
        <f>IF(K1288=0,0,J1288/K1288)</f>
        <v>0</v>
      </c>
    </row>
    <row r="1289" spans="1:16" x14ac:dyDescent="0.3">
      <c r="E1289" s="657" t="s">
        <v>700</v>
      </c>
      <c r="F1289" s="657"/>
      <c r="G1289" s="657"/>
      <c r="H1289" s="657"/>
      <c r="I1289" s="657"/>
      <c r="J1289" s="243">
        <v>0.01</v>
      </c>
      <c r="K1289" s="250">
        <v>0.7</v>
      </c>
      <c r="P1289" s="1">
        <f>IF(K1289=0,0,J1289/K1289)</f>
        <v>1.4285714285714287E-2</v>
      </c>
    </row>
    <row r="1290" spans="1:16" x14ac:dyDescent="0.3">
      <c r="E1290" s="239"/>
      <c r="F1290" s="239"/>
      <c r="G1290" s="239"/>
      <c r="H1290" s="242"/>
      <c r="I1290" s="248" t="s">
        <v>793</v>
      </c>
      <c r="J1290" s="707">
        <f>SUM(P1285:P1289)</f>
        <v>0.16765994741454865</v>
      </c>
      <c r="K1290" s="708"/>
      <c r="L1290" s="244"/>
      <c r="M1290" s="361"/>
    </row>
    <row r="1292" spans="1:16" x14ac:dyDescent="0.3">
      <c r="A1292" s="586" t="s">
        <v>1121</v>
      </c>
      <c r="B1292" s="586"/>
      <c r="C1292" s="586"/>
      <c r="D1292" s="586"/>
      <c r="E1292" s="586"/>
      <c r="F1292" s="586"/>
      <c r="G1292" s="586"/>
      <c r="H1292" s="586"/>
      <c r="I1292" s="586"/>
      <c r="J1292" s="586"/>
      <c r="K1292" s="586"/>
      <c r="L1292" s="586"/>
      <c r="M1292" s="339"/>
    </row>
    <row r="1293" spans="1:16" x14ac:dyDescent="0.3">
      <c r="A1293" s="239"/>
      <c r="B1293" s="239"/>
      <c r="C1293" s="239"/>
      <c r="D1293" s="239"/>
      <c r="E1293" s="569" t="s">
        <v>392</v>
      </c>
      <c r="F1293" s="569"/>
      <c r="G1293" s="569"/>
      <c r="H1293" s="569"/>
      <c r="I1293" s="566"/>
      <c r="J1293" s="246" t="s">
        <v>393</v>
      </c>
      <c r="K1293" s="246" t="s">
        <v>394</v>
      </c>
    </row>
    <row r="1294" spans="1:16" x14ac:dyDescent="0.3">
      <c r="E1294" s="569"/>
      <c r="F1294" s="569"/>
      <c r="G1294" s="569"/>
      <c r="H1294" s="569"/>
      <c r="I1294" s="566"/>
      <c r="J1294" s="247" t="s">
        <v>883</v>
      </c>
      <c r="K1294" s="247" t="s">
        <v>395</v>
      </c>
    </row>
    <row r="1295" spans="1:16" x14ac:dyDescent="0.3">
      <c r="E1295" s="657" t="s">
        <v>798</v>
      </c>
      <c r="F1295" s="657"/>
      <c r="G1295" s="657"/>
      <c r="H1295" s="657"/>
      <c r="I1295" s="657"/>
      <c r="J1295" s="243">
        <v>0.01</v>
      </c>
      <c r="K1295" s="243">
        <v>1.05</v>
      </c>
      <c r="P1295" s="1">
        <f t="shared" ref="P1295:P1301" si="500">IF(K1295=0,0,J1295/K1295)</f>
        <v>9.5238095238095229E-3</v>
      </c>
    </row>
    <row r="1296" spans="1:16" x14ac:dyDescent="0.3">
      <c r="E1296" s="657" t="s">
        <v>799</v>
      </c>
      <c r="F1296" s="657"/>
      <c r="G1296" s="657"/>
      <c r="H1296" s="657"/>
      <c r="I1296" s="657"/>
      <c r="J1296" s="243">
        <v>0.03</v>
      </c>
      <c r="K1296" s="243">
        <v>0.93</v>
      </c>
      <c r="P1296" s="1">
        <f t="shared" si="500"/>
        <v>3.2258064516129031E-2</v>
      </c>
    </row>
    <row r="1297" spans="1:16" x14ac:dyDescent="0.3">
      <c r="E1297" s="657" t="s">
        <v>693</v>
      </c>
      <c r="F1297" s="657"/>
      <c r="G1297" s="657"/>
      <c r="H1297" s="657"/>
      <c r="I1297" s="657"/>
      <c r="J1297" s="243">
        <v>0.12</v>
      </c>
      <c r="K1297" s="243">
        <v>1.63</v>
      </c>
      <c r="P1297" s="1">
        <f t="shared" si="500"/>
        <v>7.3619631901840496E-2</v>
      </c>
    </row>
    <row r="1298" spans="1:16" x14ac:dyDescent="0.3">
      <c r="E1298" s="657" t="s">
        <v>1082</v>
      </c>
      <c r="F1298" s="657"/>
      <c r="G1298" s="657"/>
      <c r="H1298" s="657"/>
      <c r="I1298" s="657"/>
      <c r="J1298" s="243"/>
      <c r="K1298" s="243"/>
      <c r="P1298" s="1">
        <f t="shared" si="500"/>
        <v>0</v>
      </c>
    </row>
    <row r="1299" spans="1:16" x14ac:dyDescent="0.3">
      <c r="E1299" s="657" t="s">
        <v>792</v>
      </c>
      <c r="F1299" s="657"/>
      <c r="G1299" s="657"/>
      <c r="H1299" s="657"/>
      <c r="I1299" s="657"/>
      <c r="J1299" s="243"/>
      <c r="K1299" s="243"/>
      <c r="P1299" s="1">
        <f t="shared" si="500"/>
        <v>0</v>
      </c>
    </row>
    <row r="1300" spans="1:16" x14ac:dyDescent="0.3">
      <c r="E1300" s="657" t="s">
        <v>721</v>
      </c>
      <c r="F1300" s="657"/>
      <c r="G1300" s="657"/>
      <c r="H1300" s="657"/>
      <c r="I1300" s="657"/>
      <c r="J1300" s="243">
        <v>0.1</v>
      </c>
      <c r="K1300" s="250">
        <v>2</v>
      </c>
      <c r="P1300" s="1">
        <f t="shared" si="500"/>
        <v>0.05</v>
      </c>
    </row>
    <row r="1301" spans="1:16" x14ac:dyDescent="0.3">
      <c r="E1301" s="657" t="s">
        <v>722</v>
      </c>
      <c r="F1301" s="657"/>
      <c r="G1301" s="657"/>
      <c r="H1301" s="657"/>
      <c r="I1301" s="657"/>
      <c r="J1301" s="243"/>
      <c r="K1301" s="243"/>
      <c r="P1301" s="1">
        <f t="shared" si="500"/>
        <v>0</v>
      </c>
    </row>
    <row r="1302" spans="1:16" x14ac:dyDescent="0.3">
      <c r="E1302" s="239"/>
      <c r="F1302" s="239"/>
      <c r="G1302" s="239"/>
      <c r="H1302" s="242"/>
      <c r="I1302" s="248" t="s">
        <v>793</v>
      </c>
      <c r="J1302" s="707">
        <f>SUM(P1295:P1301)</f>
        <v>0.16540150594177905</v>
      </c>
      <c r="K1302" s="708"/>
      <c r="L1302" s="244"/>
      <c r="M1302" s="361"/>
    </row>
    <row r="1304" spans="1:16" ht="18.600000000000001" x14ac:dyDescent="0.4">
      <c r="A1304" s="586" t="s">
        <v>1122</v>
      </c>
      <c r="B1304" s="586"/>
      <c r="C1304" s="586"/>
      <c r="D1304" s="586"/>
      <c r="E1304" s="586"/>
      <c r="F1304" s="586"/>
      <c r="G1304" s="589"/>
      <c r="H1304" s="589"/>
      <c r="I1304" s="589"/>
      <c r="J1304" s="589"/>
      <c r="K1304" s="45" t="s">
        <v>668</v>
      </c>
      <c r="L1304" s="56">
        <f>N160</f>
        <v>1E-41</v>
      </c>
      <c r="M1304" s="352"/>
      <c r="O1304" s="45" t="s">
        <v>668</v>
      </c>
      <c r="P1304" s="56">
        <f>L1304</f>
        <v>1E-41</v>
      </c>
    </row>
    <row r="1305" spans="1:16" x14ac:dyDescent="0.3">
      <c r="A1305" s="586" t="s">
        <v>1123</v>
      </c>
      <c r="B1305" s="586"/>
      <c r="C1305" s="586"/>
      <c r="D1305" s="586"/>
      <c r="E1305" s="586"/>
      <c r="F1305" s="586"/>
      <c r="G1305" s="589"/>
      <c r="H1305" s="589"/>
      <c r="I1305" s="589"/>
      <c r="J1305" s="589"/>
      <c r="K1305" s="45" t="s">
        <v>896</v>
      </c>
      <c r="L1305" s="56">
        <f>N159</f>
        <v>1E-41</v>
      </c>
      <c r="M1305" s="352"/>
      <c r="O1305" s="45" t="s">
        <v>896</v>
      </c>
      <c r="P1305" s="56">
        <f>L1305</f>
        <v>1E-41</v>
      </c>
    </row>
    <row r="1306" spans="1:16" x14ac:dyDescent="0.3">
      <c r="A1306" s="586" t="s">
        <v>1124</v>
      </c>
      <c r="B1306" s="586"/>
      <c r="C1306" s="586"/>
      <c r="D1306" s="586"/>
      <c r="E1306" s="586"/>
      <c r="F1306" s="586"/>
      <c r="G1306" s="589"/>
      <c r="H1306" s="589"/>
      <c r="I1306" s="589"/>
      <c r="J1306" s="589"/>
      <c r="K1306" s="45" t="s">
        <v>1028</v>
      </c>
      <c r="L1306" s="57">
        <f>N165</f>
        <v>1E-41</v>
      </c>
      <c r="M1306" s="352"/>
      <c r="O1306" s="45" t="s">
        <v>1028</v>
      </c>
      <c r="P1306" s="56">
        <f>L1306</f>
        <v>1E-41</v>
      </c>
    </row>
    <row r="1307" spans="1:16" x14ac:dyDescent="0.3">
      <c r="A1307" s="586" t="s">
        <v>1125</v>
      </c>
      <c r="B1307" s="586"/>
      <c r="C1307" s="586"/>
      <c r="D1307" s="586"/>
      <c r="E1307" s="586"/>
      <c r="F1307" s="586"/>
      <c r="G1307" s="589"/>
      <c r="H1307" s="589"/>
      <c r="I1307" s="589"/>
      <c r="J1307" s="589"/>
      <c r="K1307" s="45" t="s">
        <v>1029</v>
      </c>
      <c r="L1307" s="57">
        <f>N167</f>
        <v>1E-41</v>
      </c>
      <c r="M1307" s="352"/>
      <c r="O1307" s="45" t="s">
        <v>1029</v>
      </c>
      <c r="P1307" s="56">
        <f>L1307</f>
        <v>1E-41</v>
      </c>
    </row>
    <row r="1308" spans="1:16" ht="18.600000000000001" x14ac:dyDescent="0.4">
      <c r="A1308" s="586" t="s">
        <v>763</v>
      </c>
      <c r="B1308" s="586"/>
      <c r="C1308" s="586"/>
      <c r="D1308" s="586"/>
      <c r="E1308" s="586"/>
      <c r="F1308" s="586"/>
      <c r="G1308" s="709"/>
      <c r="H1308" s="709"/>
      <c r="I1308" s="589"/>
      <c r="J1308" s="589"/>
      <c r="K1308" s="45" t="s">
        <v>1020</v>
      </c>
      <c r="L1308" s="59">
        <f>L1162</f>
        <v>0.24821613270047677</v>
      </c>
      <c r="M1308" s="352"/>
      <c r="O1308" s="45" t="s">
        <v>1020</v>
      </c>
      <c r="P1308" s="59">
        <f>L1308</f>
        <v>0.24821613270047677</v>
      </c>
    </row>
    <row r="1309" spans="1:16" ht="18.600000000000001" x14ac:dyDescent="0.4">
      <c r="A1309" s="586" t="s">
        <v>1126</v>
      </c>
      <c r="B1309" s="586"/>
      <c r="C1309" s="586"/>
      <c r="D1309" s="586"/>
      <c r="E1309" s="586"/>
      <c r="F1309" s="586"/>
      <c r="G1309" s="709"/>
      <c r="H1309" s="709"/>
      <c r="I1309" s="589"/>
      <c r="J1309" s="589"/>
      <c r="K1309" s="45" t="s">
        <v>1030</v>
      </c>
      <c r="L1309" s="59">
        <f>1/(0.17+J1280+0.17)</f>
        <v>0.51758924467177647</v>
      </c>
      <c r="M1309" s="352"/>
      <c r="O1309" s="45" t="s">
        <v>1030</v>
      </c>
      <c r="P1309" s="59">
        <f>1/(0.17+1.66+0.17)</f>
        <v>0.5</v>
      </c>
    </row>
    <row r="1310" spans="1:16" ht="18.600000000000001" x14ac:dyDescent="0.4">
      <c r="A1310" s="586" t="s">
        <v>1127</v>
      </c>
      <c r="B1310" s="586"/>
      <c r="C1310" s="586"/>
      <c r="D1310" s="586"/>
      <c r="E1310" s="586"/>
      <c r="F1310" s="586"/>
      <c r="G1310" s="709"/>
      <c r="H1310" s="709"/>
      <c r="I1310" s="589"/>
      <c r="J1310" s="589"/>
      <c r="K1310" s="45" t="s">
        <v>1033</v>
      </c>
      <c r="L1310" s="59">
        <f>1/(0.17+J1302+0.13)</f>
        <v>2.148682346818831</v>
      </c>
      <c r="M1310" s="352"/>
      <c r="O1310" s="45" t="s">
        <v>1033</v>
      </c>
      <c r="P1310" s="59">
        <f>L1310</f>
        <v>2.148682346818831</v>
      </c>
    </row>
    <row r="1311" spans="1:16" x14ac:dyDescent="0.3">
      <c r="A1311" s="586" t="s">
        <v>1128</v>
      </c>
      <c r="B1311" s="586"/>
      <c r="C1311" s="586"/>
      <c r="D1311" s="586"/>
      <c r="E1311" s="586"/>
      <c r="F1311" s="586"/>
      <c r="G1311" s="709"/>
      <c r="H1311" s="709"/>
      <c r="I1311" s="589"/>
      <c r="J1311" s="589"/>
      <c r="K1311" s="45" t="s">
        <v>1031</v>
      </c>
      <c r="L1311" s="56">
        <v>0.3</v>
      </c>
      <c r="M1311" s="352"/>
      <c r="O1311" s="45" t="s">
        <v>1031</v>
      </c>
      <c r="P1311" s="56">
        <f>L1311</f>
        <v>0.3</v>
      </c>
    </row>
    <row r="1312" spans="1:16" x14ac:dyDescent="0.3">
      <c r="A1312" s="586" t="s">
        <v>1129</v>
      </c>
      <c r="B1312" s="586"/>
      <c r="C1312" s="586"/>
      <c r="D1312" s="586"/>
      <c r="E1312" s="586"/>
      <c r="F1312" s="586"/>
      <c r="G1312" s="709"/>
      <c r="H1312" s="709"/>
      <c r="I1312" s="589"/>
      <c r="J1312" s="589"/>
      <c r="K1312" s="45" t="s">
        <v>1032</v>
      </c>
      <c r="L1312" s="56">
        <f>(L1306+L1307)*L1304*0.8</f>
        <v>1.6000000000000001E-82</v>
      </c>
      <c r="M1312" s="352"/>
      <c r="O1312" s="45" t="s">
        <v>1032</v>
      </c>
      <c r="P1312" s="56">
        <f>(P1306+P1307)*P1304*0.8</f>
        <v>1.6000000000000001E-82</v>
      </c>
    </row>
    <row r="1313" spans="1:16" x14ac:dyDescent="0.3">
      <c r="A1313" s="586" t="s">
        <v>332</v>
      </c>
      <c r="B1313" s="586"/>
      <c r="C1313" s="586"/>
      <c r="D1313" s="586"/>
      <c r="E1313" s="586"/>
      <c r="F1313" s="586"/>
      <c r="G1313" s="709"/>
      <c r="H1313" s="709"/>
      <c r="I1313" s="589"/>
      <c r="J1313" s="589"/>
      <c r="K1313" s="45" t="s">
        <v>333</v>
      </c>
      <c r="L1313" s="59">
        <f>SUM(J1155:J1159)</f>
        <v>0.38</v>
      </c>
      <c r="M1313" s="352"/>
      <c r="O1313" s="45" t="s">
        <v>333</v>
      </c>
      <c r="P1313" s="59">
        <f>L1313</f>
        <v>0.38</v>
      </c>
    </row>
    <row r="1314" spans="1:16" ht="18.600000000000001" x14ac:dyDescent="0.4">
      <c r="A1314" s="586" t="s">
        <v>1047</v>
      </c>
      <c r="B1314" s="586"/>
      <c r="C1314" s="586"/>
      <c r="D1314" s="586"/>
      <c r="E1314" s="586"/>
      <c r="F1314" s="586"/>
      <c r="G1314" s="7"/>
      <c r="H1314" s="7"/>
      <c r="I1314" s="7"/>
      <c r="K1314" s="45" t="s">
        <v>1048</v>
      </c>
      <c r="L1314" s="56">
        <f>L1313+2*(0.17+J1302+0.17)</f>
        <v>1.3908030118835581</v>
      </c>
      <c r="M1314" s="352"/>
      <c r="O1314" s="45" t="s">
        <v>1048</v>
      </c>
      <c r="P1314" s="56">
        <f>P1313+2*(0.17+1/P1309+0.17)</f>
        <v>5.0599999999999996</v>
      </c>
    </row>
    <row r="1315" spans="1:16" ht="18.600000000000001" x14ac:dyDescent="0.4">
      <c r="A1315" s="586" t="s">
        <v>276</v>
      </c>
      <c r="B1315" s="586"/>
      <c r="C1315" s="586"/>
      <c r="D1315" s="586"/>
      <c r="E1315" s="586"/>
      <c r="F1315" s="586"/>
      <c r="G1315" s="709"/>
      <c r="H1315" s="709"/>
      <c r="I1315" s="589"/>
      <c r="J1315" s="589"/>
      <c r="K1315" s="45" t="s">
        <v>1035</v>
      </c>
      <c r="L1315" s="59">
        <f>1/(0.04+J1290+0.13)</f>
        <v>2.9615594258571911</v>
      </c>
      <c r="M1315" s="352"/>
      <c r="O1315" s="45" t="s">
        <v>1035</v>
      </c>
      <c r="P1315" s="59">
        <f>L1315</f>
        <v>2.9615594258571911</v>
      </c>
    </row>
    <row r="1316" spans="1:16" x14ac:dyDescent="0.3">
      <c r="P1316" s="24"/>
    </row>
    <row r="1317" spans="1:16" x14ac:dyDescent="0.3">
      <c r="B1317"/>
      <c r="P1317" s="24"/>
    </row>
    <row r="1318" spans="1:16" x14ac:dyDescent="0.3">
      <c r="P1318" s="24"/>
    </row>
    <row r="1319" spans="1:16" x14ac:dyDescent="0.3">
      <c r="A1319" s="637" t="s">
        <v>764</v>
      </c>
      <c r="B1319" s="637"/>
      <c r="C1319" s="637"/>
      <c r="D1319" s="637"/>
      <c r="E1319" s="637"/>
      <c r="F1319" s="637"/>
      <c r="G1319" s="637"/>
      <c r="H1319" s="589"/>
      <c r="I1319" s="589"/>
      <c r="J1319" s="589"/>
      <c r="K1319" s="635" t="s">
        <v>951</v>
      </c>
      <c r="L1319" s="681">
        <f>1/(1/L1309+L1304/(L1304*L1310+L1306*L1305*L1315+L1307*L1305*L1308+0.33*L1311*L1312))</f>
        <v>0.41711237387778188</v>
      </c>
      <c r="M1319" s="364"/>
      <c r="O1319" s="635" t="s">
        <v>951</v>
      </c>
      <c r="P1319" s="681">
        <f>1/(1/P1309+P1304/(P1304*P1310+P1306*P1305*P1315+P1307*P1305*P1308+0.33*P1311*P1312))</f>
        <v>0.40561344575718578</v>
      </c>
    </row>
    <row r="1320" spans="1:16" x14ac:dyDescent="0.3">
      <c r="A1320" s="637" t="s">
        <v>1034</v>
      </c>
      <c r="B1320" s="637"/>
      <c r="C1320" s="637"/>
      <c r="D1320" s="637"/>
      <c r="E1320" s="637"/>
      <c r="F1320" s="637"/>
      <c r="G1320" s="637"/>
      <c r="H1320" s="589"/>
      <c r="I1320" s="589"/>
      <c r="J1320" s="589"/>
      <c r="K1320" s="636"/>
      <c r="L1320" s="682"/>
      <c r="M1320" s="362"/>
      <c r="O1320" s="636"/>
      <c r="P1320" s="682"/>
    </row>
    <row r="1322" spans="1:16" ht="21" x14ac:dyDescent="0.4">
      <c r="A1322" s="710" t="str">
        <f>CONCATENATE("Детайл ",A1428)</f>
        <v>Детайл 0</v>
      </c>
      <c r="B1322" s="710"/>
      <c r="C1322" s="710"/>
      <c r="D1322" s="710"/>
      <c r="E1322" s="710"/>
      <c r="F1322" s="710"/>
      <c r="G1322" s="710"/>
      <c r="H1322" s="710"/>
      <c r="I1322" s="710"/>
      <c r="J1322" s="710"/>
      <c r="K1322" s="710"/>
      <c r="L1322" s="711"/>
      <c r="M1322" s="349"/>
      <c r="O1322" s="501"/>
    </row>
    <row r="1323" spans="1:16" x14ac:dyDescent="0.3">
      <c r="A1323" s="676" t="s">
        <v>765</v>
      </c>
      <c r="B1323" s="676"/>
      <c r="C1323" s="676"/>
      <c r="D1323" s="676"/>
      <c r="E1323" s="676"/>
      <c r="F1323" s="676"/>
      <c r="G1323" s="676"/>
      <c r="H1323" s="676"/>
      <c r="I1323" s="676"/>
      <c r="J1323" s="676"/>
      <c r="K1323" s="676"/>
      <c r="L1323" s="719"/>
      <c r="M1323" s="350"/>
    </row>
    <row r="1325" spans="1:16" x14ac:dyDescent="0.3">
      <c r="A1325" s="586" t="s">
        <v>772</v>
      </c>
      <c r="B1325" s="586"/>
      <c r="C1325" s="586"/>
      <c r="D1325" s="586"/>
      <c r="E1325" s="586"/>
      <c r="F1325" s="586"/>
      <c r="G1325" s="586"/>
      <c r="H1325" s="586"/>
      <c r="I1325" s="586"/>
      <c r="J1325" s="586"/>
      <c r="K1325" s="586"/>
      <c r="L1325" s="586"/>
      <c r="M1325" s="339"/>
    </row>
    <row r="1326" spans="1:16" x14ac:dyDescent="0.3">
      <c r="A1326" s="239"/>
      <c r="B1326" s="239"/>
      <c r="C1326" s="239"/>
      <c r="D1326" s="239"/>
      <c r="E1326" s="569" t="s">
        <v>392</v>
      </c>
      <c r="F1326" s="569"/>
      <c r="G1326" s="569"/>
      <c r="H1326" s="569"/>
      <c r="I1326" s="566"/>
      <c r="J1326" s="246" t="s">
        <v>393</v>
      </c>
      <c r="K1326" s="246" t="s">
        <v>394</v>
      </c>
    </row>
    <row r="1327" spans="1:16" x14ac:dyDescent="0.3">
      <c r="E1327" s="569"/>
      <c r="F1327" s="569"/>
      <c r="G1327" s="569"/>
      <c r="H1327" s="569"/>
      <c r="I1327" s="566"/>
      <c r="J1327" s="247" t="s">
        <v>883</v>
      </c>
      <c r="K1327" s="247" t="s">
        <v>395</v>
      </c>
    </row>
    <row r="1328" spans="1:16" x14ac:dyDescent="0.3">
      <c r="E1328" s="657" t="s">
        <v>798</v>
      </c>
      <c r="F1328" s="657"/>
      <c r="G1328" s="657"/>
      <c r="H1328" s="657"/>
      <c r="I1328" s="657"/>
      <c r="J1328" s="243">
        <v>0.01</v>
      </c>
      <c r="K1328" s="243">
        <v>1.05</v>
      </c>
      <c r="P1328" s="1">
        <f t="shared" ref="P1328:P1334" si="501">IF(K1328=0,0,J1328/K1328)</f>
        <v>9.5238095238095229E-3</v>
      </c>
    </row>
    <row r="1329" spans="1:16" x14ac:dyDescent="0.3">
      <c r="E1329" s="657" t="s">
        <v>799</v>
      </c>
      <c r="F1329" s="657"/>
      <c r="G1329" s="657"/>
      <c r="H1329" s="657"/>
      <c r="I1329" s="657"/>
      <c r="J1329" s="243">
        <v>0.01</v>
      </c>
      <c r="K1329" s="243">
        <v>0.87</v>
      </c>
      <c r="P1329" s="1">
        <f t="shared" si="501"/>
        <v>1.1494252873563218E-2</v>
      </c>
    </row>
    <row r="1330" spans="1:16" x14ac:dyDescent="0.3">
      <c r="E1330" s="657" t="s">
        <v>693</v>
      </c>
      <c r="F1330" s="657"/>
      <c r="G1330" s="657"/>
      <c r="H1330" s="657"/>
      <c r="I1330" s="657"/>
      <c r="J1330" s="243">
        <v>0.14000000000000001</v>
      </c>
      <c r="K1330" s="243">
        <v>1.63</v>
      </c>
      <c r="P1330" s="1">
        <f t="shared" si="501"/>
        <v>8.5889570552147257E-2</v>
      </c>
    </row>
    <row r="1331" spans="1:16" x14ac:dyDescent="0.3">
      <c r="E1331" s="657" t="s">
        <v>1082</v>
      </c>
      <c r="F1331" s="657"/>
      <c r="G1331" s="657"/>
      <c r="H1331" s="657"/>
      <c r="I1331" s="657"/>
      <c r="J1331" s="243">
        <v>0.05</v>
      </c>
      <c r="K1331" s="243">
        <v>3.3000000000000002E-2</v>
      </c>
      <c r="P1331" s="1">
        <f t="shared" si="501"/>
        <v>1.5151515151515151</v>
      </c>
    </row>
    <row r="1332" spans="1:16" x14ac:dyDescent="0.3">
      <c r="E1332" s="657" t="s">
        <v>792</v>
      </c>
      <c r="F1332" s="657"/>
      <c r="G1332" s="657"/>
      <c r="H1332" s="657"/>
      <c r="I1332" s="657"/>
      <c r="J1332" s="243"/>
      <c r="K1332" s="243"/>
      <c r="P1332" s="1">
        <f t="shared" si="501"/>
        <v>0</v>
      </c>
    </row>
    <row r="1333" spans="1:16" x14ac:dyDescent="0.3">
      <c r="E1333" s="657" t="s">
        <v>694</v>
      </c>
      <c r="F1333" s="657"/>
      <c r="G1333" s="657"/>
      <c r="H1333" s="657"/>
      <c r="I1333" s="657"/>
      <c r="J1333" s="243">
        <v>0.1</v>
      </c>
      <c r="K1333" s="250">
        <v>2</v>
      </c>
      <c r="P1333" s="1">
        <f t="shared" si="501"/>
        <v>0.05</v>
      </c>
    </row>
    <row r="1334" spans="1:16" x14ac:dyDescent="0.3">
      <c r="E1334" s="657" t="s">
        <v>695</v>
      </c>
      <c r="F1334" s="657"/>
      <c r="G1334" s="657"/>
      <c r="H1334" s="657"/>
      <c r="I1334" s="657"/>
      <c r="J1334" s="243"/>
      <c r="K1334" s="243"/>
      <c r="P1334" s="1">
        <f t="shared" si="501"/>
        <v>0</v>
      </c>
    </row>
    <row r="1335" spans="1:16" x14ac:dyDescent="0.3">
      <c r="E1335" s="239"/>
      <c r="F1335" s="239"/>
      <c r="G1335" s="239"/>
      <c r="H1335" s="242"/>
      <c r="I1335" s="248" t="s">
        <v>793</v>
      </c>
      <c r="J1335" s="707">
        <f>SUM(P1328:P1334)</f>
        <v>1.6720591481010352</v>
      </c>
      <c r="K1335" s="708"/>
      <c r="L1335" s="244"/>
      <c r="M1335" s="361"/>
    </row>
    <row r="1337" spans="1:16" x14ac:dyDescent="0.3">
      <c r="A1337" s="586" t="s">
        <v>771</v>
      </c>
      <c r="B1337" s="586"/>
      <c r="C1337" s="586"/>
      <c r="D1337" s="586"/>
      <c r="E1337" s="586"/>
      <c r="F1337" s="586"/>
      <c r="G1337" s="586"/>
      <c r="H1337" s="586"/>
      <c r="I1337" s="586"/>
      <c r="J1337" s="586"/>
      <c r="K1337" s="586"/>
      <c r="L1337" s="586"/>
      <c r="M1337" s="339"/>
    </row>
    <row r="1338" spans="1:16" x14ac:dyDescent="0.3">
      <c r="E1338" s="569" t="s">
        <v>392</v>
      </c>
      <c r="F1338" s="569"/>
      <c r="G1338" s="569"/>
      <c r="H1338" s="569"/>
      <c r="I1338" s="566"/>
      <c r="J1338" s="246" t="s">
        <v>393</v>
      </c>
      <c r="K1338" s="246" t="s">
        <v>394</v>
      </c>
    </row>
    <row r="1339" spans="1:16" x14ac:dyDescent="0.3">
      <c r="E1339" s="569"/>
      <c r="F1339" s="569"/>
      <c r="G1339" s="569"/>
      <c r="H1339" s="569"/>
      <c r="I1339" s="566"/>
      <c r="J1339" s="247" t="s">
        <v>883</v>
      </c>
      <c r="K1339" s="247" t="s">
        <v>395</v>
      </c>
    </row>
    <row r="1340" spans="1:16" x14ac:dyDescent="0.3">
      <c r="E1340" s="657" t="s">
        <v>773</v>
      </c>
      <c r="F1340" s="657"/>
      <c r="G1340" s="657"/>
      <c r="H1340" s="657"/>
      <c r="I1340" s="657"/>
      <c r="J1340" s="243">
        <v>1E-3</v>
      </c>
      <c r="K1340" s="243">
        <v>0.19</v>
      </c>
      <c r="P1340" s="1">
        <f t="shared" ref="P1340:P1345" si="502">IF(K1340=0,0,J1340/K1340)</f>
        <v>5.263157894736842E-3</v>
      </c>
    </row>
    <row r="1341" spans="1:16" x14ac:dyDescent="0.3">
      <c r="E1341" s="657" t="s">
        <v>207</v>
      </c>
      <c r="F1341" s="657"/>
      <c r="G1341" s="657"/>
      <c r="H1341" s="657"/>
      <c r="I1341" s="657"/>
      <c r="J1341" s="243">
        <v>0.05</v>
      </c>
      <c r="K1341" s="243">
        <v>3.3000000000000002E-2</v>
      </c>
      <c r="P1341" s="1">
        <f t="shared" si="502"/>
        <v>1.5151515151515151</v>
      </c>
    </row>
    <row r="1342" spans="1:16" x14ac:dyDescent="0.3">
      <c r="E1342" s="657" t="s">
        <v>871</v>
      </c>
      <c r="F1342" s="657"/>
      <c r="G1342" s="657"/>
      <c r="H1342" s="657"/>
      <c r="I1342" s="657"/>
      <c r="J1342" s="243">
        <v>0.3</v>
      </c>
      <c r="K1342" s="243">
        <v>1.63</v>
      </c>
      <c r="P1342" s="1">
        <f>IF(K1342=0,0,J1342/K1342)</f>
        <v>0.18404907975460122</v>
      </c>
    </row>
    <row r="1343" spans="1:16" hidden="1" x14ac:dyDescent="0.3">
      <c r="E1343" s="657"/>
      <c r="F1343" s="657"/>
      <c r="G1343" s="657"/>
      <c r="H1343" s="657"/>
      <c r="I1343" s="657"/>
      <c r="J1343" s="243"/>
      <c r="K1343" s="243"/>
      <c r="P1343" s="1">
        <f t="shared" si="502"/>
        <v>0</v>
      </c>
    </row>
    <row r="1344" spans="1:16" x14ac:dyDescent="0.3">
      <c r="E1344" s="657" t="s">
        <v>872</v>
      </c>
      <c r="F1344" s="657"/>
      <c r="G1344" s="657"/>
      <c r="H1344" s="657"/>
      <c r="I1344" s="657"/>
      <c r="J1344" s="243">
        <v>0.01</v>
      </c>
      <c r="K1344" s="250">
        <v>0.7</v>
      </c>
      <c r="P1344" s="1">
        <f t="shared" si="502"/>
        <v>1.4285714285714287E-2</v>
      </c>
    </row>
    <row r="1345" spans="1:19" hidden="1" x14ac:dyDescent="0.3">
      <c r="E1345" s="657"/>
      <c r="F1345" s="657"/>
      <c r="G1345" s="657"/>
      <c r="H1345" s="657"/>
      <c r="I1345" s="657"/>
      <c r="J1345" s="243"/>
      <c r="K1345" s="243"/>
      <c r="P1345" s="1">
        <f t="shared" si="502"/>
        <v>0</v>
      </c>
      <c r="S1345" s="133">
        <f>0.13+J1346+0.04</f>
        <v>1.8887494670865674</v>
      </c>
    </row>
    <row r="1346" spans="1:19" x14ac:dyDescent="0.3">
      <c r="E1346" s="239"/>
      <c r="F1346" s="239"/>
      <c r="G1346" s="239"/>
      <c r="H1346" s="242"/>
      <c r="I1346" s="248" t="s">
        <v>793</v>
      </c>
      <c r="J1346" s="707">
        <f>SUM(P1340:P1345)</f>
        <v>1.7187494670865675</v>
      </c>
      <c r="K1346" s="708"/>
      <c r="L1346" s="244"/>
      <c r="M1346" s="361"/>
    </row>
    <row r="1348" spans="1:19" x14ac:dyDescent="0.3">
      <c r="A1348" s="586" t="s">
        <v>277</v>
      </c>
      <c r="B1348" s="586"/>
      <c r="C1348" s="586"/>
      <c r="D1348" s="586"/>
      <c r="E1348" s="586"/>
      <c r="F1348" s="586"/>
      <c r="G1348" s="589"/>
      <c r="H1348" s="589"/>
      <c r="I1348" s="589"/>
      <c r="J1348" s="589"/>
      <c r="K1348" s="45" t="s">
        <v>895</v>
      </c>
      <c r="L1348" s="56">
        <f>N162</f>
        <v>1E-41</v>
      </c>
      <c r="M1348" s="352"/>
      <c r="O1348" s="45" t="s">
        <v>895</v>
      </c>
      <c r="P1348" s="56">
        <f>L1348</f>
        <v>1E-41</v>
      </c>
    </row>
    <row r="1349" spans="1:19" x14ac:dyDescent="0.3">
      <c r="A1349" s="586" t="s">
        <v>278</v>
      </c>
      <c r="B1349" s="586"/>
      <c r="C1349" s="586"/>
      <c r="D1349" s="586"/>
      <c r="E1349" s="586"/>
      <c r="F1349" s="586"/>
      <c r="G1349" s="589"/>
      <c r="H1349" s="589"/>
      <c r="I1349" s="589"/>
      <c r="J1349" s="589"/>
      <c r="K1349" s="45" t="s">
        <v>896</v>
      </c>
      <c r="L1349" s="56">
        <f>N161</f>
        <v>1E-41</v>
      </c>
      <c r="M1349" s="352"/>
      <c r="O1349" s="45" t="s">
        <v>896</v>
      </c>
      <c r="P1349" s="56">
        <f>L1349</f>
        <v>1E-41</v>
      </c>
    </row>
    <row r="1350" spans="1:19" x14ac:dyDescent="0.3">
      <c r="A1350" s="586" t="s">
        <v>279</v>
      </c>
      <c r="B1350" s="586"/>
      <c r="C1350" s="586"/>
      <c r="D1350" s="586"/>
      <c r="E1350" s="586"/>
      <c r="F1350" s="586"/>
      <c r="G1350" s="589"/>
      <c r="H1350" s="589"/>
      <c r="I1350" s="589"/>
      <c r="J1350" s="589"/>
      <c r="K1350" s="45" t="s">
        <v>1028</v>
      </c>
      <c r="L1350" s="57">
        <f>N169</f>
        <v>1E-41</v>
      </c>
      <c r="M1350" s="352"/>
      <c r="O1350" s="45" t="s">
        <v>1028</v>
      </c>
      <c r="P1350" s="56">
        <f>L1350</f>
        <v>1E-41</v>
      </c>
    </row>
    <row r="1351" spans="1:19" x14ac:dyDescent="0.3">
      <c r="A1351" s="586" t="s">
        <v>335</v>
      </c>
      <c r="B1351" s="586"/>
      <c r="C1351" s="586"/>
      <c r="D1351" s="586"/>
      <c r="E1351" s="586"/>
      <c r="F1351" s="586"/>
      <c r="G1351" s="589"/>
      <c r="H1351" s="589"/>
      <c r="I1351" s="589"/>
      <c r="J1351" s="589"/>
      <c r="K1351" s="45" t="s">
        <v>1029</v>
      </c>
      <c r="L1351" s="57">
        <f>N171</f>
        <v>1E-41</v>
      </c>
      <c r="M1351" s="352"/>
      <c r="O1351" s="45" t="s">
        <v>1029</v>
      </c>
      <c r="P1351" s="56">
        <f>L1351</f>
        <v>1E-41</v>
      </c>
    </row>
    <row r="1352" spans="1:19" x14ac:dyDescent="0.3">
      <c r="A1352" s="586" t="s">
        <v>332</v>
      </c>
      <c r="B1352" s="586"/>
      <c r="C1352" s="586"/>
      <c r="D1352" s="586"/>
      <c r="E1352" s="586"/>
      <c r="F1352" s="586"/>
      <c r="G1352" s="589"/>
      <c r="H1352" s="589"/>
      <c r="I1352" s="589"/>
      <c r="J1352" s="589"/>
      <c r="K1352" s="45" t="s">
        <v>336</v>
      </c>
      <c r="L1352" s="57">
        <f>SUM(J1155:J1159)</f>
        <v>0.38</v>
      </c>
      <c r="M1352" s="352"/>
      <c r="O1352" s="45" t="s">
        <v>336</v>
      </c>
      <c r="P1352" s="56">
        <f>L1352</f>
        <v>0.38</v>
      </c>
    </row>
    <row r="1353" spans="1:19" x14ac:dyDescent="0.3">
      <c r="A1353" s="586" t="s">
        <v>280</v>
      </c>
      <c r="B1353" s="586"/>
      <c r="C1353" s="586"/>
      <c r="D1353" s="586"/>
      <c r="E1353" s="586"/>
      <c r="F1353" s="586"/>
      <c r="G1353" s="5"/>
      <c r="H1353" s="5"/>
      <c r="I1353" s="5"/>
      <c r="K1353" s="45" t="s">
        <v>897</v>
      </c>
      <c r="L1353" s="55">
        <f>L1348/(0.5*L1349)</f>
        <v>2</v>
      </c>
      <c r="M1353" s="99"/>
      <c r="O1353" s="45" t="s">
        <v>897</v>
      </c>
      <c r="P1353" s="55">
        <f>P1348/(0.5*P1349)</f>
        <v>2</v>
      </c>
    </row>
    <row r="1354" spans="1:19" x14ac:dyDescent="0.3">
      <c r="A1354" s="36"/>
      <c r="B1354" s="36"/>
      <c r="C1354" s="36"/>
      <c r="D1354" s="36"/>
      <c r="E1354" s="36"/>
      <c r="F1354" s="36"/>
      <c r="G1354" s="5"/>
      <c r="H1354" s="5"/>
      <c r="I1354" s="5"/>
      <c r="K1354" s="45"/>
      <c r="L1354" s="55"/>
      <c r="M1354" s="99"/>
      <c r="O1354" s="45"/>
      <c r="P1354" s="55"/>
    </row>
    <row r="1355" spans="1:19" ht="18.600000000000001" x14ac:dyDescent="0.4">
      <c r="A1355" s="586" t="s">
        <v>1047</v>
      </c>
      <c r="B1355" s="586"/>
      <c r="C1355" s="586"/>
      <c r="D1355" s="586"/>
      <c r="E1355" s="586"/>
      <c r="F1355" s="586"/>
      <c r="G1355" s="7"/>
      <c r="H1355" s="7"/>
      <c r="I1355" s="7"/>
      <c r="K1355" s="45" t="s">
        <v>1048</v>
      </c>
      <c r="L1355" s="56">
        <f>L1352+2*(0.17+J1335+0.04)</f>
        <v>4.1441182962020706</v>
      </c>
      <c r="M1355" s="352"/>
      <c r="O1355" s="45" t="s">
        <v>1048</v>
      </c>
      <c r="P1355" s="56">
        <f>P1352+2*(0.17+N1335+0.04)</f>
        <v>0.8</v>
      </c>
    </row>
    <row r="1356" spans="1:19" ht="18.600000000000001" x14ac:dyDescent="0.4">
      <c r="C1356" s="586" t="s">
        <v>385</v>
      </c>
      <c r="D1356" s="586"/>
      <c r="E1356" s="586"/>
      <c r="F1356" s="586"/>
      <c r="G1356" s="586"/>
      <c r="H1356" s="586"/>
      <c r="I1356" s="7"/>
      <c r="K1356" s="45"/>
      <c r="L1356" s="56"/>
      <c r="M1356" s="352"/>
      <c r="O1356" s="45"/>
      <c r="P1356" s="56"/>
    </row>
    <row r="1357" spans="1:19" ht="18.600000000000001" x14ac:dyDescent="0.4">
      <c r="A1357" s="586" t="s">
        <v>1038</v>
      </c>
      <c r="B1357" s="586"/>
      <c r="C1357" s="586"/>
      <c r="D1357" s="586"/>
      <c r="E1357" s="586"/>
      <c r="F1357" s="586"/>
      <c r="G1357"/>
      <c r="K1357" s="45" t="s">
        <v>1040</v>
      </c>
      <c r="L1357" s="56">
        <f>2*(0.13+J1346+0.04)</f>
        <v>3.7774989341731349</v>
      </c>
      <c r="M1357" s="352"/>
      <c r="O1357" s="45" t="s">
        <v>1040</v>
      </c>
      <c r="P1357" s="56">
        <f>2*(0.13+N1346+0.04)</f>
        <v>0.34</v>
      </c>
    </row>
    <row r="1358" spans="1:19" ht="19.8" x14ac:dyDescent="0.4">
      <c r="A1358" s="637" t="s">
        <v>1039</v>
      </c>
      <c r="B1358" s="637"/>
      <c r="C1358" s="637"/>
      <c r="D1358" s="637"/>
      <c r="E1358" s="637"/>
      <c r="F1358" s="637"/>
      <c r="G1358" s="651"/>
      <c r="H1358" s="651"/>
      <c r="I1358" s="716"/>
      <c r="J1358" s="589"/>
      <c r="K1358" s="19" t="s">
        <v>1052</v>
      </c>
      <c r="L1358" s="63">
        <f>IF(L1357&lt;L1355,((2*2)/(3.14*L1350))*(1+(0.5*L1357)/(L1357+L1350))*LN(L1350/L1357+1),((2*2)/(3.14*L1350))*(1+(0.5*L1355)/(L1355+L1350))*LN(L1350/L1357+1))</f>
        <v>0</v>
      </c>
      <c r="M1358" s="363"/>
      <c r="O1358" s="19" t="s">
        <v>1052</v>
      </c>
      <c r="P1358" s="63">
        <f>1/(0.17+2.05+0.17)</f>
        <v>0.41841004184100422</v>
      </c>
    </row>
    <row r="1359" spans="1:19" x14ac:dyDescent="0.3">
      <c r="P1359" s="24"/>
    </row>
    <row r="1360" spans="1:19" ht="20.399999999999999" x14ac:dyDescent="0.45">
      <c r="A1360" s="720" t="s">
        <v>1041</v>
      </c>
      <c r="B1360" s="589"/>
      <c r="C1360"/>
      <c r="P1360" s="24"/>
    </row>
    <row r="1361" spans="1:16" x14ac:dyDescent="0.3">
      <c r="P1361" s="24"/>
    </row>
    <row r="1362" spans="1:16" x14ac:dyDescent="0.3">
      <c r="P1362" s="24"/>
    </row>
    <row r="1363" spans="1:16" ht="20.399999999999999" x14ac:dyDescent="0.45">
      <c r="A1363" s="720" t="s">
        <v>1042</v>
      </c>
      <c r="B1363" s="589"/>
      <c r="C1363"/>
      <c r="P1363" s="24"/>
    </row>
    <row r="1364" spans="1:16" x14ac:dyDescent="0.3">
      <c r="P1364" s="24"/>
    </row>
    <row r="1365" spans="1:16" ht="19.8" x14ac:dyDescent="0.4">
      <c r="A1365" s="637" t="s">
        <v>1043</v>
      </c>
      <c r="B1365" s="637"/>
      <c r="C1365" s="637"/>
      <c r="D1365" s="637"/>
      <c r="E1365" s="637"/>
      <c r="F1365" s="637"/>
      <c r="G1365" s="651"/>
      <c r="H1365" s="651"/>
      <c r="I1365" s="716"/>
      <c r="K1365" s="19" t="s">
        <v>1053</v>
      </c>
      <c r="L1365" s="63">
        <f>IF((L1355+0.5*L1350)&lt;L1353,((2*2)/(3.14*L1353+L1355+0.5*L1350))*LN((3.14*L1353)/(L1355+0.5*L1350)+1),2/(0.457*L1353+L1355+0.5*L1350))</f>
        <v>0.39540395911691439</v>
      </c>
      <c r="M1365" s="363"/>
      <c r="O1365" s="19" t="s">
        <v>1053</v>
      </c>
      <c r="P1365" s="63">
        <f>1/(0.17+2.29+0.17)</f>
        <v>0.38022813688212931</v>
      </c>
    </row>
    <row r="1366" spans="1:16" x14ac:dyDescent="0.3">
      <c r="P1366" s="24"/>
    </row>
    <row r="1367" spans="1:16" ht="20.399999999999999" x14ac:dyDescent="0.45">
      <c r="A1367" s="720" t="s">
        <v>1044</v>
      </c>
      <c r="B1367" s="589"/>
      <c r="D1367"/>
      <c r="P1367" s="24"/>
    </row>
    <row r="1368" spans="1:16" x14ac:dyDescent="0.3">
      <c r="P1368" s="24"/>
    </row>
    <row r="1369" spans="1:16" x14ac:dyDescent="0.3">
      <c r="P1369" s="24"/>
    </row>
    <row r="1370" spans="1:16" ht="20.399999999999999" x14ac:dyDescent="0.45">
      <c r="A1370" s="720" t="s">
        <v>1045</v>
      </c>
      <c r="B1370" s="589"/>
      <c r="D1370"/>
      <c r="P1370" s="24"/>
    </row>
    <row r="1371" spans="1:16" x14ac:dyDescent="0.3">
      <c r="P1371" s="24"/>
    </row>
    <row r="1372" spans="1:16" x14ac:dyDescent="0.3">
      <c r="A1372" s="586" t="s">
        <v>337</v>
      </c>
      <c r="B1372" s="586"/>
      <c r="C1372" s="586"/>
      <c r="D1372" s="586"/>
      <c r="E1372" s="586"/>
      <c r="F1372" s="586"/>
      <c r="G1372" s="589"/>
      <c r="H1372" s="589"/>
      <c r="I1372" s="589"/>
      <c r="J1372" s="589"/>
      <c r="K1372" s="662" t="s">
        <v>343</v>
      </c>
      <c r="L1372" s="706">
        <v>0</v>
      </c>
      <c r="M1372" s="365"/>
      <c r="O1372" s="662" t="s">
        <v>343</v>
      </c>
      <c r="P1372" s="706">
        <f>L1372</f>
        <v>0</v>
      </c>
    </row>
    <row r="1373" spans="1:16" ht="18" x14ac:dyDescent="0.3">
      <c r="A1373" s="586" t="s">
        <v>342</v>
      </c>
      <c r="B1373" s="586"/>
      <c r="C1373" s="586"/>
      <c r="D1373" s="586"/>
      <c r="E1373" s="586"/>
      <c r="F1373" s="586"/>
      <c r="G1373" s="589"/>
      <c r="H1373" s="589"/>
      <c r="I1373" s="589"/>
      <c r="J1373" s="589"/>
      <c r="K1373" s="662"/>
      <c r="L1373" s="706"/>
      <c r="M1373" s="365"/>
      <c r="O1373" s="662"/>
      <c r="P1373" s="706"/>
    </row>
    <row r="1374" spans="1:16" x14ac:dyDescent="0.3">
      <c r="A1374" s="586" t="s">
        <v>344</v>
      </c>
      <c r="B1374" s="586"/>
      <c r="C1374" s="586"/>
      <c r="D1374" s="586"/>
      <c r="E1374" s="586"/>
      <c r="F1374" s="586"/>
      <c r="G1374" s="589"/>
      <c r="H1374" s="589"/>
      <c r="I1374" s="589"/>
      <c r="J1374" s="589"/>
      <c r="K1374" s="123" t="s">
        <v>345</v>
      </c>
      <c r="L1374" s="388">
        <v>3.9</v>
      </c>
      <c r="M1374" s="365"/>
      <c r="O1374" s="123" t="s">
        <v>345</v>
      </c>
      <c r="P1374" s="388">
        <f>L1374</f>
        <v>3.9</v>
      </c>
    </row>
    <row r="1375" spans="1:16" x14ac:dyDescent="0.3">
      <c r="A1375" s="586" t="s">
        <v>369</v>
      </c>
      <c r="B1375" s="586"/>
      <c r="C1375" s="586"/>
      <c r="D1375" s="586"/>
      <c r="E1375" s="586"/>
      <c r="F1375" s="586"/>
      <c r="G1375" s="589"/>
      <c r="H1375" s="589"/>
      <c r="I1375" s="589"/>
      <c r="J1375" s="589"/>
      <c r="K1375" s="662" t="s">
        <v>371</v>
      </c>
      <c r="L1375" s="706">
        <v>0.05</v>
      </c>
      <c r="M1375" s="365"/>
      <c r="O1375" s="662" t="s">
        <v>371</v>
      </c>
      <c r="P1375" s="706">
        <f>L1375</f>
        <v>0.05</v>
      </c>
    </row>
    <row r="1376" spans="1:16" x14ac:dyDescent="0.3">
      <c r="A1376" s="586" t="s">
        <v>370</v>
      </c>
      <c r="B1376" s="586"/>
      <c r="C1376" s="586"/>
      <c r="D1376" s="586"/>
      <c r="E1376" s="586"/>
      <c r="F1376" s="586"/>
      <c r="G1376" s="589"/>
      <c r="H1376" s="589"/>
      <c r="I1376" s="589"/>
      <c r="J1376" s="589"/>
      <c r="K1376" s="662"/>
      <c r="L1376" s="706"/>
      <c r="M1376" s="365"/>
      <c r="O1376" s="662"/>
      <c r="P1376" s="706"/>
    </row>
    <row r="1377" spans="1:16" x14ac:dyDescent="0.3">
      <c r="L1377" s="126"/>
      <c r="M1377" s="366"/>
      <c r="P1377" s="126"/>
    </row>
    <row r="1378" spans="1:16" x14ac:dyDescent="0.3">
      <c r="A1378" s="586" t="s">
        <v>372</v>
      </c>
      <c r="B1378" s="586"/>
      <c r="C1378" s="586"/>
      <c r="D1378" s="586"/>
      <c r="E1378" s="586"/>
      <c r="F1378" s="586"/>
      <c r="G1378" s="589"/>
      <c r="H1378" s="589"/>
      <c r="I1378" s="589"/>
      <c r="J1378" s="589"/>
      <c r="K1378" s="635" t="s">
        <v>374</v>
      </c>
      <c r="L1378" s="704">
        <f>2*((L1351*L1162)/L1353)+1450*((L1372*L1374*L1375)/L1353)</f>
        <v>2.4821613270047677E-42</v>
      </c>
      <c r="M1378" s="367"/>
      <c r="O1378" s="635" t="s">
        <v>374</v>
      </c>
      <c r="P1378" s="704">
        <f>2*((P1351*P1162)/P1353)+1450*((P1372*P1374*P1375)/P1353)</f>
        <v>0</v>
      </c>
    </row>
    <row r="1379" spans="1:16" x14ac:dyDescent="0.3">
      <c r="A1379" s="586" t="s">
        <v>373</v>
      </c>
      <c r="B1379" s="586"/>
      <c r="C1379" s="586"/>
      <c r="D1379" s="586"/>
      <c r="E1379" s="586"/>
      <c r="F1379" s="586"/>
      <c r="G1379" s="589"/>
      <c r="H1379" s="589"/>
      <c r="I1379" s="589"/>
      <c r="J1379" s="589"/>
      <c r="K1379" s="636"/>
      <c r="L1379" s="636"/>
      <c r="M1379" s="355"/>
      <c r="O1379" s="636"/>
      <c r="P1379" s="636"/>
    </row>
    <row r="1380" spans="1:16" x14ac:dyDescent="0.3">
      <c r="D1380"/>
      <c r="L1380" s="126"/>
      <c r="M1380" s="366"/>
      <c r="P1380" s="126"/>
    </row>
    <row r="1381" spans="1:16" x14ac:dyDescent="0.3">
      <c r="L1381" s="126"/>
      <c r="M1381" s="366"/>
      <c r="P1381" s="126"/>
    </row>
    <row r="1382" spans="1:16" x14ac:dyDescent="0.3">
      <c r="L1382" s="126"/>
      <c r="M1382" s="366"/>
      <c r="P1382" s="126"/>
    </row>
    <row r="1383" spans="1:16" ht="19.8" x14ac:dyDescent="0.3">
      <c r="A1383" s="586" t="s">
        <v>376</v>
      </c>
      <c r="B1383" s="586"/>
      <c r="C1383" s="586"/>
      <c r="D1383" s="586"/>
      <c r="E1383" s="586"/>
      <c r="F1383" s="586"/>
      <c r="G1383" s="589"/>
      <c r="H1383" s="589"/>
      <c r="I1383" s="589"/>
      <c r="J1383" s="589"/>
      <c r="K1383" s="124" t="s">
        <v>375</v>
      </c>
      <c r="L1383" s="245">
        <f>((2*2)/(3.14*L1353+L1355))*LN(((3.14*L1353)/L1355)+1)</f>
        <v>0.35396073262513633</v>
      </c>
      <c r="M1383" s="364"/>
      <c r="O1383" s="124" t="s">
        <v>375</v>
      </c>
      <c r="P1383" s="245">
        <f>((2*2)/(3.14*P1353+P1355))*LN(((3.14*P1353)/P1355)+1)</f>
        <v>1.2318742706326768</v>
      </c>
    </row>
    <row r="1384" spans="1:16" x14ac:dyDescent="0.3">
      <c r="A1384" s="36"/>
      <c r="B1384" s="36"/>
      <c r="C1384" s="36"/>
      <c r="D1384" s="36"/>
      <c r="E1384" s="36"/>
      <c r="F1384" s="36"/>
      <c r="G1384" s="14"/>
      <c r="H1384" s="14"/>
      <c r="I1384" s="14"/>
      <c r="J1384" s="14"/>
      <c r="K1384" s="124"/>
      <c r="L1384" s="125"/>
      <c r="M1384" s="367"/>
      <c r="O1384" s="124"/>
      <c r="P1384" s="125"/>
    </row>
    <row r="1385" spans="1:16" x14ac:dyDescent="0.3">
      <c r="A1385" s="36"/>
      <c r="B1385" s="36"/>
      <c r="C1385" s="36"/>
      <c r="D1385"/>
      <c r="E1385" s="36"/>
      <c r="F1385" s="36"/>
      <c r="G1385" s="14"/>
      <c r="H1385" s="14"/>
      <c r="I1385" s="14"/>
      <c r="J1385" s="14"/>
      <c r="K1385" s="124"/>
      <c r="L1385" s="125"/>
      <c r="M1385" s="367"/>
      <c r="O1385" s="124"/>
      <c r="P1385" s="125"/>
    </row>
    <row r="1386" spans="1:16" x14ac:dyDescent="0.3">
      <c r="A1386" s="36"/>
      <c r="B1386" s="36"/>
      <c r="C1386" s="36"/>
      <c r="D1386" s="36"/>
      <c r="E1386" s="36"/>
      <c r="F1386" s="36"/>
      <c r="G1386" s="14"/>
      <c r="H1386" s="14"/>
      <c r="I1386" s="14"/>
      <c r="J1386" s="14"/>
      <c r="K1386" s="124"/>
      <c r="L1386" s="125"/>
      <c r="M1386" s="367"/>
      <c r="O1386" s="124"/>
      <c r="P1386" s="125"/>
    </row>
    <row r="1387" spans="1:16" x14ac:dyDescent="0.3">
      <c r="A1387" s="36"/>
      <c r="B1387" s="36"/>
      <c r="C1387" s="36"/>
      <c r="D1387" s="36"/>
      <c r="E1387" s="36"/>
      <c r="F1387" s="36"/>
      <c r="G1387" s="14"/>
      <c r="H1387" s="14"/>
      <c r="I1387" s="14"/>
      <c r="J1387" s="14"/>
      <c r="K1387" s="124"/>
      <c r="L1387" s="125"/>
      <c r="M1387" s="367"/>
      <c r="O1387" s="124"/>
      <c r="P1387" s="125"/>
    </row>
    <row r="1388" spans="1:16" x14ac:dyDescent="0.3">
      <c r="A1388" s="586" t="s">
        <v>377</v>
      </c>
      <c r="B1388" s="586"/>
      <c r="C1388" s="586"/>
      <c r="D1388" s="586"/>
      <c r="E1388" s="586"/>
      <c r="F1388" s="586"/>
      <c r="G1388" s="589"/>
      <c r="H1388" s="589"/>
      <c r="I1388" s="589"/>
      <c r="J1388" s="589"/>
      <c r="K1388" s="589"/>
      <c r="L1388" s="589"/>
      <c r="M1388" s="199"/>
    </row>
    <row r="1389" spans="1:16" x14ac:dyDescent="0.3">
      <c r="A1389" s="586" t="s">
        <v>378</v>
      </c>
      <c r="B1389" s="586"/>
      <c r="C1389" s="586"/>
      <c r="D1389" s="586"/>
      <c r="E1389" s="586"/>
      <c r="F1389" s="586"/>
      <c r="G1389" s="589"/>
      <c r="H1389" s="589"/>
      <c r="I1389" s="589"/>
      <c r="J1389" s="589"/>
      <c r="K1389" s="589"/>
      <c r="L1389" s="589"/>
      <c r="M1389" s="199"/>
    </row>
    <row r="1391" spans="1:16" x14ac:dyDescent="0.3">
      <c r="A1391" s="586" t="s">
        <v>379</v>
      </c>
      <c r="B1391" s="586"/>
      <c r="C1391" s="586"/>
      <c r="D1391" s="586"/>
      <c r="E1391" s="586"/>
      <c r="F1391" s="586"/>
      <c r="G1391" s="589"/>
      <c r="H1391" s="589"/>
      <c r="I1391" s="589"/>
      <c r="J1391" s="589"/>
      <c r="K1391" s="635" t="s">
        <v>375</v>
      </c>
      <c r="L1391" s="681">
        <f>L1365+(L1350*L1349*L1358)/L1348</f>
        <v>0.39540395911691439</v>
      </c>
      <c r="M1391" s="364"/>
      <c r="O1391" s="635" t="s">
        <v>375</v>
      </c>
      <c r="P1391" s="681">
        <f>P1365+(P1350*P1349*P1358)/P1348</f>
        <v>0.38022813688212931</v>
      </c>
    </row>
    <row r="1392" spans="1:16" x14ac:dyDescent="0.3">
      <c r="A1392" s="586" t="s">
        <v>380</v>
      </c>
      <c r="B1392" s="586"/>
      <c r="C1392" s="586"/>
      <c r="D1392" s="586"/>
      <c r="E1392" s="586"/>
      <c r="F1392" s="586"/>
      <c r="G1392" s="589"/>
      <c r="H1392" s="589"/>
      <c r="I1392" s="589"/>
      <c r="J1392" s="589"/>
      <c r="K1392" s="636"/>
      <c r="L1392" s="682"/>
      <c r="M1392" s="362"/>
      <c r="O1392" s="636"/>
      <c r="P1392" s="682"/>
    </row>
    <row r="1393" spans="1:16" x14ac:dyDescent="0.3">
      <c r="A1393" s="36"/>
      <c r="B1393" s="36"/>
      <c r="C1393" s="36"/>
      <c r="D1393"/>
      <c r="E1393" s="36"/>
      <c r="F1393" s="36"/>
      <c r="G1393" s="14"/>
      <c r="H1393" s="14"/>
      <c r="I1393" s="14"/>
      <c r="J1393" s="14"/>
      <c r="K1393" s="66"/>
      <c r="L1393" s="66"/>
      <c r="M1393" s="355"/>
    </row>
    <row r="1394" spans="1:16" x14ac:dyDescent="0.3">
      <c r="A1394" s="36"/>
      <c r="B1394" s="36"/>
      <c r="C1394" s="36"/>
      <c r="D1394" s="36"/>
      <c r="E1394" s="36"/>
      <c r="F1394" s="36"/>
      <c r="G1394" s="14"/>
      <c r="H1394" s="14"/>
      <c r="I1394" s="14"/>
      <c r="J1394" s="14"/>
      <c r="K1394" s="66"/>
      <c r="L1394" s="66"/>
      <c r="M1394" s="355"/>
    </row>
    <row r="1395" spans="1:16" x14ac:dyDescent="0.3">
      <c r="A1395" s="36"/>
      <c r="B1395" s="36"/>
      <c r="C1395" s="36"/>
      <c r="D1395" s="36"/>
      <c r="E1395" s="36"/>
      <c r="F1395" s="36"/>
      <c r="G1395" s="14"/>
      <c r="H1395" s="14"/>
      <c r="I1395" s="14"/>
      <c r="J1395" s="14"/>
      <c r="K1395" s="66"/>
      <c r="L1395" s="66"/>
      <c r="M1395" s="355"/>
    </row>
    <row r="1396" spans="1:16" x14ac:dyDescent="0.3">
      <c r="A1396" s="586" t="s">
        <v>382</v>
      </c>
      <c r="B1396" s="586"/>
      <c r="C1396" s="586"/>
      <c r="D1396" s="586"/>
      <c r="E1396" s="586"/>
      <c r="F1396" s="586"/>
      <c r="G1396" s="589"/>
      <c r="H1396" s="589"/>
      <c r="I1396" s="589"/>
      <c r="J1396" s="589"/>
      <c r="K1396" s="589"/>
      <c r="L1396" s="589"/>
      <c r="M1396" s="199"/>
    </row>
    <row r="1397" spans="1:16" x14ac:dyDescent="0.3">
      <c r="A1397" s="586" t="s">
        <v>383</v>
      </c>
      <c r="B1397" s="586"/>
      <c r="C1397" s="586"/>
      <c r="D1397" s="586"/>
      <c r="E1397" s="586"/>
      <c r="F1397" s="586"/>
      <c r="G1397" s="589"/>
      <c r="H1397" s="589"/>
      <c r="I1397" s="589"/>
      <c r="J1397" s="589"/>
      <c r="K1397" s="589"/>
      <c r="L1397" s="589"/>
      <c r="M1397" s="199"/>
    </row>
    <row r="1399" spans="1:16" x14ac:dyDescent="0.3">
      <c r="A1399" s="637" t="s">
        <v>775</v>
      </c>
      <c r="B1399" s="637"/>
      <c r="C1399" s="637"/>
      <c r="D1399" s="637"/>
      <c r="E1399" s="637"/>
      <c r="F1399" s="637"/>
      <c r="G1399" s="637"/>
      <c r="H1399" s="589"/>
      <c r="I1399" s="589"/>
      <c r="J1399" s="589"/>
      <c r="K1399" s="635" t="s">
        <v>951</v>
      </c>
      <c r="L1399" s="681">
        <f>IF(L1350&gt;0.5,L1391,L1383)</f>
        <v>0.35396073262513633</v>
      </c>
      <c r="M1399" s="364"/>
      <c r="O1399" s="635" t="s">
        <v>951</v>
      </c>
      <c r="P1399" s="681">
        <f>IF(P1350&gt;0.5,P1391,P1383)</f>
        <v>1.2318742706326768</v>
      </c>
    </row>
    <row r="1400" spans="1:16" x14ac:dyDescent="0.3">
      <c r="A1400" s="637" t="s">
        <v>776</v>
      </c>
      <c r="B1400" s="637"/>
      <c r="C1400" s="637"/>
      <c r="D1400" s="637"/>
      <c r="E1400" s="637"/>
      <c r="F1400" s="637"/>
      <c r="G1400" s="637"/>
      <c r="H1400" s="589"/>
      <c r="I1400" s="589"/>
      <c r="J1400" s="589"/>
      <c r="K1400" s="636"/>
      <c r="L1400" s="682"/>
      <c r="M1400" s="362"/>
      <c r="O1400" s="636"/>
      <c r="P1400" s="682"/>
    </row>
    <row r="1402" spans="1:16" ht="18" x14ac:dyDescent="0.35">
      <c r="A1402" s="714" t="s">
        <v>675</v>
      </c>
      <c r="B1402" s="714"/>
      <c r="C1402" s="714"/>
      <c r="D1402" s="714"/>
      <c r="E1402" s="714"/>
      <c r="F1402" s="714"/>
      <c r="G1402" s="714"/>
      <c r="H1402" s="714"/>
      <c r="I1402" s="714"/>
      <c r="J1402" s="714"/>
      <c r="K1402" s="714"/>
      <c r="L1402" s="715"/>
      <c r="M1402" s="370"/>
    </row>
    <row r="1403" spans="1:16" ht="18" x14ac:dyDescent="0.35">
      <c r="A1403" s="4"/>
      <c r="B1403" s="4"/>
      <c r="C1403" s="4"/>
      <c r="D1403" s="4"/>
      <c r="E1403" s="4"/>
      <c r="F1403" s="4"/>
      <c r="G1403" s="4"/>
      <c r="H1403" s="4"/>
      <c r="I1403" s="4"/>
      <c r="J1403" s="4"/>
      <c r="K1403" s="4"/>
      <c r="L1403" s="410"/>
      <c r="M1403" s="370"/>
    </row>
    <row r="1404" spans="1:16" x14ac:dyDescent="0.3">
      <c r="A1404" s="744" t="s">
        <v>432</v>
      </c>
      <c r="B1404" s="744"/>
      <c r="C1404" s="744"/>
      <c r="D1404" s="744"/>
      <c r="E1404" s="744"/>
      <c r="F1404" s="744"/>
      <c r="G1404" s="744"/>
      <c r="H1404" s="744"/>
      <c r="I1404" s="744"/>
      <c r="J1404" s="744"/>
      <c r="K1404" s="744"/>
      <c r="L1404" s="745"/>
      <c r="M1404" s="161"/>
    </row>
    <row r="1405" spans="1:16" x14ac:dyDescent="0.3">
      <c r="L1405" s="1"/>
      <c r="M1405" s="370"/>
    </row>
    <row r="1406" spans="1:16" x14ac:dyDescent="0.3">
      <c r="A1406" s="624" t="s">
        <v>684</v>
      </c>
      <c r="B1406" s="625" t="s">
        <v>685</v>
      </c>
      <c r="C1406" s="625"/>
      <c r="D1406" s="625" t="s">
        <v>691</v>
      </c>
      <c r="E1406" s="625"/>
      <c r="F1406" s="626"/>
      <c r="G1406" s="628" t="s">
        <v>686</v>
      </c>
      <c r="H1406" s="629"/>
      <c r="I1406" s="638" t="s">
        <v>620</v>
      </c>
      <c r="J1406" s="639"/>
      <c r="K1406" s="625" t="s">
        <v>687</v>
      </c>
      <c r="L1406" s="625"/>
      <c r="M1406" s="161"/>
    </row>
    <row r="1407" spans="1:16" x14ac:dyDescent="0.3">
      <c r="A1407" s="624"/>
      <c r="B1407" s="627"/>
      <c r="C1407" s="627"/>
      <c r="D1407" s="627"/>
      <c r="E1407" s="627"/>
      <c r="F1407" s="626"/>
      <c r="G1407" s="630"/>
      <c r="H1407" s="631"/>
      <c r="I1407" s="640"/>
      <c r="J1407" s="641"/>
      <c r="K1407" s="625"/>
      <c r="L1407" s="625"/>
      <c r="M1407" s="161"/>
    </row>
    <row r="1408" spans="1:16" x14ac:dyDescent="0.3">
      <c r="A1408" s="624"/>
      <c r="B1408" s="627"/>
      <c r="C1408" s="627"/>
      <c r="D1408" s="627"/>
      <c r="E1408" s="627"/>
      <c r="F1408" s="626"/>
      <c r="G1408" s="632"/>
      <c r="H1408" s="633"/>
      <c r="I1408" s="642"/>
      <c r="J1408" s="643"/>
      <c r="K1408" s="625"/>
      <c r="L1408" s="625"/>
      <c r="M1408" s="161"/>
    </row>
    <row r="1409" spans="1:20" x14ac:dyDescent="0.3">
      <c r="A1409" s="624"/>
      <c r="B1409" s="625" t="s">
        <v>950</v>
      </c>
      <c r="C1409" s="625"/>
      <c r="D1409" s="713" t="s">
        <v>688</v>
      </c>
      <c r="E1409" s="713"/>
      <c r="F1409" s="626"/>
      <c r="G1409" s="713" t="s">
        <v>688</v>
      </c>
      <c r="H1409" s="713"/>
      <c r="I1409" s="634" t="s">
        <v>395</v>
      </c>
      <c r="J1409" s="634"/>
      <c r="K1409" s="634" t="s">
        <v>689</v>
      </c>
      <c r="L1409" s="634"/>
      <c r="M1409" s="161"/>
    </row>
    <row r="1410" spans="1:20" x14ac:dyDescent="0.3">
      <c r="A1410" s="654">
        <f>IF(K1410&lt;0.1,0,1)</f>
        <v>0</v>
      </c>
      <c r="B1410" s="655" t="str">
        <f>B140</f>
        <v>покрив с въздушно пространство &gt; 30см</v>
      </c>
      <c r="C1410" s="656"/>
      <c r="D1410" s="653" t="str">
        <f>T1411</f>
        <v xml:space="preserve"> Топлоизолация дюшеци минерална вата</v>
      </c>
      <c r="E1410" s="568"/>
      <c r="F1410" s="568"/>
      <c r="G1410" s="933">
        <f>IF(J1066=0,J1072*1000,J1066*1000)</f>
        <v>120</v>
      </c>
      <c r="H1410" s="934"/>
      <c r="I1410" s="680">
        <f>IF(J1066=0,K1072,K1066)</f>
        <v>3.4000000000000002E-2</v>
      </c>
      <c r="J1410" s="568"/>
      <c r="K1410" s="689">
        <f>B145*1.2</f>
        <v>1.1999999999999999E-41</v>
      </c>
      <c r="L1410" s="689"/>
      <c r="M1410" s="161"/>
    </row>
    <row r="1411" spans="1:20" x14ac:dyDescent="0.3">
      <c r="A1411" s="654"/>
      <c r="B1411" s="656"/>
      <c r="C1411" s="656"/>
      <c r="D1411" s="568"/>
      <c r="E1411" s="568"/>
      <c r="F1411" s="568"/>
      <c r="G1411" s="934"/>
      <c r="H1411" s="934"/>
      <c r="I1411" s="568"/>
      <c r="J1411" s="568"/>
      <c r="K1411" s="689"/>
      <c r="L1411" s="689"/>
      <c r="M1411" s="161"/>
      <c r="P1411" s="1" t="str">
        <f>IF(J1066=0,E1072,E1066)</f>
        <v>1. Топлоизолация дюшеци минерална вата</v>
      </c>
      <c r="S1411" s="1">
        <f>LEN(P1411)</f>
        <v>38</v>
      </c>
      <c r="T1411" s="1" t="str">
        <f>MID(P1411,3,S1411)</f>
        <v xml:space="preserve"> Топлоизолация дюшеци минерална вата</v>
      </c>
    </row>
    <row r="1412" spans="1:20" x14ac:dyDescent="0.3">
      <c r="A1412" s="654">
        <f>IF(K1412&lt;0.1,A1410,A1410+1)</f>
        <v>0</v>
      </c>
      <c r="B1412" s="655" t="str">
        <f>C140</f>
        <v>покрив с въздпространство &lt; 30см</v>
      </c>
      <c r="C1412" s="656"/>
      <c r="D1412" s="653" t="str">
        <f>T1413</f>
        <v xml:space="preserve"> Топлоизолация XPS</v>
      </c>
      <c r="E1412" s="568"/>
      <c r="F1412" s="568"/>
      <c r="G1412" s="933">
        <f>J1126*1000</f>
        <v>120</v>
      </c>
      <c r="H1412" s="934"/>
      <c r="I1412" s="680">
        <f>K1126</f>
        <v>3.3000000000000002E-2</v>
      </c>
      <c r="J1412" s="568"/>
      <c r="K1412" s="689">
        <f>C145*1.2</f>
        <v>1.2E-22</v>
      </c>
      <c r="L1412" s="689"/>
      <c r="M1412" s="331"/>
    </row>
    <row r="1413" spans="1:20" x14ac:dyDescent="0.3">
      <c r="A1413" s="654"/>
      <c r="B1413" s="656"/>
      <c r="C1413" s="656"/>
      <c r="D1413" s="568"/>
      <c r="E1413" s="568"/>
      <c r="F1413" s="568"/>
      <c r="G1413" s="934"/>
      <c r="H1413" s="934"/>
      <c r="I1413" s="568"/>
      <c r="J1413" s="568"/>
      <c r="K1413" s="689"/>
      <c r="L1413" s="689"/>
      <c r="M1413" s="331"/>
      <c r="P1413" s="1" t="str">
        <f>E1126</f>
        <v>4. Топлоизолация XPS</v>
      </c>
      <c r="S1413" s="1">
        <f>LEN(P1413)</f>
        <v>20</v>
      </c>
      <c r="T1413" s="1" t="str">
        <f>MID(P1413,3,S1413)</f>
        <v xml:space="preserve"> Топлоизолация XPS</v>
      </c>
    </row>
    <row r="1414" spans="1:20" x14ac:dyDescent="0.3">
      <c r="A1414" s="654">
        <f>IF(K1414&lt;0.1,A1412,A1412+1)</f>
        <v>0</v>
      </c>
      <c r="B1414" s="655" t="str">
        <f>D140</f>
        <v>покрив плосък, покрив тераса</v>
      </c>
      <c r="C1414" s="656"/>
      <c r="D1414" s="653" t="str">
        <f>T1415</f>
        <v xml:space="preserve"> Топлоизолация XPS</v>
      </c>
      <c r="E1414" s="568"/>
      <c r="F1414" s="568"/>
      <c r="G1414" s="933">
        <f>J1142*1000</f>
        <v>120</v>
      </c>
      <c r="H1414" s="934"/>
      <c r="I1414" s="680">
        <f>K1142</f>
        <v>3.3000000000000002E-2</v>
      </c>
      <c r="J1414" s="568"/>
      <c r="K1414" s="689">
        <f>D145*1.2</f>
        <v>1.1999999999999999E-52</v>
      </c>
      <c r="L1414" s="689"/>
      <c r="M1414" s="331"/>
    </row>
    <row r="1415" spans="1:20" x14ac:dyDescent="0.3">
      <c r="A1415" s="654"/>
      <c r="B1415" s="656"/>
      <c r="C1415" s="656"/>
      <c r="D1415" s="568"/>
      <c r="E1415" s="568"/>
      <c r="F1415" s="568"/>
      <c r="G1415" s="934"/>
      <c r="H1415" s="934"/>
      <c r="I1415" s="568"/>
      <c r="J1415" s="568"/>
      <c r="K1415" s="689"/>
      <c r="L1415" s="689"/>
      <c r="M1415" s="331"/>
      <c r="P1415" s="1" t="str">
        <f>E1142</f>
        <v>4. Топлоизолация XPS</v>
      </c>
      <c r="S1415" s="1">
        <f>LEN(P1415)</f>
        <v>20</v>
      </c>
      <c r="T1415" s="1" t="str">
        <f>MID(P1415,3,S1415)</f>
        <v xml:space="preserve"> Топлоизолация XPS</v>
      </c>
    </row>
    <row r="1416" spans="1:20" x14ac:dyDescent="0.3">
      <c r="A1416" s="654">
        <f>IF(K1416&lt;0.1,A1414,A1414+1)</f>
        <v>0</v>
      </c>
      <c r="B1416" s="655" t="str">
        <f>E140</f>
        <v>Външна стена - тип 1</v>
      </c>
      <c r="C1416" s="656"/>
      <c r="D1416" s="653" t="str">
        <f>T1417</f>
        <v xml:space="preserve"> Топлоизолация EPS</v>
      </c>
      <c r="E1416" s="568"/>
      <c r="F1416" s="568"/>
      <c r="G1416" s="933">
        <f>J1157*1000</f>
        <v>100</v>
      </c>
      <c r="H1416" s="934"/>
      <c r="I1416" s="680">
        <f>K1157</f>
        <v>3.5000000000000003E-2</v>
      </c>
      <c r="J1416" s="568"/>
      <c r="K1416" s="689">
        <f>E145*1.2</f>
        <v>0</v>
      </c>
      <c r="L1416" s="689"/>
      <c r="M1416" s="331"/>
    </row>
    <row r="1417" spans="1:20" x14ac:dyDescent="0.3">
      <c r="A1417" s="654"/>
      <c r="B1417" s="656"/>
      <c r="C1417" s="656"/>
      <c r="D1417" s="568"/>
      <c r="E1417" s="568"/>
      <c r="F1417" s="568"/>
      <c r="G1417" s="934"/>
      <c r="H1417" s="934"/>
      <c r="I1417" s="568"/>
      <c r="J1417" s="568"/>
      <c r="K1417" s="689"/>
      <c r="L1417" s="689"/>
      <c r="M1417" s="331"/>
      <c r="P1417" s="1" t="str">
        <f>E1157</f>
        <v>3. Топлоизолация EPS</v>
      </c>
      <c r="S1417" s="1">
        <f>LEN(P1417)</f>
        <v>20</v>
      </c>
      <c r="T1417" s="1" t="str">
        <f>MID(P1417,3,S1417)</f>
        <v xml:space="preserve"> Топлоизолация EPS</v>
      </c>
    </row>
    <row r="1418" spans="1:20" x14ac:dyDescent="0.3">
      <c r="A1418" s="654">
        <f>IF(K1418&lt;0.1,A1416,A1416+1)</f>
        <v>0</v>
      </c>
      <c r="B1418" s="655" t="str">
        <f>F140</f>
        <v>Външна стена - тип 2</v>
      </c>
      <c r="C1418" s="656"/>
      <c r="D1418" s="653" t="str">
        <f>T1419</f>
        <v xml:space="preserve"> Топлоизолация EPS</v>
      </c>
      <c r="E1418" s="568"/>
      <c r="F1418" s="568"/>
      <c r="G1418" s="933">
        <f>J1175*1000</f>
        <v>100</v>
      </c>
      <c r="H1418" s="934"/>
      <c r="I1418" s="680">
        <f>K1175</f>
        <v>3.5000000000000003E-2</v>
      </c>
      <c r="J1418" s="568"/>
      <c r="K1418" s="689">
        <f>F145*1.2</f>
        <v>0</v>
      </c>
      <c r="L1418" s="689"/>
      <c r="M1418" s="331"/>
    </row>
    <row r="1419" spans="1:20" x14ac:dyDescent="0.3">
      <c r="A1419" s="654"/>
      <c r="B1419" s="656"/>
      <c r="C1419" s="656"/>
      <c r="D1419" s="568"/>
      <c r="E1419" s="568"/>
      <c r="F1419" s="568"/>
      <c r="G1419" s="934"/>
      <c r="H1419" s="934"/>
      <c r="I1419" s="568"/>
      <c r="J1419" s="568"/>
      <c r="K1419" s="689"/>
      <c r="L1419" s="689"/>
      <c r="M1419" s="331"/>
      <c r="P1419" s="1" t="str">
        <f>E1175</f>
        <v>3. Топлоизолация EPS</v>
      </c>
      <c r="S1419" s="1">
        <f>LEN(P1419)</f>
        <v>20</v>
      </c>
      <c r="T1419" s="1" t="str">
        <f>MID(P1419,3,S1419)</f>
        <v xml:space="preserve"> Топлоизолация EPS</v>
      </c>
    </row>
    <row r="1420" spans="1:20" x14ac:dyDescent="0.3">
      <c r="A1420" s="654">
        <f>IF(K1420&lt;0.1,A1418,A1418+1)</f>
        <v>0</v>
      </c>
      <c r="B1420" s="655" t="str">
        <f>G140</f>
        <v>Външна стена - тип 3</v>
      </c>
      <c r="C1420" s="656"/>
      <c r="D1420" s="653" t="str">
        <f>T1421</f>
        <v xml:space="preserve"> Топлоизолация EPS</v>
      </c>
      <c r="E1420" s="568"/>
      <c r="F1420" s="568"/>
      <c r="G1420" s="933">
        <f>J1189*1000</f>
        <v>100</v>
      </c>
      <c r="H1420" s="934"/>
      <c r="I1420" s="680">
        <f>K1189</f>
        <v>3.5000000000000003E-2</v>
      </c>
      <c r="J1420" s="568"/>
      <c r="K1420" s="689">
        <f>G145*1.2</f>
        <v>0</v>
      </c>
      <c r="L1420" s="689"/>
      <c r="M1420" s="331"/>
    </row>
    <row r="1421" spans="1:20" x14ac:dyDescent="0.3">
      <c r="A1421" s="654"/>
      <c r="B1421" s="656"/>
      <c r="C1421" s="656"/>
      <c r="D1421" s="568"/>
      <c r="E1421" s="568"/>
      <c r="F1421" s="568"/>
      <c r="G1421" s="934"/>
      <c r="H1421" s="934"/>
      <c r="I1421" s="568"/>
      <c r="J1421" s="568"/>
      <c r="K1421" s="689"/>
      <c r="L1421" s="689"/>
      <c r="M1421" s="331"/>
      <c r="P1421" s="1" t="str">
        <f>E1189</f>
        <v>3. Топлоизолация EPS</v>
      </c>
      <c r="S1421" s="1">
        <f>LEN(P1421)</f>
        <v>20</v>
      </c>
      <c r="T1421" s="1" t="str">
        <f>MID(P1421,3,S1421)</f>
        <v xml:space="preserve"> Топлоизолация EPS</v>
      </c>
    </row>
    <row r="1422" spans="1:20" x14ac:dyDescent="0.3">
      <c r="A1422" s="654">
        <f>IF(K1422&lt;0.1,A1420,A1420+1)</f>
        <v>0</v>
      </c>
      <c r="B1422" s="655" t="str">
        <f>H140</f>
        <v>проход, еркер</v>
      </c>
      <c r="C1422" s="656"/>
      <c r="D1422" s="653" t="str">
        <f>T1423</f>
        <v xml:space="preserve"> Топлоизолация ХPS</v>
      </c>
      <c r="E1422" s="568"/>
      <c r="F1422" s="568"/>
      <c r="G1422" s="933">
        <f>J1205*1000</f>
        <v>120</v>
      </c>
      <c r="H1422" s="934"/>
      <c r="I1422" s="680">
        <f>K1205</f>
        <v>3.3000000000000002E-2</v>
      </c>
      <c r="J1422" s="568"/>
      <c r="K1422" s="689">
        <f>H145*1.2</f>
        <v>0</v>
      </c>
      <c r="L1422" s="689"/>
      <c r="M1422" s="331"/>
    </row>
    <row r="1423" spans="1:20" x14ac:dyDescent="0.3">
      <c r="A1423" s="654"/>
      <c r="B1423" s="656"/>
      <c r="C1423" s="656"/>
      <c r="D1423" s="568"/>
      <c r="E1423" s="568"/>
      <c r="F1423" s="568"/>
      <c r="G1423" s="934"/>
      <c r="H1423" s="934"/>
      <c r="I1423" s="568"/>
      <c r="J1423" s="568"/>
      <c r="K1423" s="689"/>
      <c r="L1423" s="689"/>
      <c r="M1423" s="331"/>
      <c r="P1423" s="1" t="str">
        <f>E1205</f>
        <v>5. Топлоизолация ХPS</v>
      </c>
      <c r="S1423" s="1">
        <f>LEN(P1423)</f>
        <v>20</v>
      </c>
      <c r="T1423" s="1" t="str">
        <f>MID(P1423,3,S1423)</f>
        <v xml:space="preserve"> Топлоизолация ХPS</v>
      </c>
    </row>
    <row r="1424" spans="1:20" x14ac:dyDescent="0.3">
      <c r="A1424" s="654">
        <f>IF(K1424&lt;0.1,A1422,A1422+1)</f>
        <v>0</v>
      </c>
      <c r="B1424" s="655" t="str">
        <f>I140</f>
        <v>под граничещ със земя над терен</v>
      </c>
      <c r="C1424" s="656"/>
      <c r="D1424" s="653" t="str">
        <f>T1425</f>
        <v xml:space="preserve"> Топлоизолация XPS</v>
      </c>
      <c r="E1424" s="568"/>
      <c r="F1424" s="568"/>
      <c r="G1424" s="933">
        <f>J1220*1000</f>
        <v>50</v>
      </c>
      <c r="H1424" s="934"/>
      <c r="I1424" s="680">
        <f>K1220</f>
        <v>3.3000000000000002E-2</v>
      </c>
      <c r="J1424" s="568"/>
      <c r="K1424" s="689">
        <f>I145*1.2</f>
        <v>1.1999999999999998E-44</v>
      </c>
      <c r="L1424" s="689"/>
      <c r="M1424" s="331"/>
    </row>
    <row r="1425" spans="1:20" x14ac:dyDescent="0.3">
      <c r="A1425" s="654"/>
      <c r="B1425" s="656"/>
      <c r="C1425" s="656"/>
      <c r="D1425" s="568"/>
      <c r="E1425" s="568"/>
      <c r="F1425" s="568"/>
      <c r="G1425" s="934"/>
      <c r="H1425" s="934"/>
      <c r="I1425" s="568"/>
      <c r="J1425" s="568"/>
      <c r="K1425" s="689"/>
      <c r="L1425" s="689"/>
      <c r="P1425" s="1" t="str">
        <f>E1220</f>
        <v>4. Топлоизолация XPS</v>
      </c>
      <c r="S1425" s="1">
        <f>LEN(P1425)</f>
        <v>20</v>
      </c>
      <c r="T1425" s="1" t="str">
        <f>MID(P1425,3,S1425)</f>
        <v xml:space="preserve"> Топлоизолация XPS</v>
      </c>
    </row>
    <row r="1426" spans="1:20" x14ac:dyDescent="0.3">
      <c r="A1426" s="654">
        <f>IF(K1426&lt;0.1,A1424,A1424+1)</f>
        <v>0</v>
      </c>
      <c r="B1426" s="655" t="str">
        <f>J140</f>
        <v>под над неотопляемо помещение</v>
      </c>
      <c r="C1426" s="656"/>
      <c r="D1426" s="653" t="str">
        <f>T1427</f>
        <v xml:space="preserve"> Топлоизолация ЕPS</v>
      </c>
      <c r="E1426" s="568"/>
      <c r="F1426" s="568"/>
      <c r="G1426" s="933">
        <f>J1277*1000</f>
        <v>50</v>
      </c>
      <c r="H1426" s="934"/>
      <c r="I1426" s="680">
        <f>K1277</f>
        <v>3.5000000000000003E-2</v>
      </c>
      <c r="J1426" s="568"/>
      <c r="K1426" s="689">
        <f>J145*1.2</f>
        <v>0</v>
      </c>
      <c r="L1426" s="689"/>
    </row>
    <row r="1427" spans="1:20" x14ac:dyDescent="0.3">
      <c r="A1427" s="654"/>
      <c r="B1427" s="656"/>
      <c r="C1427" s="656"/>
      <c r="D1427" s="568"/>
      <c r="E1427" s="568"/>
      <c r="F1427" s="568"/>
      <c r="G1427" s="934"/>
      <c r="H1427" s="934"/>
      <c r="I1427" s="568"/>
      <c r="J1427" s="568"/>
      <c r="K1427" s="689"/>
      <c r="L1427" s="689"/>
      <c r="P1427" s="1" t="str">
        <f>E1277</f>
        <v>4. Топлоизолация ЕPS</v>
      </c>
      <c r="S1427" s="1">
        <f>LEN(P1427)</f>
        <v>20</v>
      </c>
      <c r="T1427" s="1" t="str">
        <f>MID(P1427,3,S1427)</f>
        <v xml:space="preserve"> Топлоизолация ЕPS</v>
      </c>
    </row>
    <row r="1428" spans="1:20" x14ac:dyDescent="0.3">
      <c r="A1428" s="654">
        <f>IF(K1428&lt;0.1,A1426,A1426+1)</f>
        <v>0</v>
      </c>
      <c r="B1428" s="655" t="str">
        <f>K140</f>
        <v>под граничещ със земя под терена</v>
      </c>
      <c r="C1428" s="656"/>
      <c r="D1428" s="653" t="str">
        <f>T1429</f>
        <v xml:space="preserve"> Топлоизолация XPS</v>
      </c>
      <c r="E1428" s="568"/>
      <c r="F1428" s="568"/>
      <c r="G1428" s="933">
        <f>J1331*1000</f>
        <v>50</v>
      </c>
      <c r="H1428" s="934"/>
      <c r="I1428" s="680">
        <f>K1331</f>
        <v>3.3000000000000002E-2</v>
      </c>
      <c r="J1428" s="568"/>
      <c r="K1428" s="689">
        <f>K145*1.2</f>
        <v>0</v>
      </c>
      <c r="L1428" s="689"/>
    </row>
    <row r="1429" spans="1:20" x14ac:dyDescent="0.3">
      <c r="A1429" s="654"/>
      <c r="B1429" s="656"/>
      <c r="C1429" s="656"/>
      <c r="D1429" s="568"/>
      <c r="E1429" s="568"/>
      <c r="F1429" s="568"/>
      <c r="G1429" s="934"/>
      <c r="H1429" s="934"/>
      <c r="I1429" s="568"/>
      <c r="J1429" s="568"/>
      <c r="K1429" s="689"/>
      <c r="L1429" s="689"/>
      <c r="P1429" s="1" t="str">
        <f>E1331</f>
        <v>4. Топлоизолация XPS</v>
      </c>
      <c r="S1429" s="1">
        <f>LEN(P1429)</f>
        <v>20</v>
      </c>
      <c r="T1429" s="1" t="str">
        <f>MID(P1429,3,S1429)</f>
        <v xml:space="preserve"> Топлоизолация XPS</v>
      </c>
    </row>
    <row r="1430" spans="1:20" x14ac:dyDescent="0.3">
      <c r="A1430" s="654">
        <f>IF(K1430&lt;0.1,A1428,A1428+1)</f>
        <v>0</v>
      </c>
      <c r="B1430" s="655" t="s">
        <v>618</v>
      </c>
      <c r="C1430" s="656"/>
      <c r="D1430" s="653" t="str">
        <f>T1431</f>
        <v xml:space="preserve"> Топлоизолация XPS</v>
      </c>
      <c r="E1430" s="568"/>
      <c r="F1430" s="568"/>
      <c r="G1430" s="933">
        <f>J1341*1000</f>
        <v>50</v>
      </c>
      <c r="H1430" s="934"/>
      <c r="I1430" s="680">
        <f>K1341</f>
        <v>3.3000000000000002E-2</v>
      </c>
      <c r="J1430" s="568"/>
      <c r="K1430" s="689">
        <f>K173*1.2</f>
        <v>1.1999999999999999E-82</v>
      </c>
      <c r="L1430" s="689"/>
    </row>
    <row r="1431" spans="1:20" x14ac:dyDescent="0.3">
      <c r="A1431" s="654"/>
      <c r="B1431" s="656"/>
      <c r="C1431" s="656"/>
      <c r="D1431" s="568"/>
      <c r="E1431" s="568"/>
      <c r="F1431" s="568"/>
      <c r="G1431" s="934"/>
      <c r="H1431" s="934"/>
      <c r="I1431" s="568"/>
      <c r="J1431" s="568"/>
      <c r="K1431" s="689"/>
      <c r="L1431" s="689"/>
      <c r="P1431" s="1" t="str">
        <f>E1341</f>
        <v>2. Топлоизолация XPS</v>
      </c>
      <c r="S1431" s="1">
        <f>LEN(P1431)</f>
        <v>20</v>
      </c>
      <c r="T1431" s="1" t="str">
        <f>MID(P1431,3,S1431)</f>
        <v xml:space="preserve"> Топлоизолация XPS</v>
      </c>
    </row>
    <row r="1432" spans="1:20" x14ac:dyDescent="0.3">
      <c r="A1432" s="215"/>
      <c r="B1432" s="215"/>
      <c r="C1432" s="215"/>
      <c r="D1432" s="215"/>
      <c r="E1432" s="215"/>
      <c r="F1432" s="381"/>
      <c r="G1432" s="382"/>
      <c r="H1432" s="382"/>
      <c r="I1432" s="382"/>
      <c r="J1432" s="382"/>
      <c r="K1432" s="382"/>
      <c r="L1432" s="382"/>
    </row>
    <row r="1433" spans="1:20" ht="18" customHeight="1" x14ac:dyDescent="0.3">
      <c r="A1433" s="944" t="s">
        <v>204</v>
      </c>
      <c r="B1433" s="945"/>
      <c r="C1433" s="945"/>
      <c r="D1433" s="945"/>
      <c r="E1433" s="945"/>
      <c r="F1433" s="945"/>
      <c r="G1433" s="945"/>
      <c r="H1433" s="945"/>
      <c r="I1433" s="945"/>
      <c r="J1433" s="945"/>
      <c r="K1433" s="945"/>
      <c r="L1433" s="945"/>
    </row>
    <row r="1434" spans="1:20" x14ac:dyDescent="0.3">
      <c r="A1434" s="215"/>
      <c r="B1434" s="652" t="s">
        <v>199</v>
      </c>
      <c r="C1434" s="589"/>
      <c r="D1434" s="589"/>
      <c r="E1434" s="589"/>
      <c r="F1434" s="589"/>
      <c r="G1434" s="589"/>
      <c r="H1434" s="589"/>
      <c r="I1434" s="589"/>
      <c r="J1434" s="589"/>
      <c r="K1434" s="589"/>
      <c r="L1434" s="589"/>
    </row>
    <row r="1435" spans="1:20" x14ac:dyDescent="0.3">
      <c r="A1435" s="215"/>
      <c r="B1435" s="652" t="s">
        <v>200</v>
      </c>
      <c r="C1435" s="589"/>
      <c r="D1435" s="589"/>
      <c r="E1435" s="589"/>
      <c r="F1435" s="589"/>
      <c r="G1435" s="589"/>
      <c r="H1435" s="589"/>
      <c r="I1435" s="589"/>
      <c r="J1435" s="589"/>
      <c r="K1435" s="589"/>
      <c r="L1435" s="589"/>
    </row>
    <row r="1436" spans="1:20" x14ac:dyDescent="0.3">
      <c r="A1436" s="215"/>
      <c r="B1436" s="652" t="s">
        <v>203</v>
      </c>
      <c r="C1436" s="589"/>
      <c r="D1436" s="589"/>
      <c r="E1436" s="589"/>
      <c r="F1436" s="589"/>
      <c r="G1436" s="589"/>
      <c r="H1436" s="589"/>
      <c r="I1436" s="589"/>
      <c r="J1436" s="589"/>
      <c r="K1436" s="589"/>
      <c r="L1436" s="589"/>
    </row>
    <row r="1437" spans="1:20" x14ac:dyDescent="0.3">
      <c r="A1437" s="215"/>
      <c r="B1437" s="652" t="s">
        <v>690</v>
      </c>
      <c r="C1437" s="589"/>
      <c r="D1437" s="589"/>
      <c r="E1437" s="589"/>
      <c r="F1437" s="589"/>
      <c r="G1437" s="589"/>
      <c r="H1437" s="589"/>
      <c r="I1437" s="589"/>
      <c r="J1437" s="589"/>
      <c r="K1437" s="589"/>
      <c r="L1437" s="589"/>
    </row>
    <row r="1438" spans="1:20" x14ac:dyDescent="0.3">
      <c r="A1438" s="215"/>
      <c r="B1438" s="652" t="s">
        <v>201</v>
      </c>
      <c r="C1438" s="589"/>
      <c r="D1438" s="589"/>
      <c r="E1438" s="589"/>
      <c r="F1438" s="589"/>
      <c r="G1438" s="589"/>
      <c r="H1438" s="589"/>
      <c r="I1438" s="589"/>
      <c r="J1438" s="589"/>
      <c r="K1438" s="589"/>
      <c r="L1438" s="589"/>
    </row>
    <row r="1439" spans="1:20" x14ac:dyDescent="0.3">
      <c r="A1439" s="215"/>
      <c r="B1439" s="383" t="s">
        <v>202</v>
      </c>
      <c r="C1439" s="383"/>
      <c r="D1439" s="383"/>
      <c r="E1439" s="383"/>
      <c r="F1439" s="384"/>
      <c r="G1439" s="385"/>
      <c r="H1439" s="385"/>
      <c r="I1439" s="385"/>
      <c r="J1439" s="382"/>
      <c r="K1439" s="382"/>
      <c r="L1439" s="382"/>
    </row>
    <row r="1440" spans="1:20" ht="18" x14ac:dyDescent="0.35">
      <c r="A1440" s="714" t="s">
        <v>683</v>
      </c>
      <c r="B1440" s="714"/>
      <c r="C1440" s="714"/>
      <c r="D1440" s="714"/>
      <c r="E1440" s="714"/>
      <c r="F1440" s="714"/>
      <c r="G1440" s="714"/>
      <c r="H1440" s="714"/>
      <c r="I1440" s="714"/>
      <c r="J1440" s="714"/>
      <c r="K1440" s="714"/>
      <c r="L1440" s="715"/>
      <c r="M1440" s="347"/>
    </row>
    <row r="1441" spans="1:20" x14ac:dyDescent="0.3">
      <c r="A1441" s="744" t="s">
        <v>1191</v>
      </c>
      <c r="B1441" s="744"/>
      <c r="C1441" s="744"/>
      <c r="D1441" s="744"/>
      <c r="E1441" s="744"/>
      <c r="F1441" s="744"/>
      <c r="G1441" s="744"/>
      <c r="H1441" s="744"/>
      <c r="I1441" s="744"/>
      <c r="J1441" s="744"/>
      <c r="K1441" s="744"/>
      <c r="L1441" s="745"/>
      <c r="M1441" s="368"/>
    </row>
    <row r="1442" spans="1:20" x14ac:dyDescent="0.3">
      <c r="A1442" s="540"/>
      <c r="B1442" s="540"/>
      <c r="C1442" s="540"/>
      <c r="D1442" s="540"/>
      <c r="E1442" s="540"/>
      <c r="F1442" s="540"/>
      <c r="G1442" s="540"/>
      <c r="H1442" s="540"/>
      <c r="I1442" s="540"/>
      <c r="J1442" s="540"/>
      <c r="K1442" s="540"/>
      <c r="L1442" s="541"/>
      <c r="M1442" s="368"/>
    </row>
    <row r="1443" spans="1:20" x14ac:dyDescent="0.3">
      <c r="A1443" s="900" t="s">
        <v>1200</v>
      </c>
      <c r="B1443" s="728"/>
      <c r="C1443" s="602"/>
      <c r="D1443" s="602"/>
      <c r="E1443" s="602"/>
      <c r="F1443" s="602"/>
      <c r="G1443" s="602"/>
      <c r="H1443" s="602"/>
      <c r="I1443" s="580"/>
      <c r="J1443" s="604" t="e">
        <f ca="1">E1035</f>
        <v>#DIV/0!</v>
      </c>
      <c r="K1443" s="605"/>
      <c r="L1443" s="407" t="s">
        <v>1</v>
      </c>
      <c r="M1443" s="368"/>
      <c r="O1443" s="1" t="str">
        <f t="shared" ref="O1443:O1450" si="503">A969</f>
        <v>Отопление</v>
      </c>
      <c r="T1443" s="542" t="e">
        <f t="shared" ref="T1443:T1450" ca="1" si="504">G969</f>
        <v>#DIV/0!</v>
      </c>
    </row>
    <row r="1444" spans="1:20" ht="18" x14ac:dyDescent="0.3">
      <c r="A1444" s="603" t="s">
        <v>1130</v>
      </c>
      <c r="B1444" s="603"/>
      <c r="C1444" s="566"/>
      <c r="D1444" s="566"/>
      <c r="E1444" s="566"/>
      <c r="F1444" s="566"/>
      <c r="G1444" s="604"/>
      <c r="H1444" s="605"/>
      <c r="I1444" s="407" t="s">
        <v>892</v>
      </c>
      <c r="O1444" s="1" t="str">
        <f t="shared" si="503"/>
        <v>Вентилация - зимен период</v>
      </c>
      <c r="T1444" s="542">
        <f t="shared" ca="1" si="504"/>
        <v>0</v>
      </c>
    </row>
    <row r="1445" spans="1:20" ht="18" x14ac:dyDescent="0.3">
      <c r="A1445" s="603" t="s">
        <v>1192</v>
      </c>
      <c r="B1445" s="603"/>
      <c r="C1445" s="566"/>
      <c r="D1445" s="566"/>
      <c r="E1445" s="566"/>
      <c r="F1445" s="566"/>
      <c r="G1445" s="604">
        <f>C25</f>
        <v>0</v>
      </c>
      <c r="H1445" s="605"/>
      <c r="I1445" s="407" t="s">
        <v>892</v>
      </c>
      <c r="J1445" s="107"/>
      <c r="K1445" s="107"/>
      <c r="L1445" s="107"/>
      <c r="M1445" s="333"/>
      <c r="O1445" s="1" t="str">
        <f t="shared" si="503"/>
        <v>Вентилация - летен период</v>
      </c>
      <c r="T1445" s="542">
        <f t="shared" ca="1" si="504"/>
        <v>0</v>
      </c>
    </row>
    <row r="1446" spans="1:20" ht="18" x14ac:dyDescent="0.3">
      <c r="A1446" s="603" t="s">
        <v>1194</v>
      </c>
      <c r="B1446" s="603"/>
      <c r="C1446" s="566"/>
      <c r="D1446" s="566"/>
      <c r="E1446" s="566"/>
      <c r="F1446" s="566"/>
      <c r="G1446" s="604">
        <f>F25*0.8</f>
        <v>0</v>
      </c>
      <c r="H1446" s="605"/>
      <c r="I1446" s="407" t="s">
        <v>1193</v>
      </c>
      <c r="J1446" s="107"/>
      <c r="K1446" s="107"/>
      <c r="L1446" s="107"/>
      <c r="M1446" s="333"/>
      <c r="O1446" s="1" t="str">
        <f t="shared" si="503"/>
        <v>Охлаждане</v>
      </c>
      <c r="T1446" s="542" t="e">
        <f t="shared" ca="1" si="504"/>
        <v>#DIV/0!</v>
      </c>
    </row>
    <row r="1447" spans="1:20" ht="18" x14ac:dyDescent="0.3">
      <c r="A1447" s="603" t="s">
        <v>1179</v>
      </c>
      <c r="B1447" s="603"/>
      <c r="C1447" s="566"/>
      <c r="D1447" s="566"/>
      <c r="E1447" s="566"/>
      <c r="F1447" s="566"/>
      <c r="G1447" s="604" t="e">
        <f ca="1">F1004</f>
        <v>#DIV/0!</v>
      </c>
      <c r="H1447" s="605"/>
      <c r="I1447" s="407" t="s">
        <v>307</v>
      </c>
      <c r="J1447" s="601" t="e">
        <f ca="1">G1004</f>
        <v>#DIV/0!</v>
      </c>
      <c r="K1447" s="602"/>
      <c r="L1447" s="407" t="s">
        <v>945</v>
      </c>
      <c r="M1447" s="333"/>
      <c r="O1447" s="1" t="str">
        <f t="shared" si="503"/>
        <v>БГВ - зимен период</v>
      </c>
      <c r="T1447" s="542">
        <f t="shared" ca="1" si="504"/>
        <v>2169.9800816326533</v>
      </c>
    </row>
    <row r="1448" spans="1:20" ht="18" x14ac:dyDescent="0.3">
      <c r="A1448" s="603" t="s">
        <v>1180</v>
      </c>
      <c r="B1448" s="603"/>
      <c r="C1448" s="566"/>
      <c r="D1448" s="566"/>
      <c r="E1448" s="566"/>
      <c r="F1448" s="566"/>
      <c r="G1448" s="604" t="e">
        <f ca="1">J1004</f>
        <v>#DIV/0!</v>
      </c>
      <c r="H1448" s="605"/>
      <c r="I1448" s="407" t="s">
        <v>307</v>
      </c>
      <c r="J1448" s="601" t="e">
        <f ca="1">K1004</f>
        <v>#DIV/0!</v>
      </c>
      <c r="K1448" s="602"/>
      <c r="L1448" s="407" t="s">
        <v>945</v>
      </c>
      <c r="M1448" s="333"/>
      <c r="O1448" s="1" t="str">
        <f t="shared" si="503"/>
        <v>БГВ - летен период</v>
      </c>
      <c r="T1448" s="542">
        <f t="shared" ca="1" si="504"/>
        <v>1566.070530612245</v>
      </c>
    </row>
    <row r="1449" spans="1:20" ht="18" x14ac:dyDescent="0.3">
      <c r="A1449" s="603" t="s">
        <v>1195</v>
      </c>
      <c r="B1449" s="603"/>
      <c r="C1449" s="566"/>
      <c r="D1449" s="566"/>
      <c r="E1449" s="566"/>
      <c r="F1449" s="566"/>
      <c r="G1449" s="604" t="e">
        <f ca="1">SUM(G1447:H1448)</f>
        <v>#DIV/0!</v>
      </c>
      <c r="H1449" s="605"/>
      <c r="I1449" s="407" t="s">
        <v>307</v>
      </c>
      <c r="J1449" s="601" t="e">
        <f ca="1">SUM(J1447:K1448)</f>
        <v>#DIV/0!</v>
      </c>
      <c r="K1449" s="602"/>
      <c r="L1449" s="407" t="s">
        <v>945</v>
      </c>
      <c r="M1449" s="333"/>
      <c r="O1449" s="1" t="str">
        <f t="shared" si="503"/>
        <v>Помпи и вентилатори</v>
      </c>
      <c r="T1449" s="542">
        <f t="shared" ca="1" si="504"/>
        <v>0</v>
      </c>
    </row>
    <row r="1450" spans="1:20" x14ac:dyDescent="0.3">
      <c r="A1450" s="603" t="s">
        <v>1196</v>
      </c>
      <c r="B1450" s="603"/>
      <c r="C1450" s="566"/>
      <c r="D1450" s="566"/>
      <c r="E1450" s="566"/>
      <c r="F1450" s="566"/>
      <c r="G1450" s="538"/>
      <c r="H1450" s="539"/>
      <c r="I1450" s="407"/>
      <c r="J1450" s="900">
        <v>0</v>
      </c>
      <c r="K1450" s="602"/>
      <c r="L1450" s="407" t="s">
        <v>945</v>
      </c>
      <c r="M1450" s="333"/>
      <c r="O1450" s="1" t="str">
        <f t="shared" si="503"/>
        <v>Осветление</v>
      </c>
      <c r="T1450" s="542" t="e">
        <f t="shared" ca="1" si="504"/>
        <v>#DIV/0!</v>
      </c>
    </row>
    <row r="1451" spans="1:20" ht="18" x14ac:dyDescent="0.3">
      <c r="A1451" s="603" t="s">
        <v>710</v>
      </c>
      <c r="B1451" s="603"/>
      <c r="C1451" s="566"/>
      <c r="D1451" s="566"/>
      <c r="E1451" s="566"/>
      <c r="F1451" s="566"/>
      <c r="G1451" s="946" t="e">
        <f ca="1">O1020</f>
        <v>#DIV/0!</v>
      </c>
      <c r="H1451" s="947"/>
      <c r="I1451" s="407" t="s">
        <v>307</v>
      </c>
      <c r="J1451" s="107"/>
      <c r="K1451" s="107"/>
      <c r="L1451" s="107"/>
      <c r="M1451" s="333"/>
      <c r="T1451" s="542"/>
    </row>
    <row r="1452" spans="1:20" x14ac:dyDescent="0.3">
      <c r="A1452" s="603" t="s">
        <v>312</v>
      </c>
      <c r="B1452" s="603"/>
      <c r="C1452" s="603"/>
      <c r="D1452" s="603"/>
      <c r="E1452" s="603"/>
      <c r="F1452" s="603"/>
      <c r="G1452" s="604" t="e">
        <f ca="1">ROUND((G979+G985)/1000,2)</f>
        <v>#DIV/0!</v>
      </c>
      <c r="H1452" s="605"/>
      <c r="I1452" s="407" t="s">
        <v>319</v>
      </c>
      <c r="J1452" s="107"/>
      <c r="K1452" s="107"/>
      <c r="L1452" s="107"/>
      <c r="M1452" s="333"/>
      <c r="O1452" s="1" t="s">
        <v>1205</v>
      </c>
      <c r="T1452" s="542" t="e">
        <f ca="1">SUM(T1443:T1450,T1458)</f>
        <v>#DIV/0!</v>
      </c>
    </row>
    <row r="1453" spans="1:20" x14ac:dyDescent="0.3">
      <c r="A1453" s="603" t="s">
        <v>304</v>
      </c>
      <c r="B1453" s="603"/>
      <c r="C1453" s="603"/>
      <c r="D1453" s="603"/>
      <c r="E1453" s="603"/>
      <c r="F1453" s="603"/>
      <c r="G1453" s="604" t="e">
        <f ca="1">L979</f>
        <v>#DIV/0!</v>
      </c>
      <c r="H1453" s="605"/>
      <c r="I1453" s="407" t="s">
        <v>663</v>
      </c>
      <c r="J1453" s="107"/>
      <c r="K1453" s="107"/>
      <c r="L1453" s="107"/>
      <c r="M1453" s="333"/>
      <c r="T1453" s="542"/>
    </row>
    <row r="1454" spans="1:20" x14ac:dyDescent="0.3">
      <c r="A1454" s="603" t="s">
        <v>1197</v>
      </c>
      <c r="B1454" s="603"/>
      <c r="C1454" s="603"/>
      <c r="D1454" s="603"/>
      <c r="E1454" s="603"/>
      <c r="F1454" s="603"/>
      <c r="G1454" s="604" t="e">
        <f ca="1">ROUND(SUM(G985,AO979)/(G979+G985)*100,2)</f>
        <v>#DIV/0!</v>
      </c>
      <c r="H1454" s="605"/>
      <c r="I1454" s="407" t="s">
        <v>1</v>
      </c>
      <c r="J1454" s="107"/>
      <c r="K1454" s="107"/>
      <c r="L1454" s="107"/>
      <c r="M1454" s="333"/>
      <c r="O1454" s="1" t="str">
        <f>A981</f>
        <v>Околна среда: термопомпени кл. с-ми</v>
      </c>
      <c r="T1454" s="542" t="e">
        <f ca="1">G981</f>
        <v>#DIV/0!</v>
      </c>
    </row>
    <row r="1455" spans="1:20" x14ac:dyDescent="0.3">
      <c r="A1455" s="603" t="s">
        <v>1201</v>
      </c>
      <c r="B1455" s="603"/>
      <c r="C1455" s="603"/>
      <c r="D1455" s="603"/>
      <c r="E1455" s="603"/>
      <c r="F1455" s="603"/>
      <c r="G1455" s="604" t="e">
        <f ca="1">ROUND(K1004/(G1004+K1004)*100,2)</f>
        <v>#DIV/0!</v>
      </c>
      <c r="H1455" s="605"/>
      <c r="I1455" s="407" t="s">
        <v>1</v>
      </c>
      <c r="J1455" s="107"/>
      <c r="K1455" s="107"/>
      <c r="L1455" s="107"/>
      <c r="M1455" s="333"/>
      <c r="O1455" s="1" t="str">
        <f>A982</f>
        <v>Слънчева: термална - зимен режим</v>
      </c>
      <c r="T1455" s="542">
        <f ca="1">G982</f>
        <v>0</v>
      </c>
    </row>
    <row r="1456" spans="1:20" x14ac:dyDescent="0.3">
      <c r="A1456" s="210"/>
      <c r="B1456" s="210"/>
      <c r="C1456" s="210"/>
      <c r="D1456" s="210"/>
      <c r="E1456" s="210"/>
      <c r="F1456" s="210"/>
      <c r="G1456" s="107"/>
      <c r="H1456" s="107"/>
      <c r="I1456" s="107"/>
      <c r="J1456" s="107"/>
      <c r="K1456" s="107"/>
      <c r="L1456" s="107"/>
      <c r="M1456" s="333"/>
      <c r="O1456" s="1" t="str">
        <f>A983</f>
        <v>Слънчева: термална - летен режим</v>
      </c>
      <c r="T1456" s="542">
        <f ca="1">G983</f>
        <v>0</v>
      </c>
    </row>
    <row r="1457" spans="1:22" x14ac:dyDescent="0.3">
      <c r="A1457" s="671" t="s">
        <v>318</v>
      </c>
      <c r="B1457" s="671"/>
      <c r="C1457" s="671"/>
      <c r="D1457" s="671"/>
      <c r="E1457" s="671"/>
      <c r="F1457" s="671"/>
      <c r="G1457" s="671"/>
      <c r="H1457" s="671"/>
      <c r="I1457" s="671"/>
      <c r="J1457" s="671"/>
      <c r="K1457" s="671"/>
      <c r="L1457" s="671"/>
      <c r="M1457" s="333"/>
      <c r="O1457" s="1" t="str">
        <f>A984</f>
        <v>Слънчева: PV електричество</v>
      </c>
      <c r="T1457" s="542">
        <f>G984</f>
        <v>0</v>
      </c>
    </row>
    <row r="1458" spans="1:22" x14ac:dyDescent="0.3">
      <c r="A1458" s="565" t="s">
        <v>317</v>
      </c>
      <c r="B1458" s="593"/>
      <c r="C1458" s="593"/>
      <c r="D1458" s="593"/>
      <c r="E1458" s="593"/>
      <c r="F1458" s="593"/>
      <c r="G1458" s="593"/>
      <c r="H1458" s="593"/>
      <c r="I1458" s="593"/>
      <c r="J1458" s="593"/>
      <c r="K1458" s="736"/>
      <c r="L1458" s="737"/>
      <c r="M1458" s="333"/>
      <c r="O1458" s="1" t="str">
        <f>A985</f>
        <v>Обща възобновяема енергия</v>
      </c>
      <c r="P1458" s="240"/>
      <c r="Q1458" s="442"/>
      <c r="T1458" s="542" t="e">
        <f ca="1">SUM(T1454:T1457)</f>
        <v>#DIV/0!</v>
      </c>
    </row>
    <row r="1459" spans="1:22" x14ac:dyDescent="0.3">
      <c r="A1459" s="565" t="s">
        <v>484</v>
      </c>
      <c r="B1459" s="593"/>
      <c r="C1459" s="565" t="s">
        <v>305</v>
      </c>
      <c r="D1459" s="593"/>
      <c r="E1459" s="565" t="s">
        <v>757</v>
      </c>
      <c r="F1459" s="593"/>
      <c r="G1459" s="13" t="s">
        <v>306</v>
      </c>
      <c r="H1459" s="565" t="s">
        <v>300</v>
      </c>
      <c r="I1459" s="593"/>
      <c r="J1459" s="13" t="s">
        <v>1198</v>
      </c>
      <c r="K1459" s="736"/>
      <c r="L1459" s="737"/>
      <c r="M1459" s="333"/>
      <c r="O1459" s="449"/>
      <c r="P1459" s="240"/>
      <c r="Q1459" s="442"/>
    </row>
    <row r="1460" spans="1:22" x14ac:dyDescent="0.3">
      <c r="A1460" s="565" t="s">
        <v>1</v>
      </c>
      <c r="B1460" s="593"/>
      <c r="C1460" s="565" t="s">
        <v>1</v>
      </c>
      <c r="D1460" s="593"/>
      <c r="E1460" s="565" t="s">
        <v>1</v>
      </c>
      <c r="F1460" s="593"/>
      <c r="G1460" s="13" t="s">
        <v>1</v>
      </c>
      <c r="H1460" s="565" t="s">
        <v>1</v>
      </c>
      <c r="I1460" s="593"/>
      <c r="J1460" s="13" t="s">
        <v>1</v>
      </c>
      <c r="K1460" s="736"/>
      <c r="L1460" s="669"/>
      <c r="M1460" s="333"/>
      <c r="O1460" s="675"/>
      <c r="P1460" s="676"/>
      <c r="Q1460" s="442"/>
    </row>
    <row r="1461" spans="1:22" x14ac:dyDescent="0.3">
      <c r="A1461" s="686" t="e">
        <f ca="1">ROUND((G969+AK969)/(G979+G985)*100,2)</f>
        <v>#DIV/0!</v>
      </c>
      <c r="B1461" s="718"/>
      <c r="C1461" s="686" t="e">
        <f ca="1">ROUND((G970+G971+AK970)/(G979+G985)*100,2)</f>
        <v>#DIV/0!</v>
      </c>
      <c r="D1461" s="718"/>
      <c r="E1461" s="686" t="e">
        <f ca="1">ROUND(G972/(G979+G985)*100,2)</f>
        <v>#DIV/0!</v>
      </c>
      <c r="F1461" s="718"/>
      <c r="G1461" s="3" t="e">
        <f ca="1">ROUND((G973+G974+AK973+AK974)/(G979+G985)*100,2)</f>
        <v>#DIV/0!</v>
      </c>
      <c r="H1461" s="686" t="e">
        <f ca="1">ROUND(G976/(G979+G985)*100,2)</f>
        <v>#DIV/0!</v>
      </c>
      <c r="I1461" s="718"/>
      <c r="J1461" s="3" t="e">
        <f ca="1">ROUND(100-H1461-G1461-E1461-C1461-A1461,2)</f>
        <v>#DIV/0!</v>
      </c>
      <c r="K1461" s="684"/>
      <c r="L1461" s="685"/>
      <c r="M1461" s="333"/>
      <c r="N1461" s="240"/>
      <c r="O1461" s="449"/>
      <c r="P1461" s="240"/>
      <c r="Q1461" s="449"/>
      <c r="R1461" s="240"/>
      <c r="S1461" s="240"/>
      <c r="T1461" s="240"/>
      <c r="U1461" s="240"/>
      <c r="V1461" s="240"/>
    </row>
    <row r="1462" spans="1:22" x14ac:dyDescent="0.3">
      <c r="A1462" s="210"/>
      <c r="B1462" s="210"/>
      <c r="C1462" s="210"/>
      <c r="D1462" s="210"/>
      <c r="E1462" s="210"/>
      <c r="F1462" s="210"/>
      <c r="G1462" s="107"/>
      <c r="H1462" s="107"/>
      <c r="I1462" s="107"/>
      <c r="J1462" s="107"/>
      <c r="K1462" s="107"/>
      <c r="L1462" s="107"/>
      <c r="M1462" s="333"/>
      <c r="N1462" s="240"/>
      <c r="O1462" s="449"/>
      <c r="P1462" s="240"/>
      <c r="Q1462" s="449"/>
      <c r="R1462" s="240"/>
      <c r="S1462" s="1" t="s">
        <v>240</v>
      </c>
      <c r="V1462" s="240"/>
    </row>
    <row r="1463" spans="1:22" x14ac:dyDescent="0.3">
      <c r="A1463" s="671" t="s">
        <v>664</v>
      </c>
      <c r="B1463" s="671"/>
      <c r="C1463" s="671"/>
      <c r="D1463" s="671"/>
      <c r="E1463" s="671"/>
      <c r="F1463" s="671"/>
      <c r="G1463" s="671"/>
      <c r="H1463" s="671"/>
      <c r="I1463" s="671"/>
      <c r="J1463" s="671"/>
      <c r="K1463" s="671"/>
      <c r="L1463" s="671"/>
      <c r="M1463" s="333"/>
      <c r="N1463" s="133" t="str">
        <f>A433</f>
        <v>Прозорци и врати (рамки към стена)</v>
      </c>
      <c r="O1463" s="133"/>
      <c r="P1463" s="133"/>
      <c r="Q1463" s="133"/>
      <c r="R1463" s="133">
        <f>K52</f>
        <v>1.4</v>
      </c>
      <c r="S1463" s="133">
        <f>J433</f>
        <v>0</v>
      </c>
      <c r="V1463" s="240"/>
    </row>
    <row r="1464" spans="1:22" x14ac:dyDescent="0.3">
      <c r="A1464" s="730" t="s">
        <v>392</v>
      </c>
      <c r="B1464" s="731"/>
      <c r="C1464" s="731"/>
      <c r="D1464" s="731"/>
      <c r="E1464" s="731"/>
      <c r="F1464" s="732"/>
      <c r="G1464" s="730" t="s">
        <v>807</v>
      </c>
      <c r="H1464" s="732"/>
      <c r="I1464" s="565" t="s">
        <v>808</v>
      </c>
      <c r="J1464" s="565"/>
      <c r="K1464" s="565"/>
      <c r="L1464" s="565"/>
      <c r="M1464" s="333"/>
      <c r="N1464" s="133" t="str">
        <f>A434</f>
        <v>Външни стени (ъгли на сградата)</v>
      </c>
      <c r="O1464" s="133"/>
      <c r="P1464" s="133"/>
      <c r="Q1464" s="133"/>
      <c r="R1464" s="133">
        <f>I383</f>
        <v>0.26</v>
      </c>
      <c r="S1464" s="133">
        <f>J434</f>
        <v>-9.9999999999999996E-83</v>
      </c>
      <c r="V1464" s="240"/>
    </row>
    <row r="1465" spans="1:22" x14ac:dyDescent="0.3">
      <c r="A1465" s="736"/>
      <c r="B1465" s="737"/>
      <c r="C1465" s="737"/>
      <c r="D1465" s="737"/>
      <c r="E1465" s="737"/>
      <c r="F1465" s="738"/>
      <c r="G1465" s="739"/>
      <c r="H1465" s="741"/>
      <c r="I1465" s="565" t="s">
        <v>810</v>
      </c>
      <c r="J1465" s="565"/>
      <c r="K1465" s="565" t="s">
        <v>809</v>
      </c>
      <c r="L1465" s="565"/>
      <c r="M1465" s="333"/>
      <c r="N1465" s="133" t="str">
        <f>A435</f>
        <v>Покрив плоча или възд. &lt; 30см (покривна плоча към стена)</v>
      </c>
      <c r="O1465" s="133"/>
      <c r="P1465" s="133"/>
      <c r="Q1465" s="133"/>
      <c r="R1465" s="133">
        <f>I385</f>
        <v>0.25</v>
      </c>
      <c r="S1465" s="133">
        <f>J435</f>
        <v>1E-22</v>
      </c>
      <c r="V1465" s="240"/>
    </row>
    <row r="1466" spans="1:22" ht="18" x14ac:dyDescent="0.3">
      <c r="A1466" s="739"/>
      <c r="B1466" s="740"/>
      <c r="C1466" s="740"/>
      <c r="D1466" s="740"/>
      <c r="E1466" s="740"/>
      <c r="F1466" s="741"/>
      <c r="G1466" s="565" t="s">
        <v>892</v>
      </c>
      <c r="H1466" s="565"/>
      <c r="I1466" s="565" t="s">
        <v>811</v>
      </c>
      <c r="J1466" s="565"/>
      <c r="K1466" s="565" t="s">
        <v>811</v>
      </c>
      <c r="L1466" s="565"/>
      <c r="M1466" s="333"/>
      <c r="N1466" s="133" t="str">
        <f>A436</f>
        <v>Покрив с въздушна междина &gt; 30см (покривна плоча към стена)</v>
      </c>
      <c r="O1466" s="133"/>
      <c r="P1466" s="133"/>
      <c r="Q1466" s="133"/>
      <c r="R1466" s="133">
        <f ca="1">I394</f>
        <v>0.25515017089978215</v>
      </c>
      <c r="S1466" s="133">
        <f>J436</f>
        <v>1E-41</v>
      </c>
      <c r="T1466" s="133"/>
      <c r="V1466" s="240"/>
    </row>
    <row r="1467" spans="1:22" x14ac:dyDescent="0.3">
      <c r="A1467" s="603" t="s">
        <v>34</v>
      </c>
      <c r="B1467" s="603"/>
      <c r="C1467" s="603"/>
      <c r="D1467" s="603"/>
      <c r="E1467" s="603"/>
      <c r="F1467" s="603"/>
      <c r="G1467" s="687">
        <f>J434+J450</f>
        <v>0</v>
      </c>
      <c r="H1467" s="688"/>
      <c r="I1467" s="687" t="e">
        <f>(S1464*R1464+S1473*R1473)/(S1464+S1473)</f>
        <v>#DIV/0!</v>
      </c>
      <c r="J1467" s="688"/>
      <c r="K1467" s="687" t="e">
        <f>(I434*J434+I450*J450)/(J450+J434)</f>
        <v>#DIV/0!</v>
      </c>
      <c r="L1467" s="688"/>
      <c r="M1467" s="333"/>
      <c r="N1467" s="133" t="str">
        <f>A437</f>
        <v>Под над външен въздух</v>
      </c>
      <c r="O1467" s="133"/>
      <c r="P1467" s="133"/>
      <c r="Q1467" s="133"/>
      <c r="R1467" s="133">
        <f>I384</f>
        <v>0.25</v>
      </c>
      <c r="S1467" s="133">
        <f>J437</f>
        <v>0</v>
      </c>
      <c r="V1467" s="240"/>
    </row>
    <row r="1468" spans="1:22" x14ac:dyDescent="0.3">
      <c r="A1468" s="603" t="s">
        <v>33</v>
      </c>
      <c r="B1468" s="603"/>
      <c r="C1468" s="603"/>
      <c r="D1468" s="603"/>
      <c r="E1468" s="603"/>
      <c r="F1468" s="603"/>
      <c r="G1468" s="679">
        <f>SUM(H137-L92-SUM(W99:W133))</f>
        <v>0</v>
      </c>
      <c r="H1468" s="679"/>
      <c r="I1468" s="679">
        <v>1.4</v>
      </c>
      <c r="J1468" s="679"/>
      <c r="K1468" s="679">
        <f>K52</f>
        <v>1.4</v>
      </c>
      <c r="L1468" s="679"/>
      <c r="M1468" s="333"/>
      <c r="N1468" s="133"/>
      <c r="O1468" s="33"/>
      <c r="P1468" s="33"/>
      <c r="Q1468" s="33"/>
      <c r="R1468" s="33">
        <f ca="1">SUM(R1463:R1467)</f>
        <v>2.415150170899782</v>
      </c>
      <c r="S1468" s="33">
        <f>SUM(S1463:S1467)</f>
        <v>1E-22</v>
      </c>
      <c r="V1468" s="240"/>
    </row>
    <row r="1469" spans="1:22" x14ac:dyDescent="0.3">
      <c r="A1469" s="603" t="s">
        <v>806</v>
      </c>
      <c r="B1469" s="603"/>
      <c r="C1469" s="603"/>
      <c r="D1469" s="603"/>
      <c r="E1469" s="603"/>
      <c r="F1469" s="603"/>
      <c r="G1469" s="679">
        <f>L92+L134</f>
        <v>0</v>
      </c>
      <c r="H1469" s="679"/>
      <c r="I1469" s="679">
        <f>I1468</f>
        <v>1.4</v>
      </c>
      <c r="J1469" s="679"/>
      <c r="K1469" s="679">
        <f>K1468</f>
        <v>1.4</v>
      </c>
      <c r="L1469" s="679"/>
      <c r="M1469" s="333"/>
      <c r="N1469" s="1" t="s">
        <v>241</v>
      </c>
      <c r="O1469" s="1" t="s">
        <v>241</v>
      </c>
      <c r="P1469" s="1" t="s">
        <v>241</v>
      </c>
      <c r="Q1469" s="1" t="s">
        <v>241</v>
      </c>
      <c r="R1469" s="1" t="s">
        <v>241</v>
      </c>
      <c r="S1469" s="1" t="s">
        <v>241</v>
      </c>
      <c r="V1469" s="240"/>
    </row>
    <row r="1470" spans="1:22" x14ac:dyDescent="0.3">
      <c r="A1470" s="603" t="s">
        <v>32</v>
      </c>
      <c r="B1470" s="603"/>
      <c r="C1470" s="603"/>
      <c r="D1470" s="603"/>
      <c r="E1470" s="603"/>
      <c r="F1470" s="603"/>
      <c r="G1470" s="686">
        <f>SUM(W99:W133)</f>
        <v>0</v>
      </c>
      <c r="H1470" s="686"/>
      <c r="I1470" s="679">
        <v>2</v>
      </c>
      <c r="J1470" s="679"/>
      <c r="K1470" s="686">
        <f>K94</f>
        <v>2</v>
      </c>
      <c r="L1470" s="686"/>
      <c r="M1470" s="333"/>
      <c r="N1470" s="133" t="str">
        <f>A447</f>
        <v>Под над земя, без подземен етаж</v>
      </c>
      <c r="O1470" s="133"/>
      <c r="P1470" s="133"/>
      <c r="Q1470" s="133"/>
      <c r="R1470" s="133">
        <f>I391</f>
        <v>0.41485909103543445</v>
      </c>
      <c r="S1470" s="133">
        <f>J447</f>
        <v>9.9999999999999995E-45</v>
      </c>
      <c r="U1470" s="1">
        <f>R1470*S1470</f>
        <v>4.1485909103543443E-45</v>
      </c>
      <c r="V1470" s="240"/>
    </row>
    <row r="1471" spans="1:22" x14ac:dyDescent="0.3">
      <c r="A1471" s="603" t="s">
        <v>1075</v>
      </c>
      <c r="B1471" s="603"/>
      <c r="C1471" s="603"/>
      <c r="D1471" s="603"/>
      <c r="E1471" s="603"/>
      <c r="F1471" s="603"/>
      <c r="G1471" s="679">
        <f>SUM(J435:J436)-L92-L134</f>
        <v>1E-22</v>
      </c>
      <c r="H1471" s="679"/>
      <c r="I1471" s="679">
        <f ca="1">(S1465*R1465+S1466*R1466)/(S1465+S1466)</f>
        <v>0.25</v>
      </c>
      <c r="J1471" s="679"/>
      <c r="K1471" s="679">
        <f ca="1">(I435*J435+I436*J436)/G1471</f>
        <v>0.25069822466978497</v>
      </c>
      <c r="L1471" s="679"/>
      <c r="M1471" s="333"/>
      <c r="N1471" s="133" t="str">
        <f>A448</f>
        <v>Под земя, отопляем подземен етаж</v>
      </c>
      <c r="O1471" s="133"/>
      <c r="P1471" s="133"/>
      <c r="Q1471" s="133"/>
      <c r="R1471" s="133">
        <f>I392</f>
        <v>1.2318742706326768</v>
      </c>
      <c r="S1471" s="133">
        <f>J448</f>
        <v>0</v>
      </c>
      <c r="U1471" s="1">
        <f>R1471*S1471</f>
        <v>0</v>
      </c>
      <c r="V1471" s="240"/>
    </row>
    <row r="1472" spans="1:22" x14ac:dyDescent="0.3">
      <c r="A1472" s="603" t="s">
        <v>414</v>
      </c>
      <c r="B1472" s="603"/>
      <c r="C1472" s="603"/>
      <c r="D1472" s="603"/>
      <c r="E1472" s="603"/>
      <c r="F1472" s="603"/>
      <c r="G1472" s="679">
        <f>SUM(J447:J449)+J437</f>
        <v>9.9999999999999995E-45</v>
      </c>
      <c r="H1472" s="679"/>
      <c r="I1472" s="679">
        <f>U1474/S1474</f>
        <v>0.41485909103543445</v>
      </c>
      <c r="J1472" s="679"/>
      <c r="K1472" s="679">
        <f>(I437*J437+I447*J447+I448*J448+I449*J449)/G1472</f>
        <v>0.47771918674580288</v>
      </c>
      <c r="L1472" s="679"/>
      <c r="M1472" s="333"/>
      <c r="N1472" s="133" t="str">
        <f>A449</f>
        <v>Под над неотопляемо помещение</v>
      </c>
      <c r="O1472" s="133"/>
      <c r="P1472" s="133"/>
      <c r="Q1472" s="133"/>
      <c r="R1472" s="133">
        <f>I393</f>
        <v>0.40561344575718578</v>
      </c>
      <c r="S1472" s="133">
        <f>J449</f>
        <v>0</v>
      </c>
      <c r="T1472" s="133"/>
      <c r="U1472" s="1">
        <f>R1472*S1472</f>
        <v>0</v>
      </c>
      <c r="V1472" s="240"/>
    </row>
    <row r="1473" spans="1:22" x14ac:dyDescent="0.3">
      <c r="A1473" s="210"/>
      <c r="B1473" s="210"/>
      <c r="C1473" s="210"/>
      <c r="D1473" s="210"/>
      <c r="E1473" s="210"/>
      <c r="F1473" s="210"/>
      <c r="G1473" s="107"/>
      <c r="H1473" s="107"/>
      <c r="I1473" s="107"/>
      <c r="J1473" s="107"/>
      <c r="K1473" s="107"/>
      <c r="L1473" s="107"/>
      <c r="M1473" s="333"/>
      <c r="N1473" s="133" t="str">
        <f>A450</f>
        <v>Стена граничеща със земя</v>
      </c>
      <c r="O1473" s="133"/>
      <c r="P1473" s="133"/>
      <c r="Q1473" s="133"/>
      <c r="R1473" s="133">
        <f>I390</f>
        <v>0.41841004184100422</v>
      </c>
      <c r="S1473" s="133">
        <f>J450</f>
        <v>9.9999999999999996E-83</v>
      </c>
      <c r="T1473" s="133"/>
      <c r="V1473" s="240"/>
    </row>
    <row r="1474" spans="1:22" x14ac:dyDescent="0.3">
      <c r="A1474" s="671" t="s">
        <v>35</v>
      </c>
      <c r="B1474" s="671"/>
      <c r="C1474" s="671"/>
      <c r="D1474" s="671"/>
      <c r="E1474" s="671"/>
      <c r="F1474" s="671"/>
      <c r="G1474" s="671"/>
      <c r="H1474" s="671"/>
      <c r="I1474" s="671"/>
      <c r="J1474" s="671"/>
      <c r="K1474" s="671"/>
      <c r="L1474" s="671"/>
      <c r="M1474" s="333"/>
      <c r="N1474" s="133"/>
      <c r="O1474" s="33"/>
      <c r="P1474" s="33"/>
      <c r="Q1474" s="33"/>
      <c r="R1474" s="33">
        <f>SUM(R1470:R1472)</f>
        <v>2.0523468074252968</v>
      </c>
      <c r="S1474" s="33">
        <f>SUM(S1470:S1472)</f>
        <v>9.9999999999999995E-45</v>
      </c>
      <c r="U1474" s="33">
        <f>SUM(U1470:U1472)</f>
        <v>4.1485909103543443E-45</v>
      </c>
      <c r="V1474" s="240"/>
    </row>
    <row r="1475" spans="1:22" x14ac:dyDescent="0.3">
      <c r="A1475" s="569" t="s">
        <v>766</v>
      </c>
      <c r="B1475" s="569"/>
      <c r="C1475" s="569"/>
      <c r="D1475" s="569"/>
      <c r="E1475" s="569"/>
      <c r="F1475" s="569"/>
      <c r="G1475" s="565" t="s">
        <v>314</v>
      </c>
      <c r="H1475" s="565"/>
      <c r="I1475" s="565" t="s">
        <v>36</v>
      </c>
      <c r="J1475" s="565"/>
      <c r="K1475" s="565" t="s">
        <v>37</v>
      </c>
      <c r="L1475" s="565"/>
      <c r="M1475" s="333"/>
      <c r="N1475" s="240"/>
      <c r="O1475" s="449"/>
      <c r="P1475" s="240"/>
      <c r="Q1475" s="449"/>
      <c r="R1475" s="240"/>
      <c r="S1475" s="240"/>
      <c r="T1475" s="240"/>
      <c r="U1475" s="240"/>
      <c r="V1475" s="240"/>
    </row>
    <row r="1476" spans="1:22" x14ac:dyDescent="0.3">
      <c r="A1476" s="569"/>
      <c r="B1476" s="569"/>
      <c r="C1476" s="569"/>
      <c r="D1476" s="569"/>
      <c r="E1476" s="569"/>
      <c r="F1476" s="569"/>
      <c r="G1476" s="717"/>
      <c r="H1476" s="565"/>
      <c r="I1476" s="565"/>
      <c r="J1476" s="565"/>
      <c r="K1476" s="565"/>
      <c r="L1476" s="565"/>
      <c r="M1476" s="333"/>
      <c r="N1476" s="240"/>
      <c r="O1476" s="449"/>
      <c r="P1476" s="240"/>
      <c r="Q1476" s="449"/>
      <c r="R1476" s="240"/>
      <c r="S1476" s="240"/>
      <c r="T1476" s="240"/>
      <c r="U1476" s="240"/>
      <c r="V1476" s="240"/>
    </row>
    <row r="1477" spans="1:22" x14ac:dyDescent="0.3">
      <c r="A1477" s="566"/>
      <c r="B1477" s="566"/>
      <c r="C1477" s="566"/>
      <c r="D1477" s="566"/>
      <c r="E1477" s="566"/>
      <c r="F1477" s="566"/>
      <c r="G1477" s="705"/>
      <c r="H1477" s="694"/>
      <c r="I1477" s="705"/>
      <c r="J1477" s="694"/>
      <c r="K1477" s="705"/>
      <c r="L1477" s="694"/>
      <c r="M1477" s="333"/>
      <c r="N1477" s="240"/>
      <c r="O1477" s="449"/>
      <c r="P1477" s="240"/>
      <c r="Q1477" s="449"/>
      <c r="R1477" s="240"/>
      <c r="S1477" s="240"/>
      <c r="T1477" s="240"/>
      <c r="U1477" s="240"/>
      <c r="V1477" s="240"/>
    </row>
    <row r="1478" spans="1:22" x14ac:dyDescent="0.3">
      <c r="A1478" s="569" t="s">
        <v>40</v>
      </c>
      <c r="B1478" s="569"/>
      <c r="C1478" s="569"/>
      <c r="D1478" s="569"/>
      <c r="E1478" s="569"/>
      <c r="F1478" s="569"/>
      <c r="G1478" s="565" t="s">
        <v>314</v>
      </c>
      <c r="H1478" s="565"/>
      <c r="I1478" s="565" t="s">
        <v>36</v>
      </c>
      <c r="J1478" s="565"/>
      <c r="K1478" s="565" t="s">
        <v>37</v>
      </c>
      <c r="L1478" s="565"/>
      <c r="M1478" s="333"/>
      <c r="N1478" s="240"/>
      <c r="O1478" s="449"/>
      <c r="P1478" s="240"/>
      <c r="Q1478" s="449"/>
      <c r="R1478" s="240"/>
      <c r="S1478" s="240"/>
      <c r="T1478" s="240"/>
      <c r="U1478" s="240"/>
      <c r="V1478" s="240"/>
    </row>
    <row r="1479" spans="1:22" x14ac:dyDescent="0.3">
      <c r="A1479" s="569"/>
      <c r="B1479" s="569"/>
      <c r="C1479" s="569"/>
      <c r="D1479" s="569"/>
      <c r="E1479" s="569"/>
      <c r="F1479" s="569"/>
      <c r="G1479" s="717">
        <f>IF(K197=0,G208,"")</f>
        <v>420</v>
      </c>
      <c r="H1479" s="565"/>
      <c r="I1479" s="717">
        <f>G1479</f>
        <v>420</v>
      </c>
      <c r="J1479" s="565"/>
      <c r="K1479" s="565"/>
      <c r="L1479" s="565"/>
      <c r="M1479" s="333"/>
      <c r="N1479" s="240"/>
      <c r="O1479" s="449"/>
      <c r="P1479" s="240"/>
      <c r="Q1479" s="449"/>
      <c r="R1479" s="240"/>
      <c r="S1479" s="240"/>
      <c r="T1479" s="240"/>
      <c r="U1479" s="240"/>
      <c r="V1479" s="240"/>
    </row>
    <row r="1480" spans="1:22" x14ac:dyDescent="0.3">
      <c r="A1480" s="566"/>
      <c r="B1480" s="566"/>
      <c r="C1480" s="566"/>
      <c r="D1480" s="566"/>
      <c r="E1480" s="566"/>
      <c r="F1480" s="566"/>
      <c r="G1480" s="705"/>
      <c r="H1480" s="694"/>
      <c r="I1480" s="705"/>
      <c r="J1480" s="694"/>
      <c r="K1480" s="705"/>
      <c r="L1480" s="694"/>
      <c r="M1480" s="333"/>
      <c r="N1480" s="240"/>
      <c r="O1480" s="449"/>
      <c r="P1480" s="240"/>
      <c r="Q1480" s="449"/>
      <c r="R1480" s="240"/>
      <c r="S1480" s="240"/>
      <c r="T1480" s="240"/>
      <c r="U1480" s="240"/>
      <c r="V1480" s="240"/>
    </row>
    <row r="1481" spans="1:22" x14ac:dyDescent="0.3">
      <c r="A1481" s="721" t="s">
        <v>44</v>
      </c>
      <c r="B1481" s="721"/>
      <c r="C1481" s="721"/>
      <c r="D1481" s="721"/>
      <c r="E1481" s="721"/>
      <c r="F1481" s="722"/>
      <c r="G1481" s="565" t="s">
        <v>314</v>
      </c>
      <c r="H1481" s="565"/>
      <c r="I1481" s="565" t="s">
        <v>36</v>
      </c>
      <c r="J1481" s="565"/>
      <c r="K1481" s="565" t="s">
        <v>37</v>
      </c>
      <c r="L1481" s="565"/>
      <c r="M1481" s="333"/>
      <c r="N1481" s="240"/>
      <c r="O1481" s="449"/>
      <c r="P1481" s="240"/>
      <c r="Q1481" s="449"/>
      <c r="R1481" s="240"/>
      <c r="S1481" s="240"/>
      <c r="T1481" s="240"/>
      <c r="U1481" s="240"/>
      <c r="V1481" s="240"/>
    </row>
    <row r="1482" spans="1:22" x14ac:dyDescent="0.3">
      <c r="A1482" s="723"/>
      <c r="B1482" s="723"/>
      <c r="C1482" s="723"/>
      <c r="D1482" s="723"/>
      <c r="E1482" s="723"/>
      <c r="F1482" s="724"/>
      <c r="G1482" s="565" t="str">
        <f>IF(C253&lt;&gt;0,I216,"-")</f>
        <v>-</v>
      </c>
      <c r="H1482" s="565"/>
      <c r="I1482" s="565" t="str">
        <f>IF(C253&lt;&gt;0,I216,"-")</f>
        <v>-</v>
      </c>
      <c r="J1482" s="565"/>
      <c r="K1482" s="565"/>
      <c r="L1482" s="565"/>
      <c r="M1482" s="333"/>
      <c r="N1482" s="240"/>
      <c r="O1482" s="449"/>
      <c r="P1482" s="240"/>
      <c r="Q1482" s="449"/>
      <c r="R1482" s="240"/>
      <c r="S1482" s="240"/>
      <c r="T1482" s="240"/>
      <c r="U1482" s="240"/>
      <c r="V1482" s="240"/>
    </row>
    <row r="1483" spans="1:22" x14ac:dyDescent="0.3">
      <c r="A1483" s="725"/>
      <c r="B1483" s="725"/>
      <c r="C1483" s="725"/>
      <c r="D1483" s="725"/>
      <c r="E1483" s="725"/>
      <c r="F1483" s="726"/>
      <c r="G1483" s="705"/>
      <c r="H1483" s="694"/>
      <c r="I1483" s="705"/>
      <c r="J1483" s="694"/>
      <c r="K1483" s="705"/>
      <c r="L1483" s="694"/>
      <c r="M1483" s="333"/>
      <c r="N1483" s="240"/>
      <c r="O1483" s="449"/>
      <c r="P1483" s="240"/>
      <c r="Q1483" s="449"/>
      <c r="R1483" s="240"/>
      <c r="S1483" s="240"/>
      <c r="T1483" s="240"/>
      <c r="U1483" s="240"/>
      <c r="V1483" s="240"/>
    </row>
    <row r="1484" spans="1:22" x14ac:dyDescent="0.3">
      <c r="A1484" s="721" t="s">
        <v>38</v>
      </c>
      <c r="B1484" s="721"/>
      <c r="C1484" s="721"/>
      <c r="D1484" s="721"/>
      <c r="E1484" s="721"/>
      <c r="F1484" s="722"/>
      <c r="G1484" s="565" t="s">
        <v>314</v>
      </c>
      <c r="H1484" s="565"/>
      <c r="I1484" s="565" t="s">
        <v>36</v>
      </c>
      <c r="J1484" s="565"/>
      <c r="K1484" s="565" t="s">
        <v>37</v>
      </c>
      <c r="L1484" s="565"/>
      <c r="M1484" s="333"/>
      <c r="N1484" s="240"/>
      <c r="O1484" s="449"/>
      <c r="P1484" s="240"/>
      <c r="Q1484" s="449"/>
      <c r="R1484" s="240"/>
      <c r="S1484" s="240"/>
      <c r="T1484" s="240"/>
      <c r="U1484" s="240"/>
      <c r="V1484" s="240"/>
    </row>
    <row r="1485" spans="1:22" x14ac:dyDescent="0.3">
      <c r="A1485" s="723"/>
      <c r="B1485" s="723"/>
      <c r="C1485" s="723"/>
      <c r="D1485" s="723"/>
      <c r="E1485" s="723"/>
      <c r="F1485" s="724"/>
      <c r="G1485" s="565" t="str">
        <f>IF(K197=0,"",IF(G208&gt;100,G208/100,0))</f>
        <v/>
      </c>
      <c r="H1485" s="565"/>
      <c r="I1485" s="565" t="str">
        <f>G1485</f>
        <v/>
      </c>
      <c r="J1485" s="565"/>
      <c r="K1485" s="565"/>
      <c r="L1485" s="565"/>
      <c r="M1485" s="333"/>
      <c r="N1485" s="240"/>
      <c r="O1485" s="449"/>
      <c r="P1485" s="240"/>
      <c r="Q1485" s="449"/>
      <c r="R1485" s="240"/>
      <c r="S1485" s="240"/>
      <c r="T1485" s="240"/>
      <c r="U1485" s="240"/>
      <c r="V1485" s="240"/>
    </row>
    <row r="1486" spans="1:22" x14ac:dyDescent="0.3">
      <c r="A1486" s="725"/>
      <c r="B1486" s="725"/>
      <c r="C1486" s="725"/>
      <c r="D1486" s="725"/>
      <c r="E1486" s="725"/>
      <c r="F1486" s="726"/>
      <c r="G1486" s="705"/>
      <c r="H1486" s="694"/>
      <c r="I1486" s="705"/>
      <c r="J1486" s="694"/>
      <c r="K1486" s="705"/>
      <c r="L1486" s="694"/>
      <c r="M1486" s="333"/>
      <c r="O1486" s="449"/>
      <c r="P1486" s="240"/>
      <c r="Q1486" s="442"/>
    </row>
    <row r="1487" spans="1:22" ht="18" customHeight="1" x14ac:dyDescent="0.3">
      <c r="A1487" s="721" t="s">
        <v>39</v>
      </c>
      <c r="B1487" s="721"/>
      <c r="C1487" s="721"/>
      <c r="D1487" s="721"/>
      <c r="E1487" s="721"/>
      <c r="F1487" s="722"/>
      <c r="G1487" s="565" t="s">
        <v>314</v>
      </c>
      <c r="H1487" s="565"/>
      <c r="I1487" s="565" t="s">
        <v>36</v>
      </c>
      <c r="J1487" s="565"/>
      <c r="K1487" s="565" t="s">
        <v>37</v>
      </c>
      <c r="L1487" s="565"/>
      <c r="M1487" s="333"/>
      <c r="O1487" s="449"/>
      <c r="P1487" s="240"/>
      <c r="Q1487" s="442"/>
    </row>
    <row r="1488" spans="1:22" x14ac:dyDescent="0.3">
      <c r="A1488" s="723"/>
      <c r="B1488" s="723"/>
      <c r="C1488" s="723"/>
      <c r="D1488" s="723"/>
      <c r="E1488" s="723"/>
      <c r="F1488" s="724"/>
      <c r="G1488" s="565" t="str">
        <f>IF(K197=0,"",IF(H208&gt;100,H208/100,0))</f>
        <v/>
      </c>
      <c r="H1488" s="565"/>
      <c r="I1488" s="565" t="str">
        <f>G1488</f>
        <v/>
      </c>
      <c r="J1488" s="565"/>
      <c r="K1488" s="565" t="s">
        <v>950</v>
      </c>
      <c r="L1488" s="565"/>
      <c r="M1488" s="333"/>
      <c r="O1488" s="449"/>
      <c r="P1488" s="240"/>
      <c r="Q1488" s="442"/>
    </row>
    <row r="1489" spans="1:17" x14ac:dyDescent="0.3">
      <c r="A1489" s="725"/>
      <c r="B1489" s="725"/>
      <c r="C1489" s="725"/>
      <c r="D1489" s="725"/>
      <c r="E1489" s="725"/>
      <c r="F1489" s="726"/>
      <c r="G1489" s="565"/>
      <c r="H1489" s="565"/>
      <c r="I1489" s="565"/>
      <c r="J1489" s="565"/>
      <c r="K1489" s="565" t="s">
        <v>950</v>
      </c>
      <c r="L1489" s="565"/>
      <c r="M1489" s="333"/>
      <c r="O1489" s="449"/>
      <c r="P1489" s="240"/>
      <c r="Q1489" s="442"/>
    </row>
    <row r="1490" spans="1:17" x14ac:dyDescent="0.3">
      <c r="A1490" s="210"/>
      <c r="B1490" s="210"/>
      <c r="C1490" s="210"/>
      <c r="D1490" s="210"/>
      <c r="E1490" s="210"/>
      <c r="F1490" s="210"/>
      <c r="G1490" s="107"/>
      <c r="H1490" s="107"/>
      <c r="I1490" s="107"/>
      <c r="J1490" s="107"/>
      <c r="K1490" s="107"/>
      <c r="L1490" s="107"/>
      <c r="M1490" s="333"/>
      <c r="O1490" s="449"/>
      <c r="P1490" s="240"/>
      <c r="Q1490" s="442"/>
    </row>
    <row r="1491" spans="1:17" x14ac:dyDescent="0.3">
      <c r="A1491" s="671" t="s">
        <v>317</v>
      </c>
      <c r="B1491" s="671"/>
      <c r="C1491" s="671"/>
      <c r="D1491" s="671"/>
      <c r="E1491" s="671"/>
      <c r="F1491" s="671"/>
      <c r="G1491" s="671"/>
      <c r="H1491" s="671"/>
      <c r="I1491" s="671"/>
      <c r="J1491" s="671"/>
      <c r="K1491" s="671"/>
      <c r="L1491" s="671"/>
      <c r="M1491" s="333"/>
      <c r="O1491" s="449"/>
      <c r="P1491" s="240"/>
      <c r="Q1491" s="442"/>
    </row>
    <row r="1492" spans="1:17" x14ac:dyDescent="0.3">
      <c r="A1492" s="690" t="s">
        <v>392</v>
      </c>
      <c r="B1492" s="612"/>
      <c r="C1492" s="612"/>
      <c r="D1492" s="727" t="s">
        <v>758</v>
      </c>
      <c r="E1492" s="577"/>
      <c r="F1492" s="932" t="s">
        <v>327</v>
      </c>
      <c r="G1492" s="612"/>
      <c r="H1492" s="612"/>
      <c r="I1492" s="612"/>
      <c r="J1492" s="593"/>
      <c r="K1492" s="593"/>
      <c r="L1492" s="107"/>
      <c r="M1492" s="333"/>
      <c r="O1492" s="449"/>
      <c r="P1492" s="240"/>
      <c r="Q1492" s="442"/>
    </row>
    <row r="1493" spans="1:17" x14ac:dyDescent="0.3">
      <c r="A1493" s="612"/>
      <c r="B1493" s="612"/>
      <c r="C1493" s="612"/>
      <c r="D1493" s="577"/>
      <c r="E1493" s="577"/>
      <c r="F1493" s="690" t="s">
        <v>328</v>
      </c>
      <c r="G1493" s="690"/>
      <c r="H1493" s="566"/>
      <c r="I1493" s="690" t="s">
        <v>326</v>
      </c>
      <c r="J1493" s="690"/>
      <c r="K1493" s="566"/>
      <c r="L1493" s="107"/>
      <c r="M1493" s="333"/>
      <c r="O1493" s="449"/>
      <c r="P1493" s="240"/>
      <c r="Q1493" s="442"/>
    </row>
    <row r="1494" spans="1:17" x14ac:dyDescent="0.3">
      <c r="A1494" s="696" t="s">
        <v>484</v>
      </c>
      <c r="B1494" s="577"/>
      <c r="C1494" s="577"/>
      <c r="D1494" s="679" t="str">
        <f t="shared" ref="D1494:D1499" ca="1" si="505">I969</f>
        <v>ел. енергия</v>
      </c>
      <c r="E1494" s="565"/>
      <c r="F1494" s="679" t="e">
        <f ca="1">E969+AL969</f>
        <v>#DIV/0!</v>
      </c>
      <c r="G1494" s="593"/>
      <c r="H1494" s="593"/>
      <c r="I1494" s="700" t="e">
        <f ca="1">G969+AK969</f>
        <v>#DIV/0!</v>
      </c>
      <c r="J1494" s="701"/>
      <c r="K1494" s="701"/>
      <c r="L1494" s="107"/>
      <c r="M1494" s="333"/>
      <c r="O1494" s="449"/>
      <c r="P1494" s="240"/>
      <c r="Q1494" s="442"/>
    </row>
    <row r="1495" spans="1:17" x14ac:dyDescent="0.3">
      <c r="A1495" s="696" t="s">
        <v>322</v>
      </c>
      <c r="B1495" s="577"/>
      <c r="C1495" s="577"/>
      <c r="D1495" s="679" t="str">
        <f t="shared" ca="1" si="505"/>
        <v>ел. енергия</v>
      </c>
      <c r="E1495" s="565"/>
      <c r="F1495" s="467" t="e">
        <f ca="1">E970+AL970</f>
        <v>#DIV/0!</v>
      </c>
      <c r="G1495" s="963" t="e">
        <f ca="1">F1495+F1496</f>
        <v>#DIV/0!</v>
      </c>
      <c r="H1495" s="732"/>
      <c r="I1495" s="466">
        <f ca="1">G970+AK970</f>
        <v>0</v>
      </c>
      <c r="J1495" s="937">
        <f ca="1">I1495+I1496</f>
        <v>0</v>
      </c>
      <c r="K1495" s="938"/>
      <c r="L1495" s="107"/>
      <c r="M1495" s="333"/>
      <c r="O1495" s="449"/>
      <c r="P1495" s="240"/>
      <c r="Q1495" s="442"/>
    </row>
    <row r="1496" spans="1:17" x14ac:dyDescent="0.3">
      <c r="A1496" s="696" t="s">
        <v>323</v>
      </c>
      <c r="B1496" s="577"/>
      <c r="C1496" s="577"/>
      <c r="D1496" s="679" t="str">
        <f t="shared" ca="1" si="505"/>
        <v>ел. енергия</v>
      </c>
      <c r="E1496" s="565"/>
      <c r="F1496" s="467" t="e">
        <f ca="1">E971</f>
        <v>#DIV/0!</v>
      </c>
      <c r="G1496" s="739"/>
      <c r="H1496" s="741"/>
      <c r="I1496" s="466">
        <f ca="1">G971</f>
        <v>0</v>
      </c>
      <c r="J1496" s="939"/>
      <c r="K1496" s="940"/>
      <c r="L1496" s="107"/>
      <c r="M1496" s="333"/>
      <c r="O1496" s="449"/>
      <c r="P1496" s="240"/>
      <c r="Q1496" s="442"/>
    </row>
    <row r="1497" spans="1:17" x14ac:dyDescent="0.3">
      <c r="A1497" s="696" t="s">
        <v>757</v>
      </c>
      <c r="B1497" s="577"/>
      <c r="C1497" s="577"/>
      <c r="D1497" s="679" t="str">
        <f t="shared" ca="1" si="505"/>
        <v>ел. енергия</v>
      </c>
      <c r="E1497" s="565"/>
      <c r="F1497" s="679" t="e">
        <f ca="1">E972</f>
        <v>#DIV/0!</v>
      </c>
      <c r="G1497" s="593"/>
      <c r="H1497" s="593"/>
      <c r="I1497" s="700" t="e">
        <f ca="1">G972</f>
        <v>#DIV/0!</v>
      </c>
      <c r="J1497" s="701"/>
      <c r="K1497" s="701"/>
      <c r="L1497" s="107"/>
      <c r="M1497" s="333"/>
      <c r="O1497" s="449"/>
      <c r="P1497" s="240"/>
      <c r="Q1497" s="442"/>
    </row>
    <row r="1498" spans="1:17" x14ac:dyDescent="0.3">
      <c r="A1498" s="696" t="s">
        <v>324</v>
      </c>
      <c r="B1498" s="577"/>
      <c r="C1498" s="577"/>
      <c r="D1498" s="679" t="str">
        <f t="shared" ca="1" si="505"/>
        <v>ел. енергия</v>
      </c>
      <c r="E1498" s="565"/>
      <c r="F1498" s="467" t="e">
        <f ca="1">E973+AL973</f>
        <v>#DIV/0!</v>
      </c>
      <c r="G1498" s="957" t="e">
        <f ca="1">F1498+F1499</f>
        <v>#DIV/0!</v>
      </c>
      <c r="H1498" s="958"/>
      <c r="I1498" s="466">
        <f ca="1">G973+AK973</f>
        <v>2169.9800816326533</v>
      </c>
      <c r="J1498" s="937">
        <f ca="1">I1498+I1499</f>
        <v>3736.0506122448983</v>
      </c>
      <c r="K1498" s="938"/>
      <c r="L1498" s="961"/>
      <c r="M1498" s="669"/>
      <c r="N1498" s="669"/>
      <c r="O1498" s="668"/>
      <c r="P1498" s="669"/>
      <c r="Q1498" s="669"/>
    </row>
    <row r="1499" spans="1:17" x14ac:dyDescent="0.3">
      <c r="A1499" s="696" t="s">
        <v>325</v>
      </c>
      <c r="B1499" s="577"/>
      <c r="C1499" s="577"/>
      <c r="D1499" s="679" t="str">
        <f t="shared" ca="1" si="505"/>
        <v>ел. енергия</v>
      </c>
      <c r="E1499" s="565"/>
      <c r="F1499" s="467" t="e">
        <f ca="1">E974+AL974</f>
        <v>#DIV/0!</v>
      </c>
      <c r="G1499" s="959"/>
      <c r="H1499" s="960"/>
      <c r="I1499" s="466">
        <f ca="1">G974+AK974</f>
        <v>1566.070530612245</v>
      </c>
      <c r="J1499" s="939"/>
      <c r="K1499" s="940"/>
      <c r="L1499" s="962"/>
      <c r="M1499" s="670"/>
      <c r="N1499" s="670"/>
      <c r="O1499" s="670"/>
      <c r="P1499" s="670"/>
      <c r="Q1499" s="670"/>
    </row>
    <row r="1500" spans="1:17" x14ac:dyDescent="0.3">
      <c r="A1500" s="696" t="s">
        <v>300</v>
      </c>
      <c r="B1500" s="577"/>
      <c r="C1500" s="577"/>
      <c r="D1500" s="679" t="str">
        <f ca="1">I976</f>
        <v>ел. енергия</v>
      </c>
      <c r="E1500" s="565"/>
      <c r="F1500" s="679" t="e">
        <f ca="1">E976</f>
        <v>#DIV/0!</v>
      </c>
      <c r="G1500" s="593"/>
      <c r="H1500" s="593"/>
      <c r="I1500" s="700" t="e">
        <f ca="1">G976</f>
        <v>#DIV/0!</v>
      </c>
      <c r="J1500" s="701"/>
      <c r="K1500" s="701"/>
      <c r="L1500" s="107"/>
      <c r="M1500" s="333"/>
      <c r="O1500" s="449"/>
      <c r="P1500" s="240"/>
      <c r="Q1500" s="442"/>
    </row>
    <row r="1501" spans="1:17" x14ac:dyDescent="0.3">
      <c r="A1501" s="696" t="s">
        <v>429</v>
      </c>
      <c r="B1501" s="577"/>
      <c r="C1501" s="577"/>
      <c r="D1501" s="679" t="str">
        <f ca="1">I977</f>
        <v>ел. енергия</v>
      </c>
      <c r="E1501" s="565"/>
      <c r="F1501" s="679" t="e">
        <f ca="1">E977+E978+E975</f>
        <v>#DIV/0!</v>
      </c>
      <c r="G1501" s="593"/>
      <c r="H1501" s="593"/>
      <c r="I1501" s="700" t="e">
        <f ca="1">G977+G978+G975</f>
        <v>#DIV/0!</v>
      </c>
      <c r="J1501" s="701"/>
      <c r="K1501" s="701"/>
      <c r="L1501" s="107"/>
      <c r="M1501" s="333"/>
      <c r="O1501" s="449"/>
      <c r="P1501" s="240"/>
      <c r="Q1501" s="442"/>
    </row>
    <row r="1502" spans="1:17" x14ac:dyDescent="0.3">
      <c r="A1502" s="210"/>
      <c r="B1502" s="210"/>
      <c r="C1502" s="210"/>
      <c r="D1502" s="210"/>
      <c r="E1502" s="210"/>
      <c r="F1502" s="210"/>
      <c r="G1502" s="107"/>
      <c r="H1502" s="107"/>
      <c r="I1502" s="107"/>
      <c r="J1502" s="107"/>
      <c r="K1502" s="107"/>
      <c r="L1502" s="107"/>
      <c r="M1502" s="333"/>
      <c r="O1502" s="449"/>
      <c r="P1502" s="240"/>
      <c r="Q1502" s="442"/>
    </row>
    <row r="1503" spans="1:17" x14ac:dyDescent="0.3">
      <c r="A1503" s="603" t="s">
        <v>321</v>
      </c>
      <c r="B1503" s="566"/>
      <c r="C1503" s="566"/>
      <c r="D1503" s="566"/>
      <c r="E1503" s="566"/>
      <c r="F1503" s="566"/>
      <c r="G1503" s="566"/>
      <c r="H1503" s="566"/>
      <c r="I1503" s="601">
        <f>K190</f>
        <v>2300</v>
      </c>
      <c r="J1503" s="936"/>
      <c r="K1503" s="691" t="s">
        <v>854</v>
      </c>
      <c r="L1503" s="693"/>
      <c r="M1503" s="333"/>
      <c r="O1503" s="449"/>
      <c r="P1503" s="240"/>
      <c r="Q1503" s="442"/>
    </row>
    <row r="1504" spans="1:17" x14ac:dyDescent="0.3">
      <c r="A1504" s="603" t="s">
        <v>1199</v>
      </c>
      <c r="B1504" s="566"/>
      <c r="C1504" s="566"/>
      <c r="D1504" s="566"/>
      <c r="E1504" s="566"/>
      <c r="F1504" s="566"/>
      <c r="G1504" s="566"/>
      <c r="H1504" s="566"/>
      <c r="I1504" s="955">
        <f>K188</f>
        <v>5</v>
      </c>
      <c r="J1504" s="956"/>
      <c r="K1504" s="691"/>
      <c r="L1504" s="692"/>
      <c r="M1504" s="333"/>
      <c r="O1504" s="449"/>
      <c r="P1504" s="240"/>
      <c r="Q1504" s="442"/>
    </row>
    <row r="1505" spans="1:17" x14ac:dyDescent="0.3">
      <c r="A1505" s="210"/>
      <c r="B1505" s="210"/>
      <c r="C1505" s="210"/>
      <c r="D1505" s="210"/>
      <c r="E1505" s="210"/>
      <c r="F1505" s="210"/>
      <c r="G1505" s="107"/>
      <c r="H1505" s="107"/>
      <c r="I1505" s="107"/>
      <c r="J1505" s="107"/>
      <c r="K1505" s="107"/>
      <c r="L1505" s="107"/>
      <c r="M1505" s="333"/>
      <c r="O1505" s="449"/>
      <c r="P1505" s="240"/>
      <c r="Q1505" s="442"/>
    </row>
    <row r="1506" spans="1:17" ht="18" x14ac:dyDescent="0.35">
      <c r="A1506" s="714" t="s">
        <v>368</v>
      </c>
      <c r="B1506" s="714"/>
      <c r="C1506" s="714"/>
      <c r="D1506" s="714"/>
      <c r="E1506" s="714"/>
      <c r="F1506" s="714"/>
      <c r="G1506" s="714"/>
      <c r="H1506" s="714"/>
      <c r="I1506" s="714"/>
      <c r="J1506" s="714"/>
      <c r="K1506" s="714"/>
      <c r="L1506" s="715"/>
      <c r="M1506" s="333"/>
      <c r="O1506" s="449"/>
      <c r="P1506" s="240"/>
      <c r="Q1506" s="442"/>
    </row>
    <row r="1507" spans="1:17" x14ac:dyDescent="0.3">
      <c r="A1507" s="215"/>
      <c r="B1507" s="383"/>
      <c r="C1507" s="383"/>
      <c r="D1507" s="383"/>
      <c r="E1507" s="383"/>
      <c r="F1507" s="384"/>
      <c r="G1507" s="385"/>
      <c r="H1507" s="385"/>
      <c r="I1507" s="385"/>
      <c r="J1507" s="382"/>
      <c r="K1507" s="382"/>
      <c r="L1507" s="382"/>
      <c r="M1507" s="333"/>
      <c r="O1507" s="449"/>
      <c r="P1507" s="240"/>
      <c r="Q1507" s="442"/>
    </row>
    <row r="1508" spans="1:17" x14ac:dyDescent="0.3">
      <c r="A1508" s="744" t="s">
        <v>346</v>
      </c>
      <c r="B1508" s="744"/>
      <c r="C1508" s="744"/>
      <c r="D1508" s="744"/>
      <c r="E1508" s="744"/>
      <c r="F1508" s="744"/>
      <c r="G1508" s="744"/>
      <c r="H1508" s="744"/>
      <c r="I1508" s="744"/>
      <c r="J1508" s="744"/>
      <c r="K1508" s="744"/>
      <c r="L1508" s="745"/>
      <c r="M1508" s="333"/>
      <c r="O1508" s="449"/>
      <c r="P1508" s="240"/>
      <c r="Q1508" s="442"/>
    </row>
    <row r="1509" spans="1:17" x14ac:dyDescent="0.3">
      <c r="A1509" s="215"/>
      <c r="B1509" s="383"/>
      <c r="C1509" s="383"/>
      <c r="D1509" s="383"/>
      <c r="E1509" s="383"/>
      <c r="F1509" s="384"/>
      <c r="G1509" s="385"/>
      <c r="H1509" s="385"/>
      <c r="I1509" s="385"/>
      <c r="J1509" s="382"/>
      <c r="K1509" s="382"/>
      <c r="L1509" s="382"/>
      <c r="M1509" s="333"/>
      <c r="O1509" s="449"/>
      <c r="P1509" s="240"/>
      <c r="Q1509" s="442"/>
    </row>
    <row r="1510" spans="1:17" x14ac:dyDescent="0.3">
      <c r="A1510" s="746" t="s">
        <v>347</v>
      </c>
      <c r="B1510" s="746"/>
      <c r="C1510" s="746"/>
      <c r="D1510" s="471" t="s">
        <v>348</v>
      </c>
      <c r="E1510" s="471" t="s">
        <v>807</v>
      </c>
      <c r="F1510" s="472" t="s">
        <v>350</v>
      </c>
      <c r="G1510" s="473" t="s">
        <v>349</v>
      </c>
      <c r="H1510" s="473" t="s">
        <v>358</v>
      </c>
      <c r="I1510" s="385"/>
      <c r="J1510" s="382"/>
      <c r="K1510" s="382"/>
      <c r="L1510" s="382"/>
      <c r="M1510" s="333"/>
      <c r="O1510" s="449"/>
      <c r="P1510" s="240"/>
      <c r="Q1510" s="442"/>
    </row>
    <row r="1511" spans="1:17" x14ac:dyDescent="0.3">
      <c r="A1511" s="747" t="s">
        <v>950</v>
      </c>
      <c r="B1511" s="748"/>
      <c r="C1511" s="749"/>
      <c r="D1511" s="471" t="s">
        <v>356</v>
      </c>
      <c r="E1511" s="471" t="s">
        <v>357</v>
      </c>
      <c r="F1511" s="472" t="s">
        <v>946</v>
      </c>
      <c r="G1511" s="473" t="s">
        <v>946</v>
      </c>
      <c r="H1511" s="473" t="s">
        <v>949</v>
      </c>
      <c r="I1511" s="385"/>
      <c r="J1511" s="382"/>
      <c r="K1511" s="382"/>
      <c r="L1511" s="382"/>
      <c r="M1511" s="333"/>
      <c r="O1511" s="449"/>
      <c r="P1511" s="240"/>
      <c r="Q1511" s="442"/>
    </row>
    <row r="1512" spans="1:17" x14ac:dyDescent="0.3">
      <c r="A1512" s="746" t="s">
        <v>351</v>
      </c>
      <c r="B1512" s="746"/>
      <c r="C1512" s="746"/>
      <c r="D1512" s="473">
        <f>L1162</f>
        <v>0.24821613270047677</v>
      </c>
      <c r="E1512" s="476">
        <f>E145</f>
        <v>0</v>
      </c>
      <c r="F1512" s="477">
        <f>$K$181</f>
        <v>19</v>
      </c>
      <c r="G1512" s="473">
        <f>$K$177</f>
        <v>-10</v>
      </c>
      <c r="H1512" s="473">
        <f>D1512*E1512*(F1512-G1512)</f>
        <v>0</v>
      </c>
      <c r="I1512" s="385"/>
      <c r="J1512" s="382"/>
      <c r="K1512" s="382"/>
      <c r="L1512" s="382"/>
      <c r="M1512" s="333"/>
      <c r="O1512" s="449"/>
      <c r="P1512" s="240"/>
      <c r="Q1512" s="442"/>
    </row>
    <row r="1513" spans="1:17" x14ac:dyDescent="0.3">
      <c r="A1513" s="746" t="s">
        <v>354</v>
      </c>
      <c r="B1513" s="746"/>
      <c r="C1513" s="746"/>
      <c r="D1513" s="473">
        <f>L1180</f>
        <v>0.31050280985852913</v>
      </c>
      <c r="E1513" s="476">
        <f>F145</f>
        <v>0</v>
      </c>
      <c r="F1513" s="477">
        <f t="shared" ref="F1513:F1523" si="506">$K$181</f>
        <v>19</v>
      </c>
      <c r="G1513" s="473">
        <f t="shared" ref="G1513:G1520" si="507">$K$177</f>
        <v>-10</v>
      </c>
      <c r="H1513" s="473">
        <f t="shared" ref="H1513:H1523" si="508">D1513*E1513*(F1513-G1513)</f>
        <v>0</v>
      </c>
      <c r="I1513" s="385"/>
      <c r="J1513" s="382"/>
      <c r="K1513" s="382"/>
      <c r="L1513" s="382"/>
      <c r="M1513" s="333"/>
      <c r="O1513" s="449"/>
      <c r="P1513" s="240"/>
      <c r="Q1513" s="442"/>
    </row>
    <row r="1514" spans="1:17" x14ac:dyDescent="0.3">
      <c r="A1514" s="746" t="s">
        <v>355</v>
      </c>
      <c r="B1514" s="746"/>
      <c r="C1514" s="746"/>
      <c r="D1514" s="473">
        <f>L1194</f>
        <v>0.24821613270047677</v>
      </c>
      <c r="E1514" s="476">
        <f>G145</f>
        <v>0</v>
      </c>
      <c r="F1514" s="477">
        <f t="shared" si="506"/>
        <v>19</v>
      </c>
      <c r="G1514" s="473">
        <f t="shared" si="507"/>
        <v>-10</v>
      </c>
      <c r="H1514" s="473">
        <f t="shared" si="508"/>
        <v>0</v>
      </c>
      <c r="I1514" s="385"/>
      <c r="J1514" s="382"/>
      <c r="K1514" s="382"/>
      <c r="L1514" s="382"/>
      <c r="M1514" s="333"/>
      <c r="O1514" s="449"/>
      <c r="P1514" s="240"/>
      <c r="Q1514" s="442"/>
    </row>
    <row r="1515" spans="1:17" x14ac:dyDescent="0.3">
      <c r="A1515" s="746" t="s">
        <v>352</v>
      </c>
      <c r="B1515" s="746"/>
      <c r="C1515" s="746"/>
      <c r="D1515" s="471">
        <f>K52</f>
        <v>1.4</v>
      </c>
      <c r="E1515" s="473">
        <f>SUM(D92:L92)</f>
        <v>0</v>
      </c>
      <c r="F1515" s="477">
        <f t="shared" si="506"/>
        <v>19</v>
      </c>
      <c r="G1515" s="473">
        <f t="shared" si="507"/>
        <v>-10</v>
      </c>
      <c r="H1515" s="473">
        <f t="shared" si="508"/>
        <v>0</v>
      </c>
      <c r="I1515" s="385"/>
      <c r="J1515" s="382"/>
      <c r="K1515" s="382"/>
      <c r="L1515" s="382"/>
      <c r="M1515" s="333"/>
      <c r="O1515" s="449"/>
      <c r="P1515" s="240"/>
      <c r="Q1515" s="442"/>
    </row>
    <row r="1516" spans="1:17" x14ac:dyDescent="0.3">
      <c r="A1516" s="746" t="s">
        <v>353</v>
      </c>
      <c r="B1516" s="746"/>
      <c r="C1516" s="746"/>
      <c r="D1516" s="476">
        <f>K94</f>
        <v>2</v>
      </c>
      <c r="E1516" s="473">
        <f>SUM(D134:L134)</f>
        <v>0</v>
      </c>
      <c r="F1516" s="477">
        <f t="shared" si="506"/>
        <v>19</v>
      </c>
      <c r="G1516" s="473">
        <f t="shared" si="507"/>
        <v>-10</v>
      </c>
      <c r="H1516" s="473">
        <f t="shared" si="508"/>
        <v>0</v>
      </c>
      <c r="I1516" s="385"/>
      <c r="J1516" s="382"/>
      <c r="K1516" s="382"/>
      <c r="L1516" s="382"/>
      <c r="M1516" s="333"/>
      <c r="O1516" s="449"/>
      <c r="P1516" s="240"/>
      <c r="Q1516" s="442"/>
    </row>
    <row r="1517" spans="1:17" x14ac:dyDescent="0.3">
      <c r="A1517" s="746" t="s">
        <v>363</v>
      </c>
      <c r="B1517" s="746"/>
      <c r="C1517" s="746"/>
      <c r="D1517" s="473">
        <f ca="1">L1115</f>
        <v>0.21257066417245804</v>
      </c>
      <c r="E1517" s="476">
        <f>B145</f>
        <v>1E-41</v>
      </c>
      <c r="F1517" s="477">
        <f t="shared" si="506"/>
        <v>19</v>
      </c>
      <c r="G1517" s="473">
        <f t="shared" si="507"/>
        <v>-10</v>
      </c>
      <c r="H1517" s="473">
        <f t="shared" ca="1" si="508"/>
        <v>6.1645492610012829E-41</v>
      </c>
      <c r="I1517" s="385"/>
      <c r="J1517" s="382"/>
      <c r="K1517" s="382"/>
      <c r="L1517" s="382"/>
      <c r="M1517" s="333"/>
      <c r="O1517" s="449"/>
      <c r="P1517" s="240"/>
      <c r="Q1517" s="442"/>
    </row>
    <row r="1518" spans="1:17" x14ac:dyDescent="0.3">
      <c r="A1518" s="746" t="s">
        <v>364</v>
      </c>
      <c r="B1518" s="746"/>
      <c r="C1518" s="746"/>
      <c r="D1518" s="473">
        <f>L1132</f>
        <v>0.25069822466978497</v>
      </c>
      <c r="E1518" s="476">
        <f>C145</f>
        <v>1E-22</v>
      </c>
      <c r="F1518" s="477">
        <f t="shared" si="506"/>
        <v>19</v>
      </c>
      <c r="G1518" s="473">
        <f t="shared" si="507"/>
        <v>-10</v>
      </c>
      <c r="H1518" s="473">
        <f t="shared" si="508"/>
        <v>7.2702485154237641E-22</v>
      </c>
      <c r="I1518" s="385"/>
      <c r="J1518" s="382"/>
      <c r="K1518" s="382"/>
      <c r="L1518" s="382"/>
      <c r="M1518" s="333"/>
      <c r="O1518" s="449"/>
      <c r="P1518" s="240"/>
      <c r="Q1518" s="442"/>
    </row>
    <row r="1519" spans="1:17" x14ac:dyDescent="0.3">
      <c r="A1519" s="746" t="s">
        <v>365</v>
      </c>
      <c r="B1519" s="746"/>
      <c r="C1519" s="746"/>
      <c r="D1519" s="473">
        <f>L1148</f>
        <v>0.25099071131333112</v>
      </c>
      <c r="E1519" s="476">
        <f>D145</f>
        <v>1E-52</v>
      </c>
      <c r="F1519" s="477">
        <f t="shared" si="506"/>
        <v>19</v>
      </c>
      <c r="G1519" s="473">
        <f t="shared" si="507"/>
        <v>-10</v>
      </c>
      <c r="H1519" s="473">
        <f t="shared" si="508"/>
        <v>7.2787306280866024E-52</v>
      </c>
      <c r="I1519" s="385"/>
      <c r="J1519" s="382"/>
      <c r="K1519" s="382"/>
      <c r="L1519" s="382"/>
      <c r="M1519" s="333"/>
      <c r="O1519" s="449"/>
      <c r="P1519" s="240"/>
      <c r="Q1519" s="442"/>
    </row>
    <row r="1520" spans="1:17" x14ac:dyDescent="0.3">
      <c r="A1520" s="746" t="s">
        <v>359</v>
      </c>
      <c r="B1520" s="746"/>
      <c r="C1520" s="746"/>
      <c r="D1520" s="473">
        <f>L1210</f>
        <v>0.25276256708669598</v>
      </c>
      <c r="E1520" s="476">
        <f>H145</f>
        <v>0</v>
      </c>
      <c r="F1520" s="477">
        <f t="shared" si="506"/>
        <v>19</v>
      </c>
      <c r="G1520" s="473">
        <f t="shared" si="507"/>
        <v>-10</v>
      </c>
      <c r="H1520" s="473">
        <f t="shared" si="508"/>
        <v>0</v>
      </c>
      <c r="I1520" s="385"/>
      <c r="J1520" s="382"/>
      <c r="K1520" s="382"/>
      <c r="L1520" s="382"/>
      <c r="M1520" s="333"/>
      <c r="O1520" s="449"/>
      <c r="P1520" s="240"/>
      <c r="Q1520" s="442"/>
    </row>
    <row r="1521" spans="1:17" x14ac:dyDescent="0.3">
      <c r="A1521" s="746" t="s">
        <v>360</v>
      </c>
      <c r="B1521" s="746"/>
      <c r="C1521" s="746"/>
      <c r="D1521" s="473">
        <f>L1265</f>
        <v>0.47771918674580288</v>
      </c>
      <c r="E1521" s="476">
        <f>I145</f>
        <v>9.9999999999999995E-45</v>
      </c>
      <c r="F1521" s="477">
        <f t="shared" si="506"/>
        <v>19</v>
      </c>
      <c r="G1521" s="473">
        <v>0</v>
      </c>
      <c r="H1521" s="473">
        <f t="shared" si="508"/>
        <v>9.0766645481702538E-44</v>
      </c>
      <c r="I1521" s="385"/>
      <c r="J1521" s="382"/>
      <c r="K1521" s="382"/>
      <c r="L1521" s="382"/>
      <c r="M1521" s="333"/>
      <c r="O1521" s="449"/>
      <c r="P1521" s="240"/>
      <c r="Q1521" s="442"/>
    </row>
    <row r="1522" spans="1:17" x14ac:dyDescent="0.3">
      <c r="A1522" s="746" t="s">
        <v>361</v>
      </c>
      <c r="B1522" s="746"/>
      <c r="C1522" s="746"/>
      <c r="D1522" s="473">
        <f>L1399</f>
        <v>0.35396073262513633</v>
      </c>
      <c r="E1522" s="476">
        <f>K145</f>
        <v>0</v>
      </c>
      <c r="F1522" s="477">
        <f t="shared" si="506"/>
        <v>19</v>
      </c>
      <c r="G1522" s="473">
        <v>0</v>
      </c>
      <c r="H1522" s="473">
        <f t="shared" si="508"/>
        <v>0</v>
      </c>
      <c r="I1522" s="385"/>
      <c r="J1522" s="382"/>
      <c r="K1522" s="382"/>
      <c r="L1522" s="382"/>
      <c r="M1522" s="333"/>
      <c r="O1522" s="449"/>
      <c r="P1522" s="240"/>
      <c r="Q1522" s="442"/>
    </row>
    <row r="1523" spans="1:17" x14ac:dyDescent="0.3">
      <c r="A1523" s="746" t="s">
        <v>362</v>
      </c>
      <c r="B1523" s="746"/>
      <c r="C1523" s="746"/>
      <c r="D1523" s="473">
        <f>L1319</f>
        <v>0.41711237387778188</v>
      </c>
      <c r="E1523" s="476">
        <f>J145</f>
        <v>0</v>
      </c>
      <c r="F1523" s="477">
        <f t="shared" si="506"/>
        <v>19</v>
      </c>
      <c r="G1523" s="473">
        <v>10</v>
      </c>
      <c r="H1523" s="473">
        <f t="shared" si="508"/>
        <v>0</v>
      </c>
      <c r="I1523" s="385"/>
      <c r="J1523" s="382"/>
      <c r="K1523" s="382"/>
      <c r="L1523" s="382"/>
      <c r="M1523" s="333"/>
      <c r="O1523" s="449"/>
      <c r="P1523" s="240"/>
      <c r="Q1523" s="442"/>
    </row>
    <row r="1524" spans="1:17" x14ac:dyDescent="0.3">
      <c r="A1524" s="751" t="s">
        <v>886</v>
      </c>
      <c r="B1524" s="751"/>
      <c r="C1524" s="751"/>
      <c r="D1524" s="474"/>
      <c r="E1524" s="475">
        <f>SUM(E1512:E1523)</f>
        <v>1E-22</v>
      </c>
      <c r="F1524" s="472"/>
      <c r="G1524" s="473"/>
      <c r="H1524" s="475">
        <f ca="1">SUM(H1512:H1523)</f>
        <v>7.2702485154237641E-22</v>
      </c>
      <c r="I1524" s="385"/>
      <c r="J1524" s="382"/>
      <c r="K1524" s="382"/>
      <c r="L1524" s="382"/>
      <c r="M1524" s="333"/>
      <c r="O1524" s="449"/>
      <c r="P1524" s="240"/>
      <c r="Q1524" s="442"/>
    </row>
    <row r="1525" spans="1:17" x14ac:dyDescent="0.3">
      <c r="A1525" s="215"/>
      <c r="B1525" s="383"/>
      <c r="C1525" s="383"/>
      <c r="D1525" s="383"/>
      <c r="E1525" s="383"/>
      <c r="F1525" s="384"/>
      <c r="G1525" s="385"/>
      <c r="H1525" s="385"/>
      <c r="I1525" s="385"/>
      <c r="J1525" s="382"/>
      <c r="K1525" s="382"/>
      <c r="L1525" s="382"/>
      <c r="M1525" s="333"/>
      <c r="O1525" s="449"/>
      <c r="P1525" s="240"/>
      <c r="Q1525" s="442"/>
    </row>
    <row r="1526" spans="1:17" x14ac:dyDescent="0.3">
      <c r="A1526" s="215"/>
      <c r="B1526" s="383"/>
      <c r="C1526" s="383"/>
      <c r="D1526" s="383"/>
      <c r="E1526" s="383"/>
      <c r="F1526" s="384"/>
      <c r="G1526" s="385"/>
      <c r="H1526" s="385"/>
      <c r="I1526" s="385"/>
      <c r="J1526" s="382"/>
      <c r="K1526" s="382"/>
      <c r="L1526" s="382"/>
      <c r="M1526" s="333"/>
      <c r="O1526" s="449"/>
      <c r="P1526" s="240"/>
      <c r="Q1526" s="442"/>
    </row>
    <row r="1527" spans="1:17" x14ac:dyDescent="0.3">
      <c r="A1527" s="647" t="s">
        <v>366</v>
      </c>
      <c r="B1527" s="647"/>
      <c r="C1527" s="647"/>
      <c r="D1527" s="647"/>
      <c r="E1527" s="647"/>
      <c r="F1527" s="647"/>
      <c r="G1527" s="647"/>
      <c r="H1527" s="647"/>
      <c r="I1527" s="478" t="s">
        <v>367</v>
      </c>
      <c r="J1527" s="941">
        <f ca="1">H1524/1000</f>
        <v>7.2702485154237643E-25</v>
      </c>
      <c r="K1527" s="941"/>
      <c r="L1527" s="479" t="s">
        <v>1080</v>
      </c>
      <c r="M1527" s="333"/>
      <c r="O1527" s="449"/>
      <c r="P1527" s="240"/>
      <c r="Q1527" s="442"/>
    </row>
    <row r="1528" spans="1:17" x14ac:dyDescent="0.3">
      <c r="A1528" s="647"/>
      <c r="B1528" s="647"/>
      <c r="C1528" s="647"/>
      <c r="D1528" s="647"/>
      <c r="E1528" s="647"/>
      <c r="F1528" s="647"/>
      <c r="G1528" s="647"/>
      <c r="H1528" s="647"/>
      <c r="I1528" s="478" t="s">
        <v>768</v>
      </c>
      <c r="J1528" s="941" t="e">
        <f ca="1">H1524/F25</f>
        <v>#DIV/0!</v>
      </c>
      <c r="K1528" s="941"/>
      <c r="L1528" s="479" t="s">
        <v>769</v>
      </c>
      <c r="M1528" s="333"/>
      <c r="O1528" s="449"/>
      <c r="P1528" s="240"/>
      <c r="Q1528" s="442"/>
    </row>
    <row r="1529" spans="1:17" x14ac:dyDescent="0.3">
      <c r="A1529" s="942" t="s">
        <v>767</v>
      </c>
      <c r="B1529" s="942"/>
      <c r="C1529" s="942"/>
      <c r="D1529" s="942"/>
      <c r="E1529" s="942"/>
      <c r="F1529" s="942"/>
      <c r="G1529" s="942"/>
      <c r="H1529" s="942"/>
      <c r="I1529" s="752" t="s">
        <v>367</v>
      </c>
      <c r="J1529" s="753">
        <f>F25*J1531</f>
        <v>0</v>
      </c>
      <c r="K1529" s="753"/>
      <c r="L1529" s="750" t="s">
        <v>1080</v>
      </c>
      <c r="M1529" s="333"/>
      <c r="O1529" s="449"/>
      <c r="P1529" s="240"/>
      <c r="Q1529" s="442"/>
    </row>
    <row r="1530" spans="1:17" x14ac:dyDescent="0.3">
      <c r="A1530" s="943"/>
      <c r="B1530" s="943"/>
      <c r="C1530" s="943"/>
      <c r="D1530" s="943"/>
      <c r="E1530" s="943"/>
      <c r="F1530" s="943"/>
      <c r="G1530" s="943"/>
      <c r="H1530" s="943"/>
      <c r="I1530" s="752"/>
      <c r="J1530" s="636"/>
      <c r="K1530" s="636"/>
      <c r="L1530" s="636"/>
      <c r="M1530" s="333"/>
      <c r="O1530" s="449"/>
      <c r="P1530" s="240"/>
      <c r="Q1530" s="442"/>
    </row>
    <row r="1531" spans="1:17" x14ac:dyDescent="0.3">
      <c r="A1531" s="942"/>
      <c r="B1531" s="942"/>
      <c r="C1531" s="942"/>
      <c r="D1531" s="942"/>
      <c r="E1531" s="942"/>
      <c r="F1531" s="942"/>
      <c r="G1531" s="942"/>
      <c r="H1531" s="942"/>
      <c r="I1531" s="752" t="s">
        <v>768</v>
      </c>
      <c r="J1531" s="753">
        <v>25</v>
      </c>
      <c r="K1531" s="753"/>
      <c r="L1531" s="750" t="s">
        <v>769</v>
      </c>
      <c r="M1531" s="333"/>
      <c r="O1531" s="449"/>
      <c r="P1531" s="240"/>
      <c r="Q1531" s="442"/>
    </row>
    <row r="1532" spans="1:17" x14ac:dyDescent="0.3">
      <c r="A1532" s="943"/>
      <c r="B1532" s="943"/>
      <c r="C1532" s="943"/>
      <c r="D1532" s="943"/>
      <c r="E1532" s="943"/>
      <c r="F1532" s="943"/>
      <c r="G1532" s="943"/>
      <c r="H1532" s="943"/>
      <c r="I1532" s="752"/>
      <c r="J1532" s="636"/>
      <c r="K1532" s="636"/>
      <c r="L1532" s="636"/>
      <c r="M1532" s="333"/>
      <c r="O1532" s="449"/>
      <c r="P1532" s="240"/>
      <c r="Q1532" s="442"/>
    </row>
    <row r="1533" spans="1:17" x14ac:dyDescent="0.3">
      <c r="A1533" s="210"/>
      <c r="B1533" s="210"/>
      <c r="C1533" s="210"/>
      <c r="D1533" s="210"/>
      <c r="E1533" s="210"/>
      <c r="F1533" s="210"/>
      <c r="G1533" s="107"/>
      <c r="H1533" s="107"/>
      <c r="I1533" s="107"/>
      <c r="J1533" s="107"/>
      <c r="K1533" s="107"/>
      <c r="L1533" s="107"/>
      <c r="M1533" s="333"/>
      <c r="O1533" s="449"/>
      <c r="P1533" s="240"/>
      <c r="Q1533" s="442"/>
    </row>
    <row r="1534" spans="1:17" x14ac:dyDescent="0.3">
      <c r="A1534" s="210"/>
      <c r="B1534" s="210"/>
      <c r="C1534" s="210"/>
      <c r="D1534" s="210"/>
      <c r="E1534" s="210"/>
      <c r="F1534" s="210"/>
      <c r="G1534" s="107"/>
      <c r="H1534" s="107"/>
      <c r="I1534" s="107"/>
      <c r="J1534" s="107"/>
      <c r="K1534" s="107"/>
      <c r="L1534" s="107"/>
      <c r="M1534" s="333"/>
      <c r="O1534" s="449"/>
      <c r="P1534" s="240"/>
      <c r="Q1534" s="442"/>
    </row>
    <row r="1535" spans="1:17" x14ac:dyDescent="0.3">
      <c r="A1535" s="210"/>
      <c r="B1535" s="210"/>
      <c r="C1535" s="210"/>
      <c r="D1535" s="210"/>
      <c r="E1535" s="210"/>
      <c r="F1535" s="210"/>
      <c r="G1535" s="107"/>
      <c r="H1535" s="107"/>
      <c r="I1535" s="107"/>
      <c r="J1535" s="107"/>
      <c r="K1535" s="107"/>
      <c r="L1535" s="107"/>
      <c r="M1535" s="333"/>
      <c r="O1535" s="449"/>
      <c r="P1535" s="240"/>
      <c r="Q1535" s="442"/>
    </row>
    <row r="1536" spans="1:17" x14ac:dyDescent="0.3">
      <c r="A1536" s="210"/>
      <c r="B1536" s="210"/>
      <c r="C1536" s="210"/>
      <c r="D1536" s="210"/>
      <c r="E1536" s="210"/>
      <c r="F1536" s="210"/>
      <c r="G1536" s="107"/>
      <c r="H1536" s="107"/>
      <c r="I1536" s="107"/>
      <c r="J1536" s="107"/>
      <c r="K1536" s="107"/>
      <c r="L1536" s="107"/>
      <c r="M1536" s="333"/>
      <c r="O1536" s="449"/>
      <c r="P1536" s="240"/>
      <c r="Q1536" s="442"/>
    </row>
    <row r="1537" spans="1:17" x14ac:dyDescent="0.3">
      <c r="A1537" s="210"/>
      <c r="B1537" s="210"/>
      <c r="C1537" s="210"/>
      <c r="D1537" s="210"/>
      <c r="E1537" s="210"/>
      <c r="F1537" s="210"/>
      <c r="G1537" s="107"/>
      <c r="H1537" s="107"/>
      <c r="I1537" s="107"/>
      <c r="J1537" s="107"/>
      <c r="K1537" s="107"/>
      <c r="L1537" s="107"/>
      <c r="M1537" s="333"/>
      <c r="O1537" s="449"/>
      <c r="P1537" s="240"/>
      <c r="Q1537" s="442"/>
    </row>
    <row r="1538" spans="1:17" x14ac:dyDescent="0.3">
      <c r="A1538" s="210"/>
      <c r="B1538" s="210"/>
      <c r="C1538" s="210"/>
      <c r="D1538" s="210"/>
      <c r="E1538" s="210"/>
      <c r="F1538" s="210"/>
      <c r="G1538" s="107"/>
      <c r="H1538" s="107"/>
      <c r="I1538" s="107"/>
      <c r="J1538" s="107"/>
      <c r="K1538" s="107"/>
      <c r="L1538" s="107"/>
      <c r="M1538" s="333"/>
      <c r="O1538" s="449"/>
      <c r="P1538" s="240"/>
      <c r="Q1538" s="442"/>
    </row>
    <row r="1539" spans="1:17" x14ac:dyDescent="0.3">
      <c r="A1539" s="210"/>
      <c r="B1539" s="210"/>
      <c r="C1539" s="210"/>
      <c r="D1539" s="210"/>
      <c r="E1539" s="210"/>
      <c r="F1539" s="210"/>
      <c r="G1539" s="107"/>
      <c r="H1539" s="107"/>
      <c r="I1539" s="107"/>
      <c r="J1539" s="107"/>
      <c r="K1539" s="107"/>
      <c r="L1539" s="107"/>
      <c r="M1539" s="333"/>
      <c r="O1539" s="449"/>
      <c r="P1539" s="240"/>
      <c r="Q1539" s="442"/>
    </row>
    <row r="1540" spans="1:17" x14ac:dyDescent="0.3">
      <c r="A1540" s="210"/>
      <c r="B1540" s="210"/>
      <c r="C1540" s="210"/>
      <c r="D1540" s="210"/>
      <c r="E1540" s="210"/>
      <c r="F1540" s="210"/>
      <c r="G1540" s="107"/>
      <c r="H1540" s="107"/>
      <c r="I1540" s="107"/>
      <c r="J1540" s="107"/>
      <c r="K1540" s="107"/>
      <c r="L1540" s="107"/>
      <c r="M1540" s="333"/>
      <c r="O1540" s="449"/>
      <c r="P1540" s="240"/>
      <c r="Q1540" s="442"/>
    </row>
    <row r="1541" spans="1:17" x14ac:dyDescent="0.3">
      <c r="A1541" s="210"/>
      <c r="B1541" s="210"/>
      <c r="C1541" s="210"/>
      <c r="D1541" s="210"/>
      <c r="E1541" s="210"/>
      <c r="F1541" s="210"/>
      <c r="G1541" s="107"/>
      <c r="H1541" s="107"/>
      <c r="I1541" s="107"/>
      <c r="J1541" s="107"/>
      <c r="K1541" s="107"/>
      <c r="L1541" s="107"/>
      <c r="M1541" s="333"/>
      <c r="O1541" s="449"/>
      <c r="P1541" s="240"/>
      <c r="Q1541" s="442"/>
    </row>
    <row r="1542" spans="1:17" x14ac:dyDescent="0.3">
      <c r="A1542" s="210"/>
      <c r="B1542" s="210"/>
      <c r="C1542" s="210"/>
      <c r="D1542" s="210"/>
      <c r="E1542" s="210"/>
      <c r="F1542" s="210"/>
      <c r="G1542" s="107"/>
      <c r="H1542" s="107"/>
      <c r="I1542" s="107"/>
      <c r="J1542" s="107"/>
      <c r="K1542" s="107"/>
      <c r="L1542" s="107"/>
      <c r="M1542" s="333"/>
      <c r="O1542" s="449"/>
      <c r="P1542" s="240"/>
      <c r="Q1542" s="442"/>
    </row>
    <row r="1543" spans="1:17" x14ac:dyDescent="0.3">
      <c r="A1543" s="210"/>
      <c r="B1543" s="210"/>
      <c r="C1543" s="210"/>
      <c r="D1543" s="210"/>
      <c r="E1543" s="210"/>
      <c r="F1543" s="210"/>
      <c r="G1543" s="107"/>
      <c r="H1543" s="107"/>
      <c r="I1543" s="107"/>
      <c r="J1543" s="107"/>
      <c r="K1543" s="107"/>
      <c r="L1543" s="107"/>
      <c r="M1543" s="333"/>
      <c r="O1543" s="449"/>
      <c r="P1543" s="240"/>
      <c r="Q1543" s="442"/>
    </row>
    <row r="1544" spans="1:17" x14ac:dyDescent="0.3">
      <c r="A1544" s="210"/>
      <c r="B1544" s="210"/>
      <c r="C1544" s="210"/>
      <c r="D1544" s="210"/>
      <c r="E1544" s="210"/>
      <c r="F1544" s="210"/>
      <c r="G1544" s="107"/>
      <c r="H1544" s="107"/>
      <c r="I1544" s="107"/>
      <c r="J1544" s="107"/>
      <c r="K1544" s="107"/>
      <c r="L1544" s="107"/>
      <c r="M1544" s="333"/>
      <c r="O1544" s="449"/>
      <c r="P1544" s="240"/>
      <c r="Q1544" s="442"/>
    </row>
    <row r="1545" spans="1:17" x14ac:dyDescent="0.3">
      <c r="A1545" s="210"/>
      <c r="B1545" s="210"/>
      <c r="C1545" s="210"/>
      <c r="D1545" s="210"/>
      <c r="E1545" s="210"/>
      <c r="F1545" s="210"/>
      <c r="G1545" s="107"/>
      <c r="H1545" s="107"/>
      <c r="I1545" s="107"/>
      <c r="J1545" s="107"/>
      <c r="K1545" s="107"/>
      <c r="L1545" s="107"/>
      <c r="M1545" s="333"/>
      <c r="O1545" s="449"/>
      <c r="P1545" s="240"/>
      <c r="Q1545" s="442"/>
    </row>
    <row r="1546" spans="1:17" x14ac:dyDescent="0.3">
      <c r="A1546" s="210"/>
      <c r="B1546" s="210"/>
      <c r="C1546" s="210"/>
      <c r="D1546" s="210"/>
      <c r="E1546" s="210"/>
      <c r="F1546" s="210"/>
      <c r="G1546" s="107"/>
      <c r="H1546" s="107"/>
      <c r="I1546" s="107"/>
      <c r="J1546" s="107"/>
      <c r="K1546" s="107"/>
      <c r="L1546" s="107"/>
      <c r="M1546" s="333"/>
      <c r="O1546" s="449"/>
      <c r="P1546" s="240"/>
      <c r="Q1546" s="442"/>
    </row>
    <row r="1547" spans="1:17" x14ac:dyDescent="0.3">
      <c r="A1547" s="210"/>
      <c r="B1547" s="210"/>
      <c r="C1547" s="210"/>
      <c r="D1547" s="210"/>
      <c r="E1547" s="210"/>
      <c r="F1547" s="210"/>
      <c r="G1547" s="107"/>
      <c r="H1547" s="107"/>
      <c r="I1547" s="107"/>
      <c r="J1547" s="107"/>
      <c r="K1547" s="107"/>
      <c r="L1547" s="107"/>
      <c r="M1547" s="333"/>
      <c r="O1547" s="449"/>
      <c r="P1547" s="240"/>
      <c r="Q1547" s="442"/>
    </row>
    <row r="1548" spans="1:17" x14ac:dyDescent="0.3">
      <c r="A1548" s="210"/>
      <c r="B1548" s="210"/>
      <c r="C1548" s="210"/>
      <c r="D1548" s="210"/>
      <c r="E1548" s="210"/>
      <c r="F1548" s="210"/>
      <c r="G1548" s="107"/>
      <c r="H1548" s="107"/>
      <c r="I1548" s="107"/>
      <c r="J1548" s="107"/>
      <c r="K1548" s="107"/>
      <c r="L1548" s="107"/>
      <c r="M1548" s="333"/>
      <c r="O1548" s="449"/>
      <c r="P1548" s="240"/>
      <c r="Q1548" s="442"/>
    </row>
    <row r="1549" spans="1:17" x14ac:dyDescent="0.3">
      <c r="A1549" s="210"/>
      <c r="B1549" s="210"/>
      <c r="C1549" s="210"/>
      <c r="D1549" s="210"/>
      <c r="E1549" s="210"/>
      <c r="F1549" s="210"/>
      <c r="G1549" s="107"/>
      <c r="H1549" s="107"/>
      <c r="I1549" s="107"/>
      <c r="J1549" s="107"/>
      <c r="K1549" s="107"/>
      <c r="L1549" s="107"/>
      <c r="M1549" s="333"/>
      <c r="O1549" s="449"/>
      <c r="P1549" s="240"/>
      <c r="Q1549" s="442"/>
    </row>
    <row r="1550" spans="1:17" x14ac:dyDescent="0.3">
      <c r="A1550" s="210"/>
      <c r="B1550" s="210"/>
      <c r="C1550" s="210"/>
      <c r="D1550" s="210"/>
      <c r="E1550" s="210"/>
      <c r="F1550" s="210"/>
      <c r="G1550" s="107"/>
      <c r="H1550" s="107"/>
      <c r="I1550" s="107"/>
      <c r="J1550" s="107"/>
      <c r="K1550" s="107"/>
      <c r="L1550" s="107"/>
      <c r="M1550" s="333"/>
      <c r="O1550" s="449"/>
      <c r="P1550" s="240"/>
      <c r="Q1550" s="442"/>
    </row>
    <row r="1551" spans="1:17" x14ac:dyDescent="0.3">
      <c r="A1551" s="210"/>
      <c r="B1551" s="210"/>
      <c r="C1551" s="210"/>
      <c r="D1551" s="210"/>
      <c r="E1551" s="210"/>
      <c r="F1551" s="210"/>
      <c r="G1551" s="107"/>
      <c r="H1551" s="107"/>
      <c r="I1551" s="107"/>
      <c r="J1551" s="107"/>
      <c r="K1551" s="107"/>
      <c r="L1551" s="107"/>
      <c r="M1551" s="333"/>
      <c r="O1551" s="449"/>
      <c r="P1551" s="240"/>
      <c r="Q1551" s="442"/>
    </row>
    <row r="1552" spans="1:17" x14ac:dyDescent="0.3">
      <c r="A1552" s="210"/>
      <c r="B1552" s="210"/>
      <c r="C1552" s="210"/>
      <c r="D1552" s="210"/>
      <c r="E1552" s="210"/>
      <c r="F1552" s="210"/>
      <c r="G1552" s="107"/>
      <c r="H1552" s="107"/>
      <c r="I1552" s="107"/>
      <c r="J1552" s="107"/>
      <c r="K1552" s="107"/>
      <c r="L1552" s="107"/>
      <c r="M1552" s="333"/>
      <c r="O1552" s="449"/>
      <c r="P1552" s="240"/>
      <c r="Q1552" s="442"/>
    </row>
    <row r="1553" spans="1:21" x14ac:dyDescent="0.3">
      <c r="A1553" s="210"/>
      <c r="B1553" s="210"/>
      <c r="C1553" s="210"/>
      <c r="D1553" s="210"/>
      <c r="E1553" s="210"/>
      <c r="F1553" s="210"/>
      <c r="G1553" s="107"/>
      <c r="H1553" s="107"/>
      <c r="I1553" s="107"/>
      <c r="J1553" s="107"/>
      <c r="K1553" s="107"/>
      <c r="L1553" s="107"/>
      <c r="M1553" s="333"/>
      <c r="O1553" s="449"/>
      <c r="P1553" s="240"/>
      <c r="Q1553" s="442"/>
    </row>
    <row r="1554" spans="1:21" x14ac:dyDescent="0.3">
      <c r="A1554" s="210"/>
      <c r="B1554" s="210"/>
      <c r="C1554" s="210"/>
      <c r="D1554" s="210"/>
      <c r="E1554" s="210"/>
      <c r="F1554" s="210"/>
      <c r="G1554" s="107"/>
      <c r="H1554" s="107"/>
      <c r="I1554" s="107"/>
      <c r="J1554" s="107"/>
      <c r="K1554" s="107"/>
      <c r="L1554" s="107"/>
      <c r="M1554" s="333"/>
      <c r="O1554" s="449"/>
      <c r="P1554" s="240"/>
      <c r="Q1554" s="442"/>
    </row>
    <row r="1555" spans="1:21" x14ac:dyDescent="0.3">
      <c r="A1555" s="210"/>
      <c r="B1555" s="210"/>
      <c r="C1555" s="210"/>
      <c r="D1555" s="210"/>
      <c r="E1555" s="210"/>
      <c r="F1555" s="210"/>
      <c r="G1555" s="107"/>
      <c r="H1555" s="107"/>
      <c r="I1555" s="107"/>
      <c r="J1555" s="107"/>
      <c r="K1555" s="107"/>
      <c r="L1555" s="107"/>
      <c r="M1555" s="333"/>
      <c r="O1555" s="449"/>
      <c r="P1555" s="240"/>
      <c r="Q1555" s="442"/>
    </row>
    <row r="1556" spans="1:21" x14ac:dyDescent="0.3">
      <c r="A1556" s="210"/>
      <c r="B1556" s="210"/>
      <c r="C1556" s="210"/>
      <c r="D1556" s="210"/>
      <c r="E1556" s="210"/>
      <c r="F1556" s="210"/>
      <c r="G1556" s="107"/>
      <c r="H1556" s="107"/>
      <c r="I1556" s="107"/>
      <c r="J1556" s="107"/>
      <c r="K1556" s="107"/>
      <c r="L1556" s="107"/>
      <c r="M1556" s="333"/>
      <c r="O1556" s="449"/>
      <c r="P1556" s="240"/>
      <c r="Q1556" s="442"/>
    </row>
    <row r="1557" spans="1:21" x14ac:dyDescent="0.3">
      <c r="A1557" s="210"/>
      <c r="B1557" s="210"/>
      <c r="C1557" s="210"/>
      <c r="D1557" s="210"/>
      <c r="E1557" s="210"/>
      <c r="F1557" s="210"/>
      <c r="G1557" s="107"/>
      <c r="H1557" s="107"/>
      <c r="I1557" s="107"/>
      <c r="J1557" s="107"/>
      <c r="K1557" s="107"/>
      <c r="L1557" s="107"/>
      <c r="M1557" s="333"/>
      <c r="O1557" s="449"/>
      <c r="P1557" s="240"/>
      <c r="Q1557" s="442"/>
    </row>
    <row r="1558" spans="1:21" x14ac:dyDescent="0.3">
      <c r="A1558" s="210"/>
      <c r="B1558" s="210"/>
      <c r="C1558" s="210"/>
      <c r="D1558" s="210"/>
      <c r="E1558" s="210"/>
      <c r="F1558" s="210"/>
      <c r="G1558" s="107"/>
      <c r="H1558" s="107"/>
      <c r="I1558" s="107"/>
      <c r="J1558" s="107"/>
      <c r="K1558" s="107"/>
      <c r="L1558" s="107"/>
      <c r="M1558" s="333"/>
      <c r="O1558" s="449"/>
      <c r="P1558" s="240"/>
      <c r="Q1558" s="442"/>
    </row>
    <row r="1559" spans="1:21" x14ac:dyDescent="0.3">
      <c r="A1559" s="210"/>
      <c r="B1559" s="210"/>
      <c r="C1559" s="210"/>
      <c r="D1559" s="210"/>
      <c r="E1559" s="210"/>
      <c r="F1559" s="210"/>
      <c r="G1559" s="107"/>
      <c r="H1559" s="107"/>
      <c r="I1559" s="107"/>
      <c r="J1559" s="107"/>
      <c r="K1559" s="107"/>
      <c r="L1559" s="107"/>
      <c r="M1559" s="333"/>
      <c r="O1559" s="449"/>
      <c r="P1559" s="240"/>
      <c r="Q1559" s="442"/>
    </row>
    <row r="1560" spans="1:21" x14ac:dyDescent="0.3">
      <c r="A1560" s="210"/>
      <c r="B1560" s="210"/>
      <c r="C1560" s="210"/>
      <c r="D1560" s="210"/>
      <c r="E1560" s="210"/>
      <c r="F1560" s="210"/>
      <c r="G1560" s="107"/>
      <c r="H1560" s="107"/>
      <c r="I1560" s="107"/>
      <c r="J1560" s="107"/>
      <c r="K1560" s="107"/>
      <c r="L1560" s="107"/>
      <c r="M1560" s="333"/>
      <c r="O1560" s="449"/>
      <c r="P1560" s="240"/>
      <c r="Q1560" s="442"/>
    </row>
    <row r="1561" spans="1:21" x14ac:dyDescent="0.3">
      <c r="A1561" s="210"/>
      <c r="B1561" s="210"/>
      <c r="C1561" s="210"/>
      <c r="D1561" s="210"/>
      <c r="E1561" s="210"/>
      <c r="F1561" s="210"/>
      <c r="G1561" s="107"/>
      <c r="H1561" s="107"/>
      <c r="I1561" s="107"/>
      <c r="J1561" s="107"/>
      <c r="K1561" s="107"/>
      <c r="L1561" s="107"/>
      <c r="M1561" s="333"/>
      <c r="O1561" s="449"/>
      <c r="P1561" s="240"/>
      <c r="Q1561" s="442"/>
    </row>
    <row r="1562" spans="1:21" x14ac:dyDescent="0.3">
      <c r="A1562" s="210"/>
      <c r="B1562" s="210"/>
      <c r="C1562" s="210"/>
      <c r="D1562" s="210"/>
      <c r="E1562" s="210"/>
      <c r="F1562" s="210"/>
      <c r="G1562" s="107"/>
      <c r="H1562" s="107"/>
      <c r="I1562" s="107"/>
      <c r="J1562" s="107"/>
      <c r="K1562" s="107"/>
      <c r="L1562" s="107"/>
      <c r="M1562" s="333"/>
      <c r="O1562" s="449"/>
      <c r="P1562" s="240"/>
      <c r="Q1562" s="442"/>
    </row>
    <row r="1563" spans="1:21" x14ac:dyDescent="0.3">
      <c r="A1563" s="210"/>
      <c r="B1563" s="210"/>
      <c r="C1563" s="210"/>
      <c r="D1563" s="210"/>
      <c r="E1563" s="210"/>
      <c r="F1563" s="210"/>
      <c r="G1563" s="107"/>
      <c r="H1563" s="107"/>
      <c r="I1563" s="107"/>
      <c r="J1563" s="107"/>
      <c r="K1563" s="107"/>
      <c r="L1563" s="107"/>
      <c r="M1563" s="333"/>
      <c r="O1563" s="449"/>
      <c r="P1563" s="240"/>
      <c r="Q1563" s="442"/>
    </row>
    <row r="1564" spans="1:21" x14ac:dyDescent="0.3">
      <c r="A1564" s="210"/>
      <c r="B1564" s="210"/>
      <c r="C1564" s="210"/>
      <c r="D1564" s="210"/>
      <c r="E1564" s="210"/>
      <c r="F1564" s="210"/>
      <c r="G1564" s="107"/>
      <c r="H1564" s="107"/>
      <c r="I1564" s="107"/>
      <c r="J1564" s="107"/>
      <c r="K1564" s="107"/>
      <c r="L1564" s="107"/>
      <c r="M1564" s="333"/>
      <c r="O1564" s="449"/>
      <c r="P1564" s="240"/>
      <c r="Q1564" s="442"/>
    </row>
    <row r="1565" spans="1:21" x14ac:dyDescent="0.3">
      <c r="A1565" s="210"/>
      <c r="B1565" s="210"/>
      <c r="C1565" s="210"/>
      <c r="D1565" s="210"/>
      <c r="E1565" s="210"/>
      <c r="F1565" s="210"/>
      <c r="G1565" s="107"/>
      <c r="H1565" s="107"/>
      <c r="I1565" s="107"/>
      <c r="J1565" s="107"/>
      <c r="K1565" s="107"/>
      <c r="L1565" s="107"/>
      <c r="M1565" s="333"/>
      <c r="O1565" s="449"/>
      <c r="P1565" s="240"/>
      <c r="Q1565" s="442"/>
    </row>
    <row r="1566" spans="1:21" x14ac:dyDescent="0.3">
      <c r="A1566" s="671" t="s">
        <v>316</v>
      </c>
      <c r="B1566" s="671"/>
      <c r="C1566" s="671"/>
      <c r="D1566" s="671"/>
      <c r="E1566" s="671"/>
      <c r="F1566" s="671"/>
      <c r="G1566" s="671"/>
      <c r="H1566" s="671"/>
      <c r="I1566" s="671"/>
      <c r="J1566" s="671"/>
      <c r="K1566" s="671"/>
      <c r="L1566" s="671"/>
      <c r="M1566" s="333"/>
      <c r="O1566" s="675" t="e">
        <f>#REF!</f>
        <v>#REF!</v>
      </c>
      <c r="P1566" s="676"/>
      <c r="Q1566" s="442" t="e">
        <f>#REF!</f>
        <v>#REF!</v>
      </c>
      <c r="R1566" s="1" t="e">
        <f>O1566/O$1572</f>
        <v>#REF!</v>
      </c>
      <c r="T1566" s="1" t="e">
        <f>R1566*T$1572</f>
        <v>#REF!</v>
      </c>
      <c r="U1566" s="1" t="e">
        <f>T1566/Q1566</f>
        <v>#REF!</v>
      </c>
    </row>
    <row r="1567" spans="1:21" x14ac:dyDescent="0.3">
      <c r="A1567" s="730" t="s">
        <v>315</v>
      </c>
      <c r="B1567" s="731"/>
      <c r="C1567" s="731"/>
      <c r="D1567" s="732"/>
      <c r="E1567" s="565" t="s">
        <v>312</v>
      </c>
      <c r="F1567" s="593"/>
      <c r="G1567" s="593"/>
      <c r="H1567" s="593"/>
      <c r="I1567" s="565" t="s">
        <v>959</v>
      </c>
      <c r="J1567" s="593"/>
      <c r="K1567" s="593"/>
      <c r="L1567" s="593"/>
      <c r="M1567" s="333"/>
      <c r="O1567" s="675" t="e">
        <f>#REF!</f>
        <v>#REF!</v>
      </c>
      <c r="P1567" s="676"/>
      <c r="Q1567" s="442" t="e">
        <f>#REF!</f>
        <v>#REF!</v>
      </c>
      <c r="R1567" s="1" t="e">
        <f>O1567/O$1572</f>
        <v>#REF!</v>
      </c>
      <c r="T1567" s="1" t="e">
        <f>R1567*T$1572</f>
        <v>#REF!</v>
      </c>
      <c r="U1567" s="1" t="e">
        <f>T1567/Q1567</f>
        <v>#REF!</v>
      </c>
    </row>
    <row r="1568" spans="1:21" x14ac:dyDescent="0.3">
      <c r="A1568" s="739"/>
      <c r="B1568" s="740"/>
      <c r="C1568" s="740"/>
      <c r="D1568" s="741"/>
      <c r="E1568" s="565" t="s">
        <v>313</v>
      </c>
      <c r="F1568" s="565"/>
      <c r="G1568" s="565" t="s">
        <v>314</v>
      </c>
      <c r="H1568" s="565"/>
      <c r="I1568" s="565" t="s">
        <v>313</v>
      </c>
      <c r="J1568" s="593"/>
      <c r="K1568" s="565" t="s">
        <v>314</v>
      </c>
      <c r="L1568" s="565"/>
      <c r="M1568" s="333"/>
      <c r="O1568" s="675" t="e">
        <f>#REF!</f>
        <v>#REF!</v>
      </c>
      <c r="P1568" s="676"/>
      <c r="Q1568" s="442" t="e">
        <f>#REF!</f>
        <v>#REF!</v>
      </c>
      <c r="R1568" s="1" t="e">
        <f>O1568/O$1572</f>
        <v>#REF!</v>
      </c>
      <c r="T1568" s="1" t="e">
        <f>R1568*T$1572</f>
        <v>#REF!</v>
      </c>
      <c r="U1568" s="1" t="e">
        <f>T1568/Q1568</f>
        <v>#REF!</v>
      </c>
    </row>
    <row r="1569" spans="1:21" ht="18" x14ac:dyDescent="0.3">
      <c r="A1569" s="730" t="s">
        <v>308</v>
      </c>
      <c r="B1569" s="731"/>
      <c r="C1569" s="731"/>
      <c r="D1569" s="732"/>
      <c r="E1569" s="687" t="s">
        <v>307</v>
      </c>
      <c r="F1569" s="694"/>
      <c r="G1569" s="687" t="s">
        <v>307</v>
      </c>
      <c r="H1569" s="694"/>
      <c r="I1569" s="687" t="s">
        <v>307</v>
      </c>
      <c r="J1569" s="694"/>
      <c r="K1569" s="687" t="s">
        <v>307</v>
      </c>
      <c r="L1569" s="694"/>
      <c r="M1569" s="333"/>
      <c r="O1569" s="675" t="e">
        <f>#REF!</f>
        <v>#REF!</v>
      </c>
      <c r="P1569" s="676"/>
      <c r="Q1569" s="442" t="e">
        <f>#REF!</f>
        <v>#REF!</v>
      </c>
      <c r="R1569" s="1" t="e">
        <f>O1569/O$1572</f>
        <v>#REF!</v>
      </c>
      <c r="T1569" s="1" t="e">
        <f>R1569*T$1572</f>
        <v>#REF!</v>
      </c>
      <c r="U1569" s="1" t="e">
        <f>T1569/Q1569</f>
        <v>#REF!</v>
      </c>
    </row>
    <row r="1570" spans="1:21" x14ac:dyDescent="0.3">
      <c r="A1570" s="733"/>
      <c r="B1570" s="734"/>
      <c r="C1570" s="734"/>
      <c r="D1570" s="735"/>
      <c r="E1570" s="679" t="e">
        <f>U1572/G1445</f>
        <v>#REF!</v>
      </c>
      <c r="F1570" s="679"/>
      <c r="G1570" s="679" t="e">
        <f>#REF!/G1445</f>
        <v>#REF!</v>
      </c>
      <c r="H1570" s="679"/>
      <c r="I1570" s="679" t="e">
        <f>#REF!</f>
        <v>#REF!</v>
      </c>
      <c r="J1570" s="679"/>
      <c r="K1570" s="679" t="e">
        <f>#REF!/G1445</f>
        <v>#REF!</v>
      </c>
      <c r="L1570" s="679"/>
      <c r="M1570" s="333"/>
      <c r="O1570" s="675"/>
      <c r="P1570" s="676"/>
    </row>
    <row r="1571" spans="1:21" ht="18" x14ac:dyDescent="0.3">
      <c r="A1571" s="730" t="s">
        <v>309</v>
      </c>
      <c r="B1571" s="731"/>
      <c r="C1571" s="731"/>
      <c r="D1571" s="732"/>
      <c r="E1571" s="687" t="s">
        <v>307</v>
      </c>
      <c r="F1571" s="694"/>
      <c r="G1571" s="687" t="s">
        <v>307</v>
      </c>
      <c r="H1571" s="694"/>
      <c r="I1571" s="408"/>
      <c r="J1571" s="406"/>
      <c r="K1571" s="409"/>
      <c r="L1571" s="406"/>
      <c r="M1571" s="333"/>
      <c r="O1571" s="675"/>
      <c r="P1571" s="676"/>
    </row>
    <row r="1572" spans="1:21" x14ac:dyDescent="0.3">
      <c r="A1572" s="733"/>
      <c r="B1572" s="734"/>
      <c r="C1572" s="734"/>
      <c r="D1572" s="735"/>
      <c r="E1572" s="679" t="e">
        <f ca="1">G1572/G1570*E1570</f>
        <v>#DIV/0!</v>
      </c>
      <c r="F1572" s="679"/>
      <c r="G1572" s="679" t="e">
        <f ca="1">(D749+D793)/G1445</f>
        <v>#DIV/0!</v>
      </c>
      <c r="H1572" s="679"/>
      <c r="I1572" s="698"/>
      <c r="J1572" s="672"/>
      <c r="K1572" s="672"/>
      <c r="L1572" s="672"/>
      <c r="M1572" s="333"/>
      <c r="O1572" s="683" t="e">
        <f>#REF!</f>
        <v>#REF!</v>
      </c>
      <c r="P1572" s="647"/>
      <c r="T1572" s="1" t="e">
        <f>I1574*1000</f>
        <v>#REF!</v>
      </c>
      <c r="U1572" s="1" t="e">
        <f>SUM(U1458:U1571)</f>
        <v>#REF!</v>
      </c>
    </row>
    <row r="1573" spans="1:21" x14ac:dyDescent="0.3">
      <c r="A1573" s="730" t="s">
        <v>310</v>
      </c>
      <c r="B1573" s="742"/>
      <c r="C1573" s="742"/>
      <c r="D1573" s="743"/>
      <c r="E1573" s="687" t="s">
        <v>319</v>
      </c>
      <c r="F1573" s="694"/>
      <c r="G1573" s="687" t="s">
        <v>319</v>
      </c>
      <c r="H1573" s="694"/>
      <c r="I1573" s="687" t="s">
        <v>319</v>
      </c>
      <c r="J1573" s="694"/>
      <c r="K1573" s="687" t="s">
        <v>319</v>
      </c>
      <c r="L1573" s="694"/>
      <c r="M1573" s="333"/>
      <c r="O1573" s="675"/>
      <c r="P1573" s="676"/>
    </row>
    <row r="1574" spans="1:21" x14ac:dyDescent="0.3">
      <c r="A1574" s="733"/>
      <c r="B1574" s="734"/>
      <c r="C1574" s="734"/>
      <c r="D1574" s="735"/>
      <c r="E1574" s="679" t="e">
        <f>U1572/1000</f>
        <v>#REF!</v>
      </c>
      <c r="F1574" s="679"/>
      <c r="G1574" s="679" t="e">
        <f>#REF!/1000</f>
        <v>#REF!</v>
      </c>
      <c r="H1574" s="679"/>
      <c r="I1574" s="679" t="e">
        <f>I1570*G1445/1000</f>
        <v>#REF!</v>
      </c>
      <c r="J1574" s="679"/>
      <c r="K1574" s="679" t="e">
        <f>#REF!/1000</f>
        <v>#REF!</v>
      </c>
      <c r="L1574" s="679"/>
      <c r="M1574" s="333"/>
    </row>
    <row r="1575" spans="1:21" x14ac:dyDescent="0.3">
      <c r="A1575" s="603" t="s">
        <v>311</v>
      </c>
      <c r="B1575" s="603"/>
      <c r="C1575" s="603"/>
      <c r="D1575" s="603"/>
      <c r="E1575" s="604">
        <v>0</v>
      </c>
      <c r="F1575" s="605"/>
      <c r="G1575" s="728" t="s">
        <v>319</v>
      </c>
      <c r="H1575" s="729"/>
      <c r="I1575" s="935"/>
      <c r="J1575" s="697"/>
      <c r="K1575" s="697"/>
      <c r="L1575" s="697"/>
      <c r="M1575" s="333"/>
    </row>
    <row r="1576" spans="1:21" x14ac:dyDescent="0.3">
      <c r="A1576" s="603" t="s">
        <v>304</v>
      </c>
      <c r="B1576" s="603"/>
      <c r="C1576" s="603"/>
      <c r="D1576" s="603"/>
      <c r="E1576" s="604" t="e">
        <f ca="1">G1453</f>
        <v>#DIV/0!</v>
      </c>
      <c r="F1576" s="605"/>
      <c r="G1576" s="728" t="s">
        <v>663</v>
      </c>
      <c r="H1576" s="729"/>
      <c r="I1576" s="695"/>
      <c r="J1576" s="695"/>
      <c r="K1576" s="695"/>
      <c r="L1576" s="695"/>
      <c r="M1576" s="333"/>
    </row>
    <row r="1577" spans="1:21" x14ac:dyDescent="0.3">
      <c r="A1577" s="252"/>
      <c r="B1577" s="252"/>
      <c r="C1577" s="252"/>
      <c r="D1577" s="252"/>
      <c r="E1577" s="130"/>
      <c r="F1577" s="130"/>
      <c r="G1577" s="130"/>
      <c r="H1577" s="130"/>
      <c r="I1577" s="130"/>
      <c r="J1577" s="130"/>
      <c r="K1577" s="130"/>
      <c r="L1577" s="130"/>
      <c r="M1577" s="330"/>
    </row>
    <row r="1578" spans="1:21" x14ac:dyDescent="0.3">
      <c r="A1578" s="671" t="s">
        <v>664</v>
      </c>
      <c r="B1578" s="671"/>
      <c r="C1578" s="671"/>
      <c r="D1578" s="671"/>
      <c r="E1578" s="671"/>
      <c r="F1578" s="671"/>
      <c r="G1578" s="671"/>
      <c r="H1578" s="671"/>
      <c r="I1578" s="671"/>
      <c r="J1578" s="671"/>
      <c r="K1578" s="671"/>
      <c r="L1578" s="671"/>
      <c r="M1578" s="330"/>
    </row>
    <row r="1579" spans="1:21" x14ac:dyDescent="0.3">
      <c r="A1579" s="730" t="s">
        <v>392</v>
      </c>
      <c r="B1579" s="731"/>
      <c r="C1579" s="731"/>
      <c r="D1579" s="731"/>
      <c r="E1579" s="731"/>
      <c r="F1579" s="732"/>
      <c r="G1579" s="730" t="s">
        <v>807</v>
      </c>
      <c r="H1579" s="732"/>
      <c r="I1579" s="565" t="s">
        <v>808</v>
      </c>
      <c r="J1579" s="565"/>
      <c r="K1579" s="565"/>
      <c r="L1579" s="565"/>
      <c r="M1579" s="330"/>
    </row>
    <row r="1580" spans="1:21" x14ac:dyDescent="0.3">
      <c r="A1580" s="736"/>
      <c r="B1580" s="737"/>
      <c r="C1580" s="737"/>
      <c r="D1580" s="737"/>
      <c r="E1580" s="737"/>
      <c r="F1580" s="738"/>
      <c r="G1580" s="739"/>
      <c r="H1580" s="741"/>
      <c r="I1580" s="565" t="s">
        <v>809</v>
      </c>
      <c r="J1580" s="565"/>
      <c r="K1580" s="565" t="s">
        <v>810</v>
      </c>
      <c r="L1580" s="565"/>
      <c r="M1580" s="330"/>
    </row>
    <row r="1581" spans="1:21" ht="18" x14ac:dyDescent="0.3">
      <c r="A1581" s="739"/>
      <c r="B1581" s="740"/>
      <c r="C1581" s="740"/>
      <c r="D1581" s="740"/>
      <c r="E1581" s="740"/>
      <c r="F1581" s="741"/>
      <c r="G1581" s="565" t="s">
        <v>892</v>
      </c>
      <c r="H1581" s="565"/>
      <c r="I1581" s="565" t="s">
        <v>811</v>
      </c>
      <c r="J1581" s="565"/>
      <c r="K1581" s="565" t="s">
        <v>811</v>
      </c>
      <c r="L1581" s="565"/>
      <c r="M1581" s="330"/>
    </row>
    <row r="1582" spans="1:21" x14ac:dyDescent="0.3">
      <c r="A1582" s="603" t="s">
        <v>320</v>
      </c>
      <c r="B1582" s="603"/>
      <c r="C1582" s="603"/>
      <c r="D1582" s="603"/>
      <c r="E1582" s="603"/>
      <c r="F1582" s="603"/>
      <c r="M1582" s="330"/>
    </row>
    <row r="1583" spans="1:21" x14ac:dyDescent="0.3">
      <c r="A1583" s="603" t="s">
        <v>805</v>
      </c>
      <c r="B1583" s="603"/>
      <c r="C1583" s="603"/>
      <c r="D1583" s="603"/>
      <c r="E1583" s="603"/>
      <c r="F1583" s="603"/>
      <c r="M1583" s="330"/>
    </row>
    <row r="1584" spans="1:21" x14ac:dyDescent="0.3">
      <c r="A1584" s="603" t="s">
        <v>806</v>
      </c>
      <c r="B1584" s="603"/>
      <c r="C1584" s="603"/>
      <c r="D1584" s="603"/>
      <c r="E1584" s="603"/>
      <c r="F1584" s="603"/>
      <c r="M1584" s="330"/>
    </row>
    <row r="1585" spans="1:13" x14ac:dyDescent="0.3">
      <c r="A1585" s="603" t="s">
        <v>1075</v>
      </c>
      <c r="B1585" s="603"/>
      <c r="C1585" s="603"/>
      <c r="D1585" s="603"/>
      <c r="E1585" s="603"/>
      <c r="F1585" s="603"/>
      <c r="M1585" s="330"/>
    </row>
    <row r="1586" spans="1:13" x14ac:dyDescent="0.3">
      <c r="A1586" s="603" t="s">
        <v>414</v>
      </c>
      <c r="B1586" s="603"/>
      <c r="C1586" s="603"/>
      <c r="D1586" s="603"/>
      <c r="E1586" s="603"/>
      <c r="F1586" s="603"/>
      <c r="M1586" s="330"/>
    </row>
    <row r="1587" spans="1:13" x14ac:dyDescent="0.3">
      <c r="A1587" s="252"/>
      <c r="B1587" s="252"/>
      <c r="C1587" s="252"/>
      <c r="D1587" s="252"/>
      <c r="E1587" s="130"/>
      <c r="F1587" s="130"/>
      <c r="G1587" s="130"/>
      <c r="H1587" s="130"/>
      <c r="I1587" s="130"/>
      <c r="J1587" s="130"/>
      <c r="K1587" s="130"/>
      <c r="L1587" s="130"/>
      <c r="M1587" s="330"/>
    </row>
    <row r="1588" spans="1:13" x14ac:dyDescent="0.3">
      <c r="A1588" s="671" t="s">
        <v>317</v>
      </c>
      <c r="B1588" s="671"/>
      <c r="C1588" s="671"/>
      <c r="D1588" s="671"/>
      <c r="E1588" s="671"/>
      <c r="F1588" s="671"/>
      <c r="G1588" s="671"/>
      <c r="H1588" s="671"/>
      <c r="I1588" s="671"/>
      <c r="J1588" s="671"/>
      <c r="K1588" s="671"/>
      <c r="L1588" s="671"/>
      <c r="M1588" s="330"/>
    </row>
    <row r="1589" spans="1:13" x14ac:dyDescent="0.3">
      <c r="A1589" s="690" t="s">
        <v>392</v>
      </c>
      <c r="B1589" s="612"/>
      <c r="C1589" s="612"/>
      <c r="D1589" s="727" t="s">
        <v>758</v>
      </c>
      <c r="E1589" s="577"/>
      <c r="F1589" s="932" t="s">
        <v>327</v>
      </c>
      <c r="G1589" s="612"/>
      <c r="H1589" s="612"/>
      <c r="I1589" s="612"/>
      <c r="J1589" s="593"/>
      <c r="K1589" s="593"/>
      <c r="L1589" s="116"/>
      <c r="M1589" s="330"/>
    </row>
    <row r="1590" spans="1:13" ht="32.25" customHeight="1" x14ac:dyDescent="0.3">
      <c r="A1590" s="612"/>
      <c r="B1590" s="612"/>
      <c r="C1590" s="612"/>
      <c r="D1590" s="577"/>
      <c r="E1590" s="577"/>
      <c r="F1590" s="690" t="s">
        <v>328</v>
      </c>
      <c r="G1590" s="690"/>
      <c r="H1590" s="566"/>
      <c r="I1590" s="690" t="s">
        <v>326</v>
      </c>
      <c r="J1590" s="690"/>
      <c r="K1590" s="566"/>
      <c r="M1590" s="342"/>
    </row>
    <row r="1591" spans="1:13" x14ac:dyDescent="0.3">
      <c r="A1591" s="696" t="s">
        <v>484</v>
      </c>
      <c r="B1591" s="577"/>
      <c r="C1591" s="577"/>
      <c r="D1591" s="565" t="e">
        <f>IF(#REF!=6,"дърва за горене",IF(#REF!=43,"дървени пелети",IF(#REF!=247,"природен газ",IF(#REF!=272,"пропан бутан",IF(#REF!=311,"промишлен газьол",IF(#REF!=439,"каменни въглища","ел енергия"))))))</f>
        <v>#REF!</v>
      </c>
      <c r="E1591" s="593"/>
      <c r="F1591" s="679" t="e">
        <f t="shared" ref="F1591:F1596" si="509">I1591/G$1445</f>
        <v>#REF!</v>
      </c>
      <c r="G1591" s="754"/>
      <c r="H1591" s="755"/>
      <c r="I1591" s="700" t="e">
        <f>#REF!</f>
        <v>#REF!</v>
      </c>
      <c r="J1591" s="701"/>
      <c r="K1591" s="703"/>
      <c r="M1591" s="369"/>
    </row>
    <row r="1592" spans="1:13" ht="18" customHeight="1" x14ac:dyDescent="0.3">
      <c r="A1592" s="696" t="s">
        <v>322</v>
      </c>
      <c r="B1592" s="577"/>
      <c r="C1592" s="577"/>
      <c r="D1592" s="565" t="e">
        <f>IF(#REF!=6,"дърва",IF(#REF!=43,"дървени пелети",IF(#REF!=247,"природен газ",IF(#REF!=272,"пропан бутан",IF(#REF!=311,"промишлен газьол",IF(#REF!=439,"каменни въглища","ел енергия"))))))</f>
        <v>#REF!</v>
      </c>
      <c r="E1592" s="593"/>
      <c r="F1592" s="679" t="e">
        <f t="shared" si="509"/>
        <v>#DIV/0!</v>
      </c>
      <c r="G1592" s="754"/>
      <c r="H1592" s="756" t="e">
        <f>F1593+F1592</f>
        <v>#DIV/0!</v>
      </c>
      <c r="I1592" s="700">
        <f>Z970</f>
        <v>0</v>
      </c>
      <c r="J1592" s="700"/>
      <c r="K1592" s="702">
        <f>I1593+I1592</f>
        <v>0</v>
      </c>
      <c r="M1592" s="369"/>
    </row>
    <row r="1593" spans="1:13" x14ac:dyDescent="0.3">
      <c r="A1593" s="696" t="s">
        <v>323</v>
      </c>
      <c r="B1593" s="577"/>
      <c r="C1593" s="577"/>
      <c r="D1593" s="565" t="e">
        <f>IF(#REF!=6,"дърва",IF(#REF!=43,"дървени пелети",IF(#REF!=247,"природен газ",IF(#REF!=272,"пропан бутан",IF(#REF!=311,"промишлен газьол",IF(#REF!=439,"каменни въглища","ел енергия"))))))</f>
        <v>#REF!</v>
      </c>
      <c r="E1593" s="593"/>
      <c r="F1593" s="679" t="e">
        <f t="shared" si="509"/>
        <v>#DIV/0!</v>
      </c>
      <c r="G1593" s="754"/>
      <c r="H1593" s="757"/>
      <c r="I1593" s="700">
        <f>Z971</f>
        <v>0</v>
      </c>
      <c r="J1593" s="700"/>
      <c r="K1593" s="702"/>
      <c r="M1593" s="369"/>
    </row>
    <row r="1594" spans="1:13" x14ac:dyDescent="0.3">
      <c r="A1594" s="696" t="s">
        <v>757</v>
      </c>
      <c r="B1594" s="577"/>
      <c r="C1594" s="577"/>
      <c r="D1594" s="565" t="e">
        <f>IF(#REF!=6,"дърва",IF(#REF!=43,"дървени пелети",IF(#REF!=247,"природен газ",IF(#REF!=272,"пропан бутан",IF(#REF!=311,"промишлен газьол",IF(#REF!=439,"каменни въглища","ел енергия"))))))</f>
        <v>#REF!</v>
      </c>
      <c r="E1594" s="593"/>
      <c r="F1594" s="679" t="e">
        <f t="shared" si="509"/>
        <v>#DIV/0!</v>
      </c>
      <c r="G1594" s="754"/>
      <c r="H1594" s="755"/>
      <c r="I1594" s="700">
        <f>Z972</f>
        <v>0</v>
      </c>
      <c r="J1594" s="701"/>
      <c r="K1594" s="703"/>
      <c r="M1594" s="369"/>
    </row>
    <row r="1595" spans="1:13" x14ac:dyDescent="0.3">
      <c r="A1595" s="696" t="s">
        <v>324</v>
      </c>
      <c r="B1595" s="577"/>
      <c r="C1595" s="577"/>
      <c r="D1595" s="565" t="e">
        <f>IF(#REF!=6,"дърва",IF(#REF!=43,"дървени пелети",IF(#REF!=247,"природен газ",IF(#REF!=272,"пропан бутан",IF(#REF!=311,"промишлен газьол",IF(#REF!=439,"каменни въглища","ел енергия"))))))</f>
        <v>#REF!</v>
      </c>
      <c r="E1595" s="593"/>
      <c r="F1595" s="679" t="e">
        <f t="shared" si="509"/>
        <v>#DIV/0!</v>
      </c>
      <c r="G1595" s="754"/>
      <c r="H1595" s="758" t="e">
        <f>F1596+F1595</f>
        <v>#REF!</v>
      </c>
      <c r="I1595" s="700">
        <f>Z973</f>
        <v>0</v>
      </c>
      <c r="J1595" s="701"/>
      <c r="K1595" s="699" t="e">
        <f>I1596+I1595</f>
        <v>#REF!</v>
      </c>
      <c r="M1595" s="369"/>
    </row>
    <row r="1596" spans="1:13" x14ac:dyDescent="0.3">
      <c r="A1596" s="696" t="s">
        <v>325</v>
      </c>
      <c r="B1596" s="577"/>
      <c r="C1596" s="577"/>
      <c r="D1596" s="565" t="e">
        <f>IF(#REF!=6,"дърва",IF(#REF!=43,"дървени пелети",IF(#REF!=247,"природен газ",IF(#REF!=272,"пропан бутан",IF(#REF!=311,"промишлен газьол",IF(#REF!=439,"каменни въглища","ел енергия"))))))</f>
        <v>#REF!</v>
      </c>
      <c r="E1596" s="593"/>
      <c r="F1596" s="679" t="e">
        <f t="shared" si="509"/>
        <v>#REF!</v>
      </c>
      <c r="G1596" s="754"/>
      <c r="H1596" s="758"/>
      <c r="I1596" s="700" t="e">
        <f>#REF!</f>
        <v>#REF!</v>
      </c>
      <c r="J1596" s="701"/>
      <c r="K1596" s="699"/>
      <c r="M1596" s="369"/>
    </row>
    <row r="1597" spans="1:13" x14ac:dyDescent="0.3">
      <c r="A1597" s="210"/>
      <c r="B1597" s="210"/>
      <c r="C1597" s="210"/>
      <c r="D1597" s="210"/>
      <c r="E1597" s="210"/>
      <c r="F1597" s="210"/>
      <c r="G1597" s="210"/>
      <c r="H1597" s="210"/>
      <c r="I1597" s="210"/>
      <c r="J1597" s="210"/>
      <c r="K1597" s="130"/>
      <c r="L1597" s="130"/>
      <c r="M1597" s="330"/>
    </row>
    <row r="1598" spans="1:13" x14ac:dyDescent="0.3">
      <c r="M1598" s="330"/>
    </row>
    <row r="1599" spans="1:13" x14ac:dyDescent="0.3">
      <c r="M1599" s="330"/>
    </row>
    <row r="1600" spans="1:13" x14ac:dyDescent="0.3">
      <c r="A1600" s="210"/>
      <c r="B1600" s="210"/>
      <c r="C1600" s="210"/>
      <c r="D1600" s="210"/>
      <c r="E1600" s="210"/>
      <c r="F1600" s="210"/>
      <c r="G1600" s="210"/>
      <c r="H1600" s="210"/>
      <c r="I1600" s="210"/>
      <c r="J1600" s="210"/>
      <c r="K1600" s="130"/>
      <c r="L1600" s="130"/>
      <c r="M1600" s="330"/>
    </row>
    <row r="1601" spans="1:13" x14ac:dyDescent="0.3">
      <c r="A1601" s="210"/>
      <c r="B1601" s="210"/>
      <c r="C1601" s="210"/>
      <c r="D1601" s="210"/>
      <c r="E1601" s="210"/>
      <c r="F1601" s="210"/>
      <c r="G1601" s="210"/>
      <c r="H1601" s="210"/>
      <c r="I1601" s="210"/>
      <c r="J1601" s="210"/>
      <c r="K1601" s="130"/>
      <c r="L1601" s="130"/>
      <c r="M1601" s="330"/>
    </row>
    <row r="1602" spans="1:13" x14ac:dyDescent="0.3">
      <c r="A1602" s="210"/>
      <c r="B1602" s="210"/>
      <c r="C1602" s="210"/>
      <c r="D1602" s="210"/>
      <c r="E1602" s="210"/>
      <c r="F1602" s="210"/>
      <c r="G1602" s="210"/>
      <c r="H1602" s="210"/>
      <c r="I1602" s="210"/>
      <c r="J1602" s="210"/>
      <c r="K1602" s="130"/>
      <c r="L1602" s="130"/>
      <c r="M1602" s="330"/>
    </row>
  </sheetData>
  <mergeCells count="1741">
    <mergeCell ref="P857:Q857"/>
    <mergeCell ref="A353:C353"/>
    <mergeCell ref="A343:C347"/>
    <mergeCell ref="J827:K827"/>
    <mergeCell ref="A826:G826"/>
    <mergeCell ref="A827:G827"/>
    <mergeCell ref="J366:J369"/>
    <mergeCell ref="D366:D369"/>
    <mergeCell ref="A354:C354"/>
    <mergeCell ref="E343:E346"/>
    <mergeCell ref="A944:L944"/>
    <mergeCell ref="Q965:R966"/>
    <mergeCell ref="A963:L963"/>
    <mergeCell ref="P970:T970"/>
    <mergeCell ref="P972:T972"/>
    <mergeCell ref="A993:D993"/>
    <mergeCell ref="E978:F978"/>
    <mergeCell ref="E977:F977"/>
    <mergeCell ref="P977:T977"/>
    <mergeCell ref="I965:J966"/>
    <mergeCell ref="I1481:J1481"/>
    <mergeCell ref="G1484:H1484"/>
    <mergeCell ref="I1480:J1480"/>
    <mergeCell ref="K1487:L1487"/>
    <mergeCell ref="I1486:J1486"/>
    <mergeCell ref="K1476:L1476"/>
    <mergeCell ref="K1485:L1485"/>
    <mergeCell ref="G1485:H1485"/>
    <mergeCell ref="K1482:L1482"/>
    <mergeCell ref="AA970:AB970"/>
    <mergeCell ref="AA973:AB973"/>
    <mergeCell ref="A990:D990"/>
    <mergeCell ref="A991:D991"/>
    <mergeCell ref="A992:D992"/>
    <mergeCell ref="I1420:J1421"/>
    <mergeCell ref="K1416:L1417"/>
    <mergeCell ref="B1418:C1419"/>
    <mergeCell ref="K1418:L1419"/>
    <mergeCell ref="K1414:L1415"/>
    <mergeCell ref="A1523:C1523"/>
    <mergeCell ref="G1495:H1496"/>
    <mergeCell ref="G1488:H1488"/>
    <mergeCell ref="G1487:H1487"/>
    <mergeCell ref="F1492:K1492"/>
    <mergeCell ref="D1499:E1499"/>
    <mergeCell ref="D1497:E1497"/>
    <mergeCell ref="G1489:H1489"/>
    <mergeCell ref="A1514:C1514"/>
    <mergeCell ref="A1484:F1486"/>
    <mergeCell ref="A1165:L1165"/>
    <mergeCell ref="I1489:J1489"/>
    <mergeCell ref="K1479:L1479"/>
    <mergeCell ref="K1481:L1481"/>
    <mergeCell ref="K1489:L1489"/>
    <mergeCell ref="K1477:L1477"/>
    <mergeCell ref="A1487:F1489"/>
    <mergeCell ref="A1309:J1309"/>
    <mergeCell ref="G1477:H1477"/>
    <mergeCell ref="J1529:K1530"/>
    <mergeCell ref="A1531:H1532"/>
    <mergeCell ref="L1498:N1499"/>
    <mergeCell ref="J1498:K1499"/>
    <mergeCell ref="A1521:C1521"/>
    <mergeCell ref="A1522:C1522"/>
    <mergeCell ref="A1500:C1500"/>
    <mergeCell ref="J1527:K1527"/>
    <mergeCell ref="A1527:H1527"/>
    <mergeCell ref="A1515:C1515"/>
    <mergeCell ref="I1493:K1493"/>
    <mergeCell ref="A1491:L1491"/>
    <mergeCell ref="I1487:J1487"/>
    <mergeCell ref="A1517:C1517"/>
    <mergeCell ref="A1499:C1499"/>
    <mergeCell ref="I1504:J1504"/>
    <mergeCell ref="K1488:L1488"/>
    <mergeCell ref="F1500:H1500"/>
    <mergeCell ref="I1494:K1494"/>
    <mergeCell ref="G1498:H1499"/>
    <mergeCell ref="D1494:E1494"/>
    <mergeCell ref="A1506:L1506"/>
    <mergeCell ref="K1475:L1475"/>
    <mergeCell ref="G1483:H1483"/>
    <mergeCell ref="K1478:L1478"/>
    <mergeCell ref="A1478:F1480"/>
    <mergeCell ref="G1479:H1479"/>
    <mergeCell ref="G1480:H1480"/>
    <mergeCell ref="I1479:J1479"/>
    <mergeCell ref="I1477:J1477"/>
    <mergeCell ref="K1483:L1483"/>
    <mergeCell ref="G1418:H1419"/>
    <mergeCell ref="A1426:A1427"/>
    <mergeCell ref="B1416:C1417"/>
    <mergeCell ref="G1420:H1421"/>
    <mergeCell ref="I1416:J1417"/>
    <mergeCell ref="D1420:F1421"/>
    <mergeCell ref="A1424:A1425"/>
    <mergeCell ref="G1422:H1423"/>
    <mergeCell ref="A1422:A1423"/>
    <mergeCell ref="A1420:A1421"/>
    <mergeCell ref="G1414:H1415"/>
    <mergeCell ref="X95:X97"/>
    <mergeCell ref="W96:W97"/>
    <mergeCell ref="A1244:F1244"/>
    <mergeCell ref="A1258:L1258"/>
    <mergeCell ref="A1270:L1270"/>
    <mergeCell ref="E1334:I1334"/>
    <mergeCell ref="A1314:F1314"/>
    <mergeCell ref="E1223:I1223"/>
    <mergeCell ref="A1166:L1166"/>
    <mergeCell ref="E1201:I1201"/>
    <mergeCell ref="E1274:I1274"/>
    <mergeCell ref="N136:R136"/>
    <mergeCell ref="A1210:I1210"/>
    <mergeCell ref="E1189:I1189"/>
    <mergeCell ref="E1190:I1190"/>
    <mergeCell ref="E1199:I1200"/>
    <mergeCell ref="A1030:H1030"/>
    <mergeCell ref="A1164:L1164"/>
    <mergeCell ref="J1208:K1208"/>
    <mergeCell ref="A1313:J1313"/>
    <mergeCell ref="J1224:K1224"/>
    <mergeCell ref="E1222:I1222"/>
    <mergeCell ref="E1221:I1221"/>
    <mergeCell ref="A1282:L1282"/>
    <mergeCell ref="E1287:I1287"/>
    <mergeCell ref="E1289:I1289"/>
    <mergeCell ref="A1306:J1306"/>
    <mergeCell ref="E1301:I1301"/>
    <mergeCell ref="A1236:I1236"/>
    <mergeCell ref="A1233:I1233"/>
    <mergeCell ref="E1332:I1332"/>
    <mergeCell ref="E1276:I1276"/>
    <mergeCell ref="E1288:I1288"/>
    <mergeCell ref="J1302:K1302"/>
    <mergeCell ref="E1296:I1296"/>
    <mergeCell ref="A1310:J1310"/>
    <mergeCell ref="A1292:L1292"/>
    <mergeCell ref="E1277:I1277"/>
    <mergeCell ref="A1414:A1415"/>
    <mergeCell ref="B1414:C1415"/>
    <mergeCell ref="A1418:A1419"/>
    <mergeCell ref="A1308:J1308"/>
    <mergeCell ref="I1414:J1415"/>
    <mergeCell ref="G1416:H1417"/>
    <mergeCell ref="A1416:A1417"/>
    <mergeCell ref="A1404:L1404"/>
    <mergeCell ref="E1283:I1284"/>
    <mergeCell ref="D1414:F1415"/>
    <mergeCell ref="E1205:I1205"/>
    <mergeCell ref="A1197:L1197"/>
    <mergeCell ref="A1307:J1307"/>
    <mergeCell ref="E1300:I1300"/>
    <mergeCell ref="E1286:I1286"/>
    <mergeCell ref="E1297:I1297"/>
    <mergeCell ref="A1242:F1242"/>
    <mergeCell ref="A1212:L1212"/>
    <mergeCell ref="A1132:I1132"/>
    <mergeCell ref="J1290:K1290"/>
    <mergeCell ref="A1247:L1247"/>
    <mergeCell ref="A1271:L1271"/>
    <mergeCell ref="J1280:K1280"/>
    <mergeCell ref="E1299:I1299"/>
    <mergeCell ref="E1285:I1285"/>
    <mergeCell ref="E1272:I1273"/>
    <mergeCell ref="E1275:I1275"/>
    <mergeCell ref="A1256:I1256"/>
    <mergeCell ref="E1207:I1207"/>
    <mergeCell ref="E1203:I1203"/>
    <mergeCell ref="A1196:L1196"/>
    <mergeCell ref="E1206:I1206"/>
    <mergeCell ref="E1204:I1204"/>
    <mergeCell ref="E1187:I1187"/>
    <mergeCell ref="E1202:I1202"/>
    <mergeCell ref="A1194:I1194"/>
    <mergeCell ref="A1110:H1110"/>
    <mergeCell ref="J1178:K1178"/>
    <mergeCell ref="A1182:L1182"/>
    <mergeCell ref="E1159:I1159"/>
    <mergeCell ref="E1176:I1176"/>
    <mergeCell ref="E1175:I1175"/>
    <mergeCell ref="E1191:I1191"/>
    <mergeCell ref="A1162:I1162"/>
    <mergeCell ref="E1121:I1122"/>
    <mergeCell ref="E1185:I1186"/>
    <mergeCell ref="A1091:H1091"/>
    <mergeCell ref="A1108:H1108"/>
    <mergeCell ref="A998:D998"/>
    <mergeCell ref="G1010:J1010"/>
    <mergeCell ref="A1033:L1033"/>
    <mergeCell ref="A1105:H1105"/>
    <mergeCell ref="A1106:H1106"/>
    <mergeCell ref="A1103:H1103"/>
    <mergeCell ref="A1118:L1118"/>
    <mergeCell ref="A1100:H1100"/>
    <mergeCell ref="E1188:I1188"/>
    <mergeCell ref="A1180:I1180"/>
    <mergeCell ref="A1183:L1183"/>
    <mergeCell ref="K1115:K1116"/>
    <mergeCell ref="A1109:H1109"/>
    <mergeCell ref="A1107:H1107"/>
    <mergeCell ref="E1137:I1138"/>
    <mergeCell ref="E1124:I1124"/>
    <mergeCell ref="J1130:K1130"/>
    <mergeCell ref="L312:L315"/>
    <mergeCell ref="G999:H999"/>
    <mergeCell ref="K1000:L1000"/>
    <mergeCell ref="A825:G825"/>
    <mergeCell ref="J826:K826"/>
    <mergeCell ref="A410:K410"/>
    <mergeCell ref="A385:H385"/>
    <mergeCell ref="A463:B463"/>
    <mergeCell ref="A994:D994"/>
    <mergeCell ref="A996:D996"/>
    <mergeCell ref="A334:C334"/>
    <mergeCell ref="A327:C327"/>
    <mergeCell ref="A319:C319"/>
    <mergeCell ref="A328:C328"/>
    <mergeCell ref="H312:H315"/>
    <mergeCell ref="A295:C295"/>
    <mergeCell ref="A300:C300"/>
    <mergeCell ref="A303:C303"/>
    <mergeCell ref="A377:L377"/>
    <mergeCell ref="G366:G369"/>
    <mergeCell ref="F366:F369"/>
    <mergeCell ref="H366:H369"/>
    <mergeCell ref="E366:E369"/>
    <mergeCell ref="A374:C374"/>
    <mergeCell ref="A376:L376"/>
    <mergeCell ref="K366:K369"/>
    <mergeCell ref="A373:C373"/>
    <mergeCell ref="A378:L378"/>
    <mergeCell ref="A381:L381"/>
    <mergeCell ref="A434:H434"/>
    <mergeCell ref="A48:B48"/>
    <mergeCell ref="A166:I166"/>
    <mergeCell ref="A162:I162"/>
    <mergeCell ref="A159:I159"/>
    <mergeCell ref="A165:I165"/>
    <mergeCell ref="B140:B144"/>
    <mergeCell ref="A372:C372"/>
    <mergeCell ref="A154:G154"/>
    <mergeCell ref="A164:I164"/>
    <mergeCell ref="E145:E147"/>
    <mergeCell ref="C140:C144"/>
    <mergeCell ref="N1:O1"/>
    <mergeCell ref="O3:P6"/>
    <mergeCell ref="A149:I149"/>
    <mergeCell ref="B145:B147"/>
    <mergeCell ref="I145:I147"/>
    <mergeCell ref="A50:C50"/>
    <mergeCell ref="A139:L139"/>
    <mergeCell ref="A35:B35"/>
    <mergeCell ref="A16:B16"/>
    <mergeCell ref="H145:H147"/>
    <mergeCell ref="A297:C297"/>
    <mergeCell ref="A301:C301"/>
    <mergeCell ref="A169:I169"/>
    <mergeCell ref="A208:F208"/>
    <mergeCell ref="A178:I178"/>
    <mergeCell ref="A180:I180"/>
    <mergeCell ref="G231:H231"/>
    <mergeCell ref="A330:C330"/>
    <mergeCell ref="A308:I308"/>
    <mergeCell ref="I312:I315"/>
    <mergeCell ref="G286:G289"/>
    <mergeCell ref="A311:K311"/>
    <mergeCell ref="F286:F289"/>
    <mergeCell ref="A272:B272"/>
    <mergeCell ref="A283:L283"/>
    <mergeCell ref="G259:H259"/>
    <mergeCell ref="A360:J360"/>
    <mergeCell ref="A364:L364"/>
    <mergeCell ref="A361:I361"/>
    <mergeCell ref="A355:C355"/>
    <mergeCell ref="A332:C332"/>
    <mergeCell ref="A293:C293"/>
    <mergeCell ref="A309:I309"/>
    <mergeCell ref="A320:C320"/>
    <mergeCell ref="A317:C317"/>
    <mergeCell ref="A299:C299"/>
    <mergeCell ref="A383:H383"/>
    <mergeCell ref="A403:H403"/>
    <mergeCell ref="A433:H433"/>
    <mergeCell ref="A394:H394"/>
    <mergeCell ref="A391:H391"/>
    <mergeCell ref="A423:K423"/>
    <mergeCell ref="A413:K413"/>
    <mergeCell ref="A402:H402"/>
    <mergeCell ref="A397:L397"/>
    <mergeCell ref="A426:H426"/>
    <mergeCell ref="A424:K424"/>
    <mergeCell ref="A401:H401"/>
    <mergeCell ref="A414:K414"/>
    <mergeCell ref="A404:H404"/>
    <mergeCell ref="A412:K412"/>
    <mergeCell ref="A405:H405"/>
    <mergeCell ref="A417:K417"/>
    <mergeCell ref="A473:C473"/>
    <mergeCell ref="A603:I603"/>
    <mergeCell ref="A472:B472"/>
    <mergeCell ref="A537:K537"/>
    <mergeCell ref="A858:H858"/>
    <mergeCell ref="A616:L616"/>
    <mergeCell ref="A620:J620"/>
    <mergeCell ref="A606:I606"/>
    <mergeCell ref="J603:J604"/>
    <mergeCell ref="A1260:F1260"/>
    <mergeCell ref="E1278:I1278"/>
    <mergeCell ref="D1422:F1423"/>
    <mergeCell ref="B1422:C1423"/>
    <mergeCell ref="B1420:C1421"/>
    <mergeCell ref="D1416:F1417"/>
    <mergeCell ref="I1412:J1413"/>
    <mergeCell ref="A1374:J1374"/>
    <mergeCell ref="A1372:J1372"/>
    <mergeCell ref="D1409:F1409"/>
    <mergeCell ref="B1424:C1425"/>
    <mergeCell ref="K1424:L1425"/>
    <mergeCell ref="G1428:H1429"/>
    <mergeCell ref="I1426:J1427"/>
    <mergeCell ref="I1424:J1425"/>
    <mergeCell ref="K1422:L1423"/>
    <mergeCell ref="J1447:K1447"/>
    <mergeCell ref="B1428:C1429"/>
    <mergeCell ref="D1428:F1429"/>
    <mergeCell ref="D1426:F1427"/>
    <mergeCell ref="G1426:H1427"/>
    <mergeCell ref="K1426:L1427"/>
    <mergeCell ref="G1451:H1451"/>
    <mergeCell ref="G1430:H1431"/>
    <mergeCell ref="A1449:F1449"/>
    <mergeCell ref="G1449:H1449"/>
    <mergeCell ref="B1430:C1431"/>
    <mergeCell ref="A1441:L1441"/>
    <mergeCell ref="G1444:H1444"/>
    <mergeCell ref="J1443:K1443"/>
    <mergeCell ref="B1436:L1436"/>
    <mergeCell ref="J1450:K1450"/>
    <mergeCell ref="H1459:I1459"/>
    <mergeCell ref="C1459:D1459"/>
    <mergeCell ref="G1453:H1453"/>
    <mergeCell ref="A1452:F1452"/>
    <mergeCell ref="K1469:L1469"/>
    <mergeCell ref="G1455:H1455"/>
    <mergeCell ref="K1458:L1459"/>
    <mergeCell ref="A1455:F1455"/>
    <mergeCell ref="A1459:B1459"/>
    <mergeCell ref="G1468:H1468"/>
    <mergeCell ref="A1454:F1454"/>
    <mergeCell ref="A1450:F1450"/>
    <mergeCell ref="A1430:A1431"/>
    <mergeCell ref="B1437:L1437"/>
    <mergeCell ref="G1445:H1445"/>
    <mergeCell ref="G1454:H1454"/>
    <mergeCell ref="I1430:J1431"/>
    <mergeCell ref="A1445:F1445"/>
    <mergeCell ref="B1438:L1438"/>
    <mergeCell ref="A1447:F1447"/>
    <mergeCell ref="E1459:F1459"/>
    <mergeCell ref="K1428:L1429"/>
    <mergeCell ref="G1412:H1413"/>
    <mergeCell ref="K1470:L1470"/>
    <mergeCell ref="K1460:L1460"/>
    <mergeCell ref="I1422:J1423"/>
    <mergeCell ref="I1418:J1419"/>
    <mergeCell ref="K1420:L1421"/>
    <mergeCell ref="G1424:H1425"/>
    <mergeCell ref="K1430:L1431"/>
    <mergeCell ref="G1464:H1465"/>
    <mergeCell ref="A1446:F1446"/>
    <mergeCell ref="A1440:L1440"/>
    <mergeCell ref="A1443:I1443"/>
    <mergeCell ref="A1444:F1444"/>
    <mergeCell ref="A1433:L1433"/>
    <mergeCell ref="B1435:L1435"/>
    <mergeCell ref="G1446:H1446"/>
    <mergeCell ref="A1458:J1458"/>
    <mergeCell ref="A1457:L1457"/>
    <mergeCell ref="I1469:J1469"/>
    <mergeCell ref="A1518:C1518"/>
    <mergeCell ref="A1469:F1469"/>
    <mergeCell ref="A1470:F1470"/>
    <mergeCell ref="I1471:J1471"/>
    <mergeCell ref="G1481:H1481"/>
    <mergeCell ref="A1475:F1477"/>
    <mergeCell ref="A1516:C1516"/>
    <mergeCell ref="I1500:K1500"/>
    <mergeCell ref="D1498:E1498"/>
    <mergeCell ref="K1471:L1471"/>
    <mergeCell ref="E1567:H1567"/>
    <mergeCell ref="A1569:D1570"/>
    <mergeCell ref="E1569:F1569"/>
    <mergeCell ref="E1572:F1572"/>
    <mergeCell ref="G1568:H1568"/>
    <mergeCell ref="E1571:F1571"/>
    <mergeCell ref="A1529:H1530"/>
    <mergeCell ref="G1571:H1571"/>
    <mergeCell ref="A1520:C1520"/>
    <mergeCell ref="I1470:J1470"/>
    <mergeCell ref="D1424:F1425"/>
    <mergeCell ref="D1418:F1419"/>
    <mergeCell ref="G1452:H1452"/>
    <mergeCell ref="A1464:F1466"/>
    <mergeCell ref="C1460:D1460"/>
    <mergeCell ref="B1426:C1427"/>
    <mergeCell ref="G1466:H1466"/>
    <mergeCell ref="G1469:H1469"/>
    <mergeCell ref="A1461:B1461"/>
    <mergeCell ref="G1569:H1569"/>
    <mergeCell ref="I1503:J1503"/>
    <mergeCell ref="A1498:C1498"/>
    <mergeCell ref="A1495:C1495"/>
    <mergeCell ref="I1497:K1497"/>
    <mergeCell ref="A1528:H1528"/>
    <mergeCell ref="J1495:K1496"/>
    <mergeCell ref="A1513:C1513"/>
    <mergeCell ref="A1519:C1519"/>
    <mergeCell ref="J1528:K1528"/>
    <mergeCell ref="F1493:H1493"/>
    <mergeCell ref="G1576:H1576"/>
    <mergeCell ref="A1412:A1413"/>
    <mergeCell ref="I1575:J1575"/>
    <mergeCell ref="A1504:H1504"/>
    <mergeCell ref="A1471:F1471"/>
    <mergeCell ref="G1570:H1570"/>
    <mergeCell ref="A1460:B1460"/>
    <mergeCell ref="F1497:H1497"/>
    <mergeCell ref="I1570:J1570"/>
    <mergeCell ref="A1363:B1363"/>
    <mergeCell ref="L1391:L1392"/>
    <mergeCell ref="K1412:L1413"/>
    <mergeCell ref="A1388:L1388"/>
    <mergeCell ref="G1410:H1411"/>
    <mergeCell ref="B1412:C1413"/>
    <mergeCell ref="A1397:L1397"/>
    <mergeCell ref="D1412:F1413"/>
    <mergeCell ref="A1373:J1373"/>
    <mergeCell ref="A1378:J1378"/>
    <mergeCell ref="A1360:B1360"/>
    <mergeCell ref="J1335:K1335"/>
    <mergeCell ref="L1319:L1320"/>
    <mergeCell ref="A1320:J1320"/>
    <mergeCell ref="E1330:I1330"/>
    <mergeCell ref="K1319:K1320"/>
    <mergeCell ref="E1342:I1342"/>
    <mergeCell ref="E1326:I1327"/>
    <mergeCell ref="E1333:I1333"/>
    <mergeCell ref="E1331:I1331"/>
    <mergeCell ref="A1311:J1311"/>
    <mergeCell ref="E1328:I1328"/>
    <mergeCell ref="E1345:I1345"/>
    <mergeCell ref="A1323:L1323"/>
    <mergeCell ref="E1341:I1341"/>
    <mergeCell ref="E1344:I1344"/>
    <mergeCell ref="A1337:L1337"/>
    <mergeCell ref="A1322:L1322"/>
    <mergeCell ref="A1312:J1312"/>
    <mergeCell ref="A1375:J1375"/>
    <mergeCell ref="L1372:L1373"/>
    <mergeCell ref="A1348:J1348"/>
    <mergeCell ref="A1367:B1367"/>
    <mergeCell ref="A1350:J1350"/>
    <mergeCell ref="L1375:L1376"/>
    <mergeCell ref="A1352:J1352"/>
    <mergeCell ref="A1370:B1370"/>
    <mergeCell ref="K1372:K1373"/>
    <mergeCell ref="A1365:I1365"/>
    <mergeCell ref="A1593:C1593"/>
    <mergeCell ref="A1592:C1592"/>
    <mergeCell ref="A1376:J1376"/>
    <mergeCell ref="A1389:L1389"/>
    <mergeCell ref="L1378:L1379"/>
    <mergeCell ref="A1383:J1383"/>
    <mergeCell ref="K1378:K1379"/>
    <mergeCell ref="A1472:F1472"/>
    <mergeCell ref="C1461:D1461"/>
    <mergeCell ref="K1375:K1376"/>
    <mergeCell ref="I1591:K1591"/>
    <mergeCell ref="K1570:L1570"/>
    <mergeCell ref="D1589:E1590"/>
    <mergeCell ref="I1579:L1579"/>
    <mergeCell ref="A1594:C1594"/>
    <mergeCell ref="D1591:E1591"/>
    <mergeCell ref="D1592:E1592"/>
    <mergeCell ref="D1593:E1593"/>
    <mergeCell ref="D1594:E1594"/>
    <mergeCell ref="A1591:C1591"/>
    <mergeCell ref="A865:I865"/>
    <mergeCell ref="A869:I869"/>
    <mergeCell ref="F1589:K1589"/>
    <mergeCell ref="F1591:H1591"/>
    <mergeCell ref="A1567:D1568"/>
    <mergeCell ref="A1582:F1582"/>
    <mergeCell ref="G1579:H1580"/>
    <mergeCell ref="F1590:H1590"/>
    <mergeCell ref="I1567:L1567"/>
    <mergeCell ref="A1589:C1590"/>
    <mergeCell ref="AT424:BQ424"/>
    <mergeCell ref="AT650:BQ650"/>
    <mergeCell ref="AT804:BQ804"/>
    <mergeCell ref="AT787:BQ787"/>
    <mergeCell ref="AP683:AP685"/>
    <mergeCell ref="AT822:BQ822"/>
    <mergeCell ref="AT442:BQ442"/>
    <mergeCell ref="P860:Q860"/>
    <mergeCell ref="P856:Q856"/>
    <mergeCell ref="AT836:BQ836"/>
    <mergeCell ref="A461:B461"/>
    <mergeCell ref="A607:I607"/>
    <mergeCell ref="A467:B467"/>
    <mergeCell ref="A465:B465"/>
    <mergeCell ref="P858:Q858"/>
    <mergeCell ref="AT853:BQ853"/>
    <mergeCell ref="A860:H860"/>
    <mergeCell ref="A642:L642"/>
    <mergeCell ref="A469:B469"/>
    <mergeCell ref="A466:B466"/>
    <mergeCell ref="A474:C474"/>
    <mergeCell ref="A427:H427"/>
    <mergeCell ref="A468:B468"/>
    <mergeCell ref="A453:K453"/>
    <mergeCell ref="A457:L457"/>
    <mergeCell ref="A448:H448"/>
    <mergeCell ref="A622:J622"/>
    <mergeCell ref="J312:J315"/>
    <mergeCell ref="A260:B260"/>
    <mergeCell ref="A384:H384"/>
    <mergeCell ref="A382:L382"/>
    <mergeCell ref="A358:C358"/>
    <mergeCell ref="A349:C349"/>
    <mergeCell ref="I366:I369"/>
    <mergeCell ref="A362:I362"/>
    <mergeCell ref="D286:D289"/>
    <mergeCell ref="A318:C318"/>
    <mergeCell ref="A386:H386"/>
    <mergeCell ref="A357:C357"/>
    <mergeCell ref="A366:C370"/>
    <mergeCell ref="A36:B36"/>
    <mergeCell ref="G265:H265"/>
    <mergeCell ref="E263:F263"/>
    <mergeCell ref="A304:C304"/>
    <mergeCell ref="A247:L247"/>
    <mergeCell ref="J211:J213"/>
    <mergeCell ref="I263:J263"/>
    <mergeCell ref="C253:D253"/>
    <mergeCell ref="I278:J278"/>
    <mergeCell ref="A291:C291"/>
    <mergeCell ref="G312:G315"/>
    <mergeCell ref="D312:D315"/>
    <mergeCell ref="A306:C306"/>
    <mergeCell ref="A305:C305"/>
    <mergeCell ref="A302:C302"/>
    <mergeCell ref="A278:B278"/>
    <mergeCell ref="A298:C298"/>
    <mergeCell ref="A312:C316"/>
    <mergeCell ref="F312:F315"/>
    <mergeCell ref="A331:C331"/>
    <mergeCell ref="O7:P7"/>
    <mergeCell ref="O8:P8"/>
    <mergeCell ref="O9:P9"/>
    <mergeCell ref="A234:J234"/>
    <mergeCell ref="L211:L213"/>
    <mergeCell ref="A324:C324"/>
    <mergeCell ref="A329:C329"/>
    <mergeCell ref="E312:E315"/>
    <mergeCell ref="A326:C326"/>
    <mergeCell ref="A396:L396"/>
    <mergeCell ref="A333:C333"/>
    <mergeCell ref="A342:K342"/>
    <mergeCell ref="J343:J346"/>
    <mergeCell ref="A335:C335"/>
    <mergeCell ref="F343:F346"/>
    <mergeCell ref="A340:I340"/>
    <mergeCell ref="A336:C336"/>
    <mergeCell ref="A365:L365"/>
    <mergeCell ref="A371:C371"/>
    <mergeCell ref="A443:K443"/>
    <mergeCell ref="A441:L441"/>
    <mergeCell ref="A451:H451"/>
    <mergeCell ref="A379:L379"/>
    <mergeCell ref="A389:L389"/>
    <mergeCell ref="A411:K411"/>
    <mergeCell ref="A400:H400"/>
    <mergeCell ref="A393:H393"/>
    <mergeCell ref="A348:C348"/>
    <mergeCell ref="A390:H390"/>
    <mergeCell ref="A418:K418"/>
    <mergeCell ref="A352:C352"/>
    <mergeCell ref="A350:C350"/>
    <mergeCell ref="A356:C356"/>
    <mergeCell ref="A398:H398"/>
    <mergeCell ref="A392:H392"/>
    <mergeCell ref="A406:H406"/>
    <mergeCell ref="A388:L388"/>
    <mergeCell ref="A584:I584"/>
    <mergeCell ref="K606:K607"/>
    <mergeCell ref="D477:L477"/>
    <mergeCell ref="A428:H428"/>
    <mergeCell ref="I438:L438"/>
    <mergeCell ref="A446:H446"/>
    <mergeCell ref="A450:H450"/>
    <mergeCell ref="A440:L440"/>
    <mergeCell ref="A429:H429"/>
    <mergeCell ref="A432:H432"/>
    <mergeCell ref="A458:B458"/>
    <mergeCell ref="C458:C459"/>
    <mergeCell ref="L458:L459"/>
    <mergeCell ref="A438:H438"/>
    <mergeCell ref="A436:H436"/>
    <mergeCell ref="L435:L436"/>
    <mergeCell ref="A470:B470"/>
    <mergeCell ref="A471:B471"/>
    <mergeCell ref="A464:B464"/>
    <mergeCell ref="B663:C663"/>
    <mergeCell ref="A656:L656"/>
    <mergeCell ref="A632:J632"/>
    <mergeCell ref="A644:L644"/>
    <mergeCell ref="A633:J633"/>
    <mergeCell ref="A640:L640"/>
    <mergeCell ref="A638:L638"/>
    <mergeCell ref="A447:H447"/>
    <mergeCell ref="K435:K436"/>
    <mergeCell ref="D458:K458"/>
    <mergeCell ref="A460:B460"/>
    <mergeCell ref="A437:H437"/>
    <mergeCell ref="A449:H449"/>
    <mergeCell ref="A435:H435"/>
    <mergeCell ref="I451:L451"/>
    <mergeCell ref="K455:L455"/>
    <mergeCell ref="A459:B459"/>
    <mergeCell ref="A399:H399"/>
    <mergeCell ref="H343:H346"/>
    <mergeCell ref="G343:G346"/>
    <mergeCell ref="E286:E289"/>
    <mergeCell ref="A294:C294"/>
    <mergeCell ref="A325:C325"/>
    <mergeCell ref="A323:C323"/>
    <mergeCell ref="A322:C322"/>
    <mergeCell ref="A321:C321"/>
    <mergeCell ref="A339:I339"/>
    <mergeCell ref="I343:I346"/>
    <mergeCell ref="A351:C351"/>
    <mergeCell ref="C269:D270"/>
    <mergeCell ref="A266:B266"/>
    <mergeCell ref="A338:I338"/>
    <mergeCell ref="D343:D346"/>
    <mergeCell ref="A292:C292"/>
    <mergeCell ref="A280:L280"/>
    <mergeCell ref="A296:C296"/>
    <mergeCell ref="E278:F278"/>
    <mergeCell ref="G271:H271"/>
    <mergeCell ref="N146:O146"/>
    <mergeCell ref="J145:J147"/>
    <mergeCell ref="C224:D224"/>
    <mergeCell ref="C223:D223"/>
    <mergeCell ref="A226:L226"/>
    <mergeCell ref="A145:A147"/>
    <mergeCell ref="D145:D147"/>
    <mergeCell ref="F145:F147"/>
    <mergeCell ref="A160:I160"/>
    <mergeCell ref="J167:J168"/>
    <mergeCell ref="E251:F251"/>
    <mergeCell ref="E232:F232"/>
    <mergeCell ref="A235:J235"/>
    <mergeCell ref="A257:B257"/>
    <mergeCell ref="E257:F257"/>
    <mergeCell ref="A241:L241"/>
    <mergeCell ref="A256:L256"/>
    <mergeCell ref="G220:H220"/>
    <mergeCell ref="H214:H215"/>
    <mergeCell ref="F140:F144"/>
    <mergeCell ref="C145:C147"/>
    <mergeCell ref="A95:A97"/>
    <mergeCell ref="A216:F216"/>
    <mergeCell ref="A157:I157"/>
    <mergeCell ref="A161:I161"/>
    <mergeCell ref="A193:I193"/>
    <mergeCell ref="A176:L176"/>
    <mergeCell ref="K165:K166"/>
    <mergeCell ref="A140:A144"/>
    <mergeCell ref="C28:C29"/>
    <mergeCell ref="B95:C95"/>
    <mergeCell ref="A49:C49"/>
    <mergeCell ref="A134:C134"/>
    <mergeCell ref="J140:J144"/>
    <mergeCell ref="A136:F136"/>
    <mergeCell ref="A137:F137"/>
    <mergeCell ref="D53:L53"/>
    <mergeCell ref="A40:B40"/>
    <mergeCell ref="A92:C92"/>
    <mergeCell ref="N93:R93"/>
    <mergeCell ref="L28:L29"/>
    <mergeCell ref="D28:K28"/>
    <mergeCell ref="K140:K144"/>
    <mergeCell ref="C25:D25"/>
    <mergeCell ref="B53:C53"/>
    <mergeCell ref="A52:I52"/>
    <mergeCell ref="A53:A55"/>
    <mergeCell ref="A32:B32"/>
    <mergeCell ref="A31:B31"/>
    <mergeCell ref="O17:P17"/>
    <mergeCell ref="O25:P25"/>
    <mergeCell ref="O24:P24"/>
    <mergeCell ref="C16:D16"/>
    <mergeCell ref="C22:D22"/>
    <mergeCell ref="C20:D20"/>
    <mergeCell ref="C24:D24"/>
    <mergeCell ref="O16:P16"/>
    <mergeCell ref="O10:P10"/>
    <mergeCell ref="O11:P11"/>
    <mergeCell ref="O12:P12"/>
    <mergeCell ref="O13:P13"/>
    <mergeCell ref="A15:B15"/>
    <mergeCell ref="O14:P14"/>
    <mergeCell ref="C12:D12"/>
    <mergeCell ref="O15:P15"/>
    <mergeCell ref="C13:D13"/>
    <mergeCell ref="C15:D15"/>
    <mergeCell ref="C6:D6"/>
    <mergeCell ref="A7:B7"/>
    <mergeCell ref="A8:B8"/>
    <mergeCell ref="A14:B14"/>
    <mergeCell ref="C10:D10"/>
    <mergeCell ref="C11:D11"/>
    <mergeCell ref="A12:B12"/>
    <mergeCell ref="A6:B6"/>
    <mergeCell ref="C14:D14"/>
    <mergeCell ref="A13:B13"/>
    <mergeCell ref="A4:I4"/>
    <mergeCell ref="A27:I27"/>
    <mergeCell ref="A29:B29"/>
    <mergeCell ref="C5:D5"/>
    <mergeCell ref="C7:D7"/>
    <mergeCell ref="A17:B17"/>
    <mergeCell ref="A25:B25"/>
    <mergeCell ref="A9:B9"/>
    <mergeCell ref="A11:B11"/>
    <mergeCell ref="A5:B5"/>
    <mergeCell ref="A30:B30"/>
    <mergeCell ref="A10:B10"/>
    <mergeCell ref="C17:D17"/>
    <mergeCell ref="C9:D9"/>
    <mergeCell ref="C8:D8"/>
    <mergeCell ref="G228:H228"/>
    <mergeCell ref="A33:B33"/>
    <mergeCell ref="A38:B38"/>
    <mergeCell ref="A41:B41"/>
    <mergeCell ref="A151:G151"/>
    <mergeCell ref="A39:B39"/>
    <mergeCell ref="E231:F231"/>
    <mergeCell ref="I231:J231"/>
    <mergeCell ref="I228:J228"/>
    <mergeCell ref="K223:L223"/>
    <mergeCell ref="J209:J210"/>
    <mergeCell ref="E228:F228"/>
    <mergeCell ref="I140:I144"/>
    <mergeCell ref="A153:G153"/>
    <mergeCell ref="A167:I167"/>
    <mergeCell ref="C263:D264"/>
    <mergeCell ref="A263:B263"/>
    <mergeCell ref="G251:H252"/>
    <mergeCell ref="I254:J254"/>
    <mergeCell ref="A94:I94"/>
    <mergeCell ref="D95:L95"/>
    <mergeCell ref="G140:G144"/>
    <mergeCell ref="A158:I158"/>
    <mergeCell ref="A150:G150"/>
    <mergeCell ref="D140:D144"/>
    <mergeCell ref="A1:K1"/>
    <mergeCell ref="A2:K2"/>
    <mergeCell ref="K171:K172"/>
    <mergeCell ref="A218:L218"/>
    <mergeCell ref="A181:I181"/>
    <mergeCell ref="K209:K210"/>
    <mergeCell ref="A192:I192"/>
    <mergeCell ref="A190:I190"/>
    <mergeCell ref="L209:L210"/>
    <mergeCell ref="A37:B37"/>
    <mergeCell ref="E140:E144"/>
    <mergeCell ref="I188:J188"/>
    <mergeCell ref="L214:L215"/>
    <mergeCell ref="A170:I170"/>
    <mergeCell ref="A177:I177"/>
    <mergeCell ref="K253:L253"/>
    <mergeCell ref="A249:L249"/>
    <mergeCell ref="I224:J224"/>
    <mergeCell ref="K224:L224"/>
    <mergeCell ref="I232:J232"/>
    <mergeCell ref="A926:L926"/>
    <mergeCell ref="A937:H937"/>
    <mergeCell ref="A929:H929"/>
    <mergeCell ref="E269:F269"/>
    <mergeCell ref="A275:B275"/>
    <mergeCell ref="A152:G152"/>
    <mergeCell ref="K255:L255"/>
    <mergeCell ref="C257:D258"/>
    <mergeCell ref="C265:D265"/>
    <mergeCell ref="A254:B254"/>
    <mergeCell ref="S286:S289"/>
    <mergeCell ref="O318:Z318"/>
    <mergeCell ref="Q403:Q406"/>
    <mergeCell ref="E971:F971"/>
    <mergeCell ref="I971:J971"/>
    <mergeCell ref="I977:J977"/>
    <mergeCell ref="A920:I920"/>
    <mergeCell ref="A965:D967"/>
    <mergeCell ref="A952:L952"/>
    <mergeCell ref="A958:H958"/>
    <mergeCell ref="N711:N719"/>
    <mergeCell ref="O314:Z314"/>
    <mergeCell ref="N343:AL343"/>
    <mergeCell ref="X477:X479"/>
    <mergeCell ref="P581:Q581"/>
    <mergeCell ref="N337:AL337"/>
    <mergeCell ref="N332:AL332"/>
    <mergeCell ref="N351:AL351"/>
    <mergeCell ref="N679:P679"/>
    <mergeCell ref="O804:O821"/>
    <mergeCell ref="O822:O835"/>
    <mergeCell ref="N681:P681"/>
    <mergeCell ref="N696:O696"/>
    <mergeCell ref="O684:O692"/>
    <mergeCell ref="N760:N768"/>
    <mergeCell ref="O751:O759"/>
    <mergeCell ref="O760:O768"/>
    <mergeCell ref="O729:O737"/>
    <mergeCell ref="O738:O750"/>
    <mergeCell ref="K277:L277"/>
    <mergeCell ref="N274:AL274"/>
    <mergeCell ref="N836:N849"/>
    <mergeCell ref="O836:O849"/>
    <mergeCell ref="N822:N835"/>
    <mergeCell ref="S965:T966"/>
    <mergeCell ref="O787:O803"/>
    <mergeCell ref="P853:Q853"/>
    <mergeCell ref="P854:Q854"/>
    <mergeCell ref="P855:Q855"/>
    <mergeCell ref="H140:H144"/>
    <mergeCell ref="A168:I168"/>
    <mergeCell ref="N286:N289"/>
    <mergeCell ref="K271:L271"/>
    <mergeCell ref="J286:J289"/>
    <mergeCell ref="I286:I289"/>
    <mergeCell ref="K265:L265"/>
    <mergeCell ref="K269:L270"/>
    <mergeCell ref="A268:L268"/>
    <mergeCell ref="K267:L267"/>
    <mergeCell ref="I214:I215"/>
    <mergeCell ref="K214:K215"/>
    <mergeCell ref="X53:X55"/>
    <mergeCell ref="A199:H199"/>
    <mergeCell ref="A195:H195"/>
    <mergeCell ref="W54:W55"/>
    <mergeCell ref="J165:J166"/>
    <mergeCell ref="G145:G147"/>
    <mergeCell ref="K145:K147"/>
    <mergeCell ref="A155:G155"/>
    <mergeCell ref="C251:D252"/>
    <mergeCell ref="A231:B231"/>
    <mergeCell ref="E223:F223"/>
    <mergeCell ref="C231:D231"/>
    <mergeCell ref="A219:F219"/>
    <mergeCell ref="A220:B220"/>
    <mergeCell ref="A239:L239"/>
    <mergeCell ref="C228:D228"/>
    <mergeCell ref="C232:D232"/>
    <mergeCell ref="A232:B232"/>
    <mergeCell ref="L165:L166"/>
    <mergeCell ref="H209:H210"/>
    <mergeCell ref="I209:I210"/>
    <mergeCell ref="L205:L207"/>
    <mergeCell ref="L167:L168"/>
    <mergeCell ref="K167:K168"/>
    <mergeCell ref="A183:I183"/>
    <mergeCell ref="I205:I207"/>
    <mergeCell ref="A179:I179"/>
    <mergeCell ref="A186:I186"/>
    <mergeCell ref="I220:J220"/>
    <mergeCell ref="J205:J207"/>
    <mergeCell ref="A214:F215"/>
    <mergeCell ref="A185:I185"/>
    <mergeCell ref="H205:H207"/>
    <mergeCell ref="I211:I213"/>
    <mergeCell ref="A187:I187"/>
    <mergeCell ref="C220:D220"/>
    <mergeCell ref="A200:L200"/>
    <mergeCell ref="J214:J215"/>
    <mergeCell ref="L169:L170"/>
    <mergeCell ref="A175:L175"/>
    <mergeCell ref="K169:K170"/>
    <mergeCell ref="J169:J170"/>
    <mergeCell ref="A224:B224"/>
    <mergeCell ref="G224:H224"/>
    <mergeCell ref="A211:F213"/>
    <mergeCell ref="G211:G213"/>
    <mergeCell ref="H211:H213"/>
    <mergeCell ref="G205:G207"/>
    <mergeCell ref="A209:F210"/>
    <mergeCell ref="G214:G215"/>
    <mergeCell ref="K211:K213"/>
    <mergeCell ref="N183:AM183"/>
    <mergeCell ref="G209:G210"/>
    <mergeCell ref="N185:AM185"/>
    <mergeCell ref="A205:F207"/>
    <mergeCell ref="A197:H197"/>
    <mergeCell ref="A189:I189"/>
    <mergeCell ref="A188:H188"/>
    <mergeCell ref="A198:H198"/>
    <mergeCell ref="A204:L204"/>
    <mergeCell ref="K205:K207"/>
    <mergeCell ref="N174:AM174"/>
    <mergeCell ref="A196:H196"/>
    <mergeCell ref="A182:I182"/>
    <mergeCell ref="A184:I184"/>
    <mergeCell ref="A172:I172"/>
    <mergeCell ref="A173:I173"/>
    <mergeCell ref="J171:J172"/>
    <mergeCell ref="N175:AM175"/>
    <mergeCell ref="L171:L172"/>
    <mergeCell ref="A171:I171"/>
    <mergeCell ref="E224:F224"/>
    <mergeCell ref="G223:H223"/>
    <mergeCell ref="A223:B223"/>
    <mergeCell ref="G219:L219"/>
    <mergeCell ref="K220:L220"/>
    <mergeCell ref="G232:H232"/>
    <mergeCell ref="G227:L227"/>
    <mergeCell ref="K231:L231"/>
    <mergeCell ref="E220:F220"/>
    <mergeCell ref="A228:B228"/>
    <mergeCell ref="K263:L264"/>
    <mergeCell ref="I275:J275"/>
    <mergeCell ref="K275:L276"/>
    <mergeCell ref="I266:J266"/>
    <mergeCell ref="I269:J269"/>
    <mergeCell ref="K232:L232"/>
    <mergeCell ref="I260:J260"/>
    <mergeCell ref="A240:L240"/>
    <mergeCell ref="I257:J257"/>
    <mergeCell ref="A243:L243"/>
    <mergeCell ref="E275:F275"/>
    <mergeCell ref="E266:F266"/>
    <mergeCell ref="E272:F272"/>
    <mergeCell ref="A269:B269"/>
    <mergeCell ref="I272:J272"/>
    <mergeCell ref="E254:F254"/>
    <mergeCell ref="A262:L262"/>
    <mergeCell ref="E260:F260"/>
    <mergeCell ref="G263:H264"/>
    <mergeCell ref="G275:H276"/>
    <mergeCell ref="K261:L261"/>
    <mergeCell ref="N222:AM222"/>
    <mergeCell ref="A250:L250"/>
    <mergeCell ref="G253:H253"/>
    <mergeCell ref="G257:H258"/>
    <mergeCell ref="K228:L228"/>
    <mergeCell ref="C259:D259"/>
    <mergeCell ref="A251:B251"/>
    <mergeCell ref="I251:J251"/>
    <mergeCell ref="A227:F227"/>
    <mergeCell ref="N221:AM221"/>
    <mergeCell ref="N249:AL249"/>
    <mergeCell ref="N256:AL256"/>
    <mergeCell ref="N262:AL262"/>
    <mergeCell ref="I223:J223"/>
    <mergeCell ref="K251:L252"/>
    <mergeCell ref="K257:L258"/>
    <mergeCell ref="K259:L259"/>
    <mergeCell ref="A237:L237"/>
    <mergeCell ref="A238:L238"/>
    <mergeCell ref="N268:AL268"/>
    <mergeCell ref="C275:D276"/>
    <mergeCell ref="A285:K285"/>
    <mergeCell ref="K312:K315"/>
    <mergeCell ref="M312:M315"/>
    <mergeCell ref="N347:AL347"/>
    <mergeCell ref="G269:H270"/>
    <mergeCell ref="K273:L273"/>
    <mergeCell ref="C271:D271"/>
    <mergeCell ref="A274:L274"/>
    <mergeCell ref="C277:D277"/>
    <mergeCell ref="W478:W479"/>
    <mergeCell ref="O442:O456"/>
    <mergeCell ref="O316:Z316"/>
    <mergeCell ref="H286:H289"/>
    <mergeCell ref="M286:M289"/>
    <mergeCell ref="K279:L279"/>
    <mergeCell ref="A286:C290"/>
    <mergeCell ref="B477:C477"/>
    <mergeCell ref="G277:H277"/>
    <mergeCell ref="N738:N750"/>
    <mergeCell ref="O311:Z311"/>
    <mergeCell ref="A810:I810"/>
    <mergeCell ref="N804:N821"/>
    <mergeCell ref="X538:X540"/>
    <mergeCell ref="W539:W540"/>
    <mergeCell ref="O312:Z312"/>
    <mergeCell ref="U403:U405"/>
    <mergeCell ref="N402:O402"/>
    <mergeCell ref="N770:N786"/>
    <mergeCell ref="D751:J751"/>
    <mergeCell ref="N720:N728"/>
    <mergeCell ref="B714:C714"/>
    <mergeCell ref="N698:O698"/>
    <mergeCell ref="N787:N803"/>
    <mergeCell ref="D793:H793"/>
    <mergeCell ref="A802:L802"/>
    <mergeCell ref="A798:L798"/>
    <mergeCell ref="D795:H795"/>
    <mergeCell ref="D792:H792"/>
    <mergeCell ref="N729:N737"/>
    <mergeCell ref="O720:O728"/>
    <mergeCell ref="A700:L700"/>
    <mergeCell ref="A704:H704"/>
    <mergeCell ref="A708:L708"/>
    <mergeCell ref="O770:O786"/>
    <mergeCell ref="B756:C756"/>
    <mergeCell ref="N751:N759"/>
    <mergeCell ref="O711:O719"/>
    <mergeCell ref="A714:A751"/>
    <mergeCell ref="N442:N456"/>
    <mergeCell ref="A455:C455"/>
    <mergeCell ref="B686:C686"/>
    <mergeCell ref="A690:L690"/>
    <mergeCell ref="N684:N692"/>
    <mergeCell ref="A698:J698"/>
    <mergeCell ref="N697:O697"/>
    <mergeCell ref="A697:J697"/>
    <mergeCell ref="N680:P680"/>
    <mergeCell ref="A654:I654"/>
    <mergeCell ref="A673:J673"/>
    <mergeCell ref="A609:K609"/>
    <mergeCell ref="A612:C612"/>
    <mergeCell ref="A630:L630"/>
    <mergeCell ref="N424:N438"/>
    <mergeCell ref="O424:O438"/>
    <mergeCell ref="N619:W619"/>
    <mergeCell ref="P583:Q583"/>
    <mergeCell ref="P584:Q584"/>
    <mergeCell ref="P585:Q585"/>
    <mergeCell ref="A870:I870"/>
    <mergeCell ref="A866:I866"/>
    <mergeCell ref="B679:C679"/>
    <mergeCell ref="B683:C683"/>
    <mergeCell ref="A696:J696"/>
    <mergeCell ref="P579:Q579"/>
    <mergeCell ref="P580:Q580"/>
    <mergeCell ref="O616:P616"/>
    <mergeCell ref="A657:J657"/>
    <mergeCell ref="A671:J671"/>
    <mergeCell ref="A840:H840"/>
    <mergeCell ref="A846:I846"/>
    <mergeCell ref="K818:L818"/>
    <mergeCell ref="A857:H857"/>
    <mergeCell ref="A850:I850"/>
    <mergeCell ref="A818:I818"/>
    <mergeCell ref="A856:G856"/>
    <mergeCell ref="A817:I817"/>
    <mergeCell ref="D750:J750"/>
    <mergeCell ref="D749:J749"/>
    <mergeCell ref="D748:J748"/>
    <mergeCell ref="D794:H794"/>
    <mergeCell ref="K816:L816"/>
    <mergeCell ref="A756:A795"/>
    <mergeCell ref="A800:L800"/>
    <mergeCell ref="A814:I814"/>
    <mergeCell ref="A813:I813"/>
    <mergeCell ref="A904:L904"/>
    <mergeCell ref="A887:G887"/>
    <mergeCell ref="A876:G876"/>
    <mergeCell ref="A882:L882"/>
    <mergeCell ref="A909:L909"/>
    <mergeCell ref="A911:L911"/>
    <mergeCell ref="A894:K894"/>
    <mergeCell ref="J876:K876"/>
    <mergeCell ref="G1003:H1003"/>
    <mergeCell ref="G1009:J1009"/>
    <mergeCell ref="A1010:D1010"/>
    <mergeCell ref="E979:F979"/>
    <mergeCell ref="A974:D974"/>
    <mergeCell ref="A981:D981"/>
    <mergeCell ref="A975:D975"/>
    <mergeCell ref="G996:H996"/>
    <mergeCell ref="O1020:P1020"/>
    <mergeCell ref="A1014:L1014"/>
    <mergeCell ref="A1015:K1015"/>
    <mergeCell ref="A1046:L1046"/>
    <mergeCell ref="A1007:D1007"/>
    <mergeCell ref="G1006:J1006"/>
    <mergeCell ref="A1008:D1008"/>
    <mergeCell ref="A1018:L1018"/>
    <mergeCell ref="G1008:J1008"/>
    <mergeCell ref="G1007:J1007"/>
    <mergeCell ref="E1074:I1074"/>
    <mergeCell ref="A1083:H1083"/>
    <mergeCell ref="E1075:I1075"/>
    <mergeCell ref="A1038:L1038"/>
    <mergeCell ref="A1048:L1048"/>
    <mergeCell ref="G998:H998"/>
    <mergeCell ref="A1000:D1000"/>
    <mergeCell ref="A999:D999"/>
    <mergeCell ref="A1006:D1006"/>
    <mergeCell ref="A1009:D1009"/>
    <mergeCell ref="E1060:I1061"/>
    <mergeCell ref="E1067:I1067"/>
    <mergeCell ref="P1096:P1097"/>
    <mergeCell ref="A1095:H1095"/>
    <mergeCell ref="L1096:L1097"/>
    <mergeCell ref="O1096:O1097"/>
    <mergeCell ref="A1096:H1096"/>
    <mergeCell ref="L1094:L1095"/>
    <mergeCell ref="P1094:P1095"/>
    <mergeCell ref="O1094:O1095"/>
    <mergeCell ref="K1094:K1095"/>
    <mergeCell ref="O1115:O1116"/>
    <mergeCell ref="A1087:H1087"/>
    <mergeCell ref="A1086:H1086"/>
    <mergeCell ref="A1088:H1088"/>
    <mergeCell ref="A1090:H1090"/>
    <mergeCell ref="A1104:H1104"/>
    <mergeCell ref="K1096:K1097"/>
    <mergeCell ref="A1097:H1097"/>
    <mergeCell ref="A1089:H1089"/>
    <mergeCell ref="A1099:H1099"/>
    <mergeCell ref="A1115:I1115"/>
    <mergeCell ref="A1084:H1084"/>
    <mergeCell ref="E1065:I1065"/>
    <mergeCell ref="A1082:H1082"/>
    <mergeCell ref="A1081:H1081"/>
    <mergeCell ref="A1094:H1094"/>
    <mergeCell ref="A1085:H1085"/>
    <mergeCell ref="A1080:H1080"/>
    <mergeCell ref="E1073:I1073"/>
    <mergeCell ref="J1068:K1068"/>
    <mergeCell ref="A1079:H1079"/>
    <mergeCell ref="B1023:E1023"/>
    <mergeCell ref="E1064:I1064"/>
    <mergeCell ref="B1019:E1020"/>
    <mergeCell ref="B1022:E1022"/>
    <mergeCell ref="B1021:E1021"/>
    <mergeCell ref="A1037:L1037"/>
    <mergeCell ref="B1027:E1027"/>
    <mergeCell ref="A1031:L1031"/>
    <mergeCell ref="B1026:E1026"/>
    <mergeCell ref="B1025:E1025"/>
    <mergeCell ref="J879:K879"/>
    <mergeCell ref="J878:K878"/>
    <mergeCell ref="A878:G878"/>
    <mergeCell ref="A1150:L1150"/>
    <mergeCell ref="E1142:I1142"/>
    <mergeCell ref="E1144:I1144"/>
    <mergeCell ref="A883:L883"/>
    <mergeCell ref="A888:G888"/>
    <mergeCell ref="E1035:F1035"/>
    <mergeCell ref="E1063:I1063"/>
    <mergeCell ref="E1126:I1126"/>
    <mergeCell ref="A1119:L1119"/>
    <mergeCell ref="E1128:I1128"/>
    <mergeCell ref="E1123:I1123"/>
    <mergeCell ref="A1098:H1098"/>
    <mergeCell ref="E1066:I1066"/>
    <mergeCell ref="E1070:I1071"/>
    <mergeCell ref="L1115:L1116"/>
    <mergeCell ref="J1077:K1077"/>
    <mergeCell ref="E1072:I1072"/>
    <mergeCell ref="A1011:D1011"/>
    <mergeCell ref="A1045:L1045"/>
    <mergeCell ref="B1024:E1024"/>
    <mergeCell ref="A1116:I1116"/>
    <mergeCell ref="A1049:L1049"/>
    <mergeCell ref="E1076:I1076"/>
    <mergeCell ref="G1011:J1011"/>
    <mergeCell ref="E1062:I1062"/>
    <mergeCell ref="A1034:L1034"/>
    <mergeCell ref="A1017:L1017"/>
    <mergeCell ref="J1146:K1146"/>
    <mergeCell ref="E1145:I1145"/>
    <mergeCell ref="A1134:L1134"/>
    <mergeCell ref="E1129:I1129"/>
    <mergeCell ref="E1127:I1127"/>
    <mergeCell ref="E1125:I1125"/>
    <mergeCell ref="E1141:I1141"/>
    <mergeCell ref="A1135:L1135"/>
    <mergeCell ref="E1139:I1139"/>
    <mergeCell ref="E1140:I1140"/>
    <mergeCell ref="P975:T975"/>
    <mergeCell ref="P976:T976"/>
    <mergeCell ref="G997:H997"/>
    <mergeCell ref="G993:H993"/>
    <mergeCell ref="I987:L988"/>
    <mergeCell ref="E985:F985"/>
    <mergeCell ref="G985:H985"/>
    <mergeCell ref="G981:H981"/>
    <mergeCell ref="A997:D997"/>
    <mergeCell ref="G991:H991"/>
    <mergeCell ref="G992:H992"/>
    <mergeCell ref="K990:L990"/>
    <mergeCell ref="K991:L991"/>
    <mergeCell ref="K992:L992"/>
    <mergeCell ref="K997:L997"/>
    <mergeCell ref="G994:H994"/>
    <mergeCell ref="G995:H995"/>
    <mergeCell ref="K996:L996"/>
    <mergeCell ref="A917:L917"/>
    <mergeCell ref="A902:L902"/>
    <mergeCell ref="A890:G890"/>
    <mergeCell ref="A907:L907"/>
    <mergeCell ref="P974:T974"/>
    <mergeCell ref="G973:H973"/>
    <mergeCell ref="A924:L924"/>
    <mergeCell ref="A915:L915"/>
    <mergeCell ref="P971:T971"/>
    <mergeCell ref="A942:L942"/>
    <mergeCell ref="A859:H859"/>
    <mergeCell ref="A879:G879"/>
    <mergeCell ref="A871:I871"/>
    <mergeCell ref="A867:I867"/>
    <mergeCell ref="A898:I898"/>
    <mergeCell ref="A896:I896"/>
    <mergeCell ref="A897:I897"/>
    <mergeCell ref="A862:I862"/>
    <mergeCell ref="A861:I861"/>
    <mergeCell ref="A868:I868"/>
    <mergeCell ref="A851:I851"/>
    <mergeCell ref="A848:I848"/>
    <mergeCell ref="A843:I843"/>
    <mergeCell ref="A841:H841"/>
    <mergeCell ref="A797:L797"/>
    <mergeCell ref="A889:G889"/>
    <mergeCell ref="A881:K881"/>
    <mergeCell ref="A864:I864"/>
    <mergeCell ref="A863:I863"/>
    <mergeCell ref="J856:K856"/>
    <mergeCell ref="A816:I816"/>
    <mergeCell ref="A712:L712"/>
    <mergeCell ref="A807:I807"/>
    <mergeCell ref="A808:I808"/>
    <mergeCell ref="A809:I809"/>
    <mergeCell ref="A707:L707"/>
    <mergeCell ref="A754:L754"/>
    <mergeCell ref="A753:L753"/>
    <mergeCell ref="A812:I812"/>
    <mergeCell ref="A811:I811"/>
    <mergeCell ref="A701:L701"/>
    <mergeCell ref="A703:H703"/>
    <mergeCell ref="A711:L711"/>
    <mergeCell ref="A710:L710"/>
    <mergeCell ref="A538:A540"/>
    <mergeCell ref="A695:J695"/>
    <mergeCell ref="A693:L693"/>
    <mergeCell ref="B685:C685"/>
    <mergeCell ref="A694:J694"/>
    <mergeCell ref="A582:I582"/>
    <mergeCell ref="A527:B527"/>
    <mergeCell ref="A528:B528"/>
    <mergeCell ref="A531:B531"/>
    <mergeCell ref="A533:B533"/>
    <mergeCell ref="A580:I580"/>
    <mergeCell ref="A529:B529"/>
    <mergeCell ref="A577:D577"/>
    <mergeCell ref="A521:B521"/>
    <mergeCell ref="A590:I590"/>
    <mergeCell ref="J589:J590"/>
    <mergeCell ref="K592:K593"/>
    <mergeCell ref="A586:I586"/>
    <mergeCell ref="K589:K590"/>
    <mergeCell ref="A589:I589"/>
    <mergeCell ref="A588:I588"/>
    <mergeCell ref="A535:C535"/>
    <mergeCell ref="A534:C534"/>
    <mergeCell ref="A629:L629"/>
    <mergeCell ref="J606:J607"/>
    <mergeCell ref="A604:I604"/>
    <mergeCell ref="A611:C611"/>
    <mergeCell ref="A621:J621"/>
    <mergeCell ref="K603:K604"/>
    <mergeCell ref="A624:J624"/>
    <mergeCell ref="A625:J626"/>
    <mergeCell ref="A623:J623"/>
    <mergeCell ref="A614:D614"/>
    <mergeCell ref="K595:K596"/>
    <mergeCell ref="A599:I599"/>
    <mergeCell ref="B675:C675"/>
    <mergeCell ref="B674:C674"/>
    <mergeCell ref="B682:C682"/>
    <mergeCell ref="A628:L628"/>
    <mergeCell ref="A652:I652"/>
    <mergeCell ref="L632:L633"/>
    <mergeCell ref="A650:I650"/>
    <mergeCell ref="A617:J617"/>
    <mergeCell ref="A934:H934"/>
    <mergeCell ref="A932:H932"/>
    <mergeCell ref="A938:H938"/>
    <mergeCell ref="A660:L660"/>
    <mergeCell ref="A667:J667"/>
    <mergeCell ref="B664:C664"/>
    <mergeCell ref="A839:H839"/>
    <mergeCell ref="A845:I845"/>
    <mergeCell ref="J704:K704"/>
    <mergeCell ref="A806:I806"/>
    <mergeCell ref="J957:K957"/>
    <mergeCell ref="J958:K958"/>
    <mergeCell ref="A930:H930"/>
    <mergeCell ref="A922:L922"/>
    <mergeCell ref="A899:I899"/>
    <mergeCell ref="A954:L954"/>
    <mergeCell ref="A946:L946"/>
    <mergeCell ref="A935:H935"/>
    <mergeCell ref="A940:L940"/>
    <mergeCell ref="A933:H933"/>
    <mergeCell ref="A669:J669"/>
    <mergeCell ref="A662:J662"/>
    <mergeCell ref="A670:J670"/>
    <mergeCell ref="A668:J668"/>
    <mergeCell ref="A689:L689"/>
    <mergeCell ref="A706:L706"/>
    <mergeCell ref="A678:J678"/>
    <mergeCell ref="B680:C680"/>
    <mergeCell ref="B684:C684"/>
    <mergeCell ref="B681:C681"/>
    <mergeCell ref="A648:J648"/>
    <mergeCell ref="A844:I844"/>
    <mergeCell ref="A820:L820"/>
    <mergeCell ref="A829:H829"/>
    <mergeCell ref="A948:L948"/>
    <mergeCell ref="K817:L817"/>
    <mergeCell ref="J835:K835"/>
    <mergeCell ref="A849:I849"/>
    <mergeCell ref="A838:H838"/>
    <mergeCell ref="A847:I847"/>
    <mergeCell ref="A520:B520"/>
    <mergeCell ref="A592:I592"/>
    <mergeCell ref="A647:J647"/>
    <mergeCell ref="A601:I601"/>
    <mergeCell ref="K600:K601"/>
    <mergeCell ref="A610:C610"/>
    <mergeCell ref="K632:K633"/>
    <mergeCell ref="A627:J627"/>
    <mergeCell ref="A581:I581"/>
    <mergeCell ref="H610:L614"/>
    <mergeCell ref="A1151:L1151"/>
    <mergeCell ref="A1232:J1232"/>
    <mergeCell ref="A1213:L1213"/>
    <mergeCell ref="E1158:I1158"/>
    <mergeCell ref="E1173:I1173"/>
    <mergeCell ref="E1219:I1219"/>
    <mergeCell ref="A1229:L1229"/>
    <mergeCell ref="A1228:L1228"/>
    <mergeCell ref="E1220:I1220"/>
    <mergeCell ref="E1174:I1174"/>
    <mergeCell ref="A1248:L1248"/>
    <mergeCell ref="A1265:J1265"/>
    <mergeCell ref="A1257:I1257"/>
    <mergeCell ref="G1260:L1260"/>
    <mergeCell ref="A1576:D1576"/>
    <mergeCell ref="G1581:H1581"/>
    <mergeCell ref="E1570:F1570"/>
    <mergeCell ref="G1572:H1572"/>
    <mergeCell ref="I1569:J1569"/>
    <mergeCell ref="I1568:J1568"/>
    <mergeCell ref="A1595:C1595"/>
    <mergeCell ref="A1596:C1596"/>
    <mergeCell ref="D1595:E1595"/>
    <mergeCell ref="D1596:E1596"/>
    <mergeCell ref="F1595:G1595"/>
    <mergeCell ref="F1592:G1592"/>
    <mergeCell ref="F1593:G1593"/>
    <mergeCell ref="F1594:H1594"/>
    <mergeCell ref="H1592:H1593"/>
    <mergeCell ref="H1595:H1596"/>
    <mergeCell ref="K1569:L1569"/>
    <mergeCell ref="I1531:I1532"/>
    <mergeCell ref="J1531:K1532"/>
    <mergeCell ref="F1596:G1596"/>
    <mergeCell ref="A1584:F1584"/>
    <mergeCell ref="E1574:F1574"/>
    <mergeCell ref="I1580:J1580"/>
    <mergeCell ref="I1581:J1581"/>
    <mergeCell ref="I1576:J1576"/>
    <mergeCell ref="K1568:L1568"/>
    <mergeCell ref="A1508:L1508"/>
    <mergeCell ref="E1568:F1568"/>
    <mergeCell ref="A1512:C1512"/>
    <mergeCell ref="A1511:C1511"/>
    <mergeCell ref="A1510:C1510"/>
    <mergeCell ref="A1566:L1566"/>
    <mergeCell ref="L1529:L1530"/>
    <mergeCell ref="A1524:C1524"/>
    <mergeCell ref="L1531:L1532"/>
    <mergeCell ref="I1529:I1530"/>
    <mergeCell ref="E1573:F1573"/>
    <mergeCell ref="G1575:H1575"/>
    <mergeCell ref="E1575:F1575"/>
    <mergeCell ref="A1571:D1572"/>
    <mergeCell ref="K1581:L1581"/>
    <mergeCell ref="A1583:F1583"/>
    <mergeCell ref="A1579:F1581"/>
    <mergeCell ref="A1573:D1574"/>
    <mergeCell ref="E1576:F1576"/>
    <mergeCell ref="G1573:H1573"/>
    <mergeCell ref="E1460:F1460"/>
    <mergeCell ref="A1463:L1463"/>
    <mergeCell ref="K1465:L1465"/>
    <mergeCell ref="I1468:J1468"/>
    <mergeCell ref="I1467:J1467"/>
    <mergeCell ref="A1467:F1467"/>
    <mergeCell ref="E1461:F1461"/>
    <mergeCell ref="A1468:F1468"/>
    <mergeCell ref="K1468:L1468"/>
    <mergeCell ref="K1466:L1466"/>
    <mergeCell ref="G1478:H1478"/>
    <mergeCell ref="I1472:J1472"/>
    <mergeCell ref="I1488:J1488"/>
    <mergeCell ref="A1492:C1493"/>
    <mergeCell ref="F1494:H1494"/>
    <mergeCell ref="A1481:F1483"/>
    <mergeCell ref="I1485:J1485"/>
    <mergeCell ref="G1475:H1475"/>
    <mergeCell ref="G1482:H1482"/>
    <mergeCell ref="D1492:E1493"/>
    <mergeCell ref="D1495:E1495"/>
    <mergeCell ref="D1501:E1501"/>
    <mergeCell ref="A1501:C1501"/>
    <mergeCell ref="D1500:E1500"/>
    <mergeCell ref="I1482:J1482"/>
    <mergeCell ref="A1494:C1494"/>
    <mergeCell ref="I1501:K1501"/>
    <mergeCell ref="K1484:L1484"/>
    <mergeCell ref="K1486:L1486"/>
    <mergeCell ref="A1496:C1496"/>
    <mergeCell ref="J1160:K1160"/>
    <mergeCell ref="A1169:L1169"/>
    <mergeCell ref="A1325:L1325"/>
    <mergeCell ref="J1192:K1192"/>
    <mergeCell ref="E1215:I1216"/>
    <mergeCell ref="A1246:L1246"/>
    <mergeCell ref="A1319:J1319"/>
    <mergeCell ref="E1293:I1294"/>
    <mergeCell ref="E1295:I1295"/>
    <mergeCell ref="E1298:I1298"/>
    <mergeCell ref="A1168:L1168"/>
    <mergeCell ref="A1234:I1234"/>
    <mergeCell ref="I1483:J1483"/>
    <mergeCell ref="I1476:J1476"/>
    <mergeCell ref="I1475:J1475"/>
    <mergeCell ref="G1476:H1476"/>
    <mergeCell ref="A1451:F1451"/>
    <mergeCell ref="G1467:H1467"/>
    <mergeCell ref="H1461:I1461"/>
    <mergeCell ref="A1453:F1453"/>
    <mergeCell ref="A1428:A1429"/>
    <mergeCell ref="D1430:F1431"/>
    <mergeCell ref="E1338:I1339"/>
    <mergeCell ref="A1351:J1351"/>
    <mergeCell ref="G1409:H1409"/>
    <mergeCell ref="B1409:C1409"/>
    <mergeCell ref="A1396:L1396"/>
    <mergeCell ref="A1402:L1402"/>
    <mergeCell ref="A1353:F1353"/>
    <mergeCell ref="A1358:J1358"/>
    <mergeCell ref="E1217:I1217"/>
    <mergeCell ref="E1171:I1172"/>
    <mergeCell ref="A1231:I1231"/>
    <mergeCell ref="P1115:P1116"/>
    <mergeCell ref="O1319:O1320"/>
    <mergeCell ref="E1177:I1177"/>
    <mergeCell ref="E1156:I1156"/>
    <mergeCell ref="E1143:I1143"/>
    <mergeCell ref="A1226:I1226"/>
    <mergeCell ref="E1153:I1154"/>
    <mergeCell ref="E1218:I1218"/>
    <mergeCell ref="A1237:I1237"/>
    <mergeCell ref="A1305:J1305"/>
    <mergeCell ref="A1315:J1315"/>
    <mergeCell ref="A1235:I1235"/>
    <mergeCell ref="A1269:L1269"/>
    <mergeCell ref="A1240:I1240"/>
    <mergeCell ref="A1304:J1304"/>
    <mergeCell ref="A1254:J1254"/>
    <mergeCell ref="E1279:I1279"/>
    <mergeCell ref="A1355:F1355"/>
    <mergeCell ref="E1340:I1340"/>
    <mergeCell ref="A1357:F1357"/>
    <mergeCell ref="C1356:H1356"/>
    <mergeCell ref="A1349:J1349"/>
    <mergeCell ref="J1346:K1346"/>
    <mergeCell ref="E1343:I1343"/>
    <mergeCell ref="E1157:I1157"/>
    <mergeCell ref="P1391:P1392"/>
    <mergeCell ref="O1391:O1392"/>
    <mergeCell ref="A1379:J1379"/>
    <mergeCell ref="P1319:P1320"/>
    <mergeCell ref="P1372:P1373"/>
    <mergeCell ref="O1375:O1376"/>
    <mergeCell ref="P1375:P1376"/>
    <mergeCell ref="E1329:I1329"/>
    <mergeCell ref="O1378:O1379"/>
    <mergeCell ref="P1378:P1379"/>
    <mergeCell ref="O1372:O1373"/>
    <mergeCell ref="K1480:L1480"/>
    <mergeCell ref="I1478:J1478"/>
    <mergeCell ref="G1486:H1486"/>
    <mergeCell ref="I1484:J1484"/>
    <mergeCell ref="I1428:J1429"/>
    <mergeCell ref="A1392:J1392"/>
    <mergeCell ref="G1447:H1447"/>
    <mergeCell ref="G1471:H1471"/>
    <mergeCell ref="K1595:K1596"/>
    <mergeCell ref="I1592:J1592"/>
    <mergeCell ref="I1593:J1593"/>
    <mergeCell ref="I1596:J1596"/>
    <mergeCell ref="K1592:K1593"/>
    <mergeCell ref="I1594:K1594"/>
    <mergeCell ref="I1595:J1595"/>
    <mergeCell ref="A1585:F1585"/>
    <mergeCell ref="A1503:H1503"/>
    <mergeCell ref="K1574:L1574"/>
    <mergeCell ref="K1580:L1580"/>
    <mergeCell ref="K1576:L1576"/>
    <mergeCell ref="D1496:E1496"/>
    <mergeCell ref="A1497:C1497"/>
    <mergeCell ref="K1575:L1575"/>
    <mergeCell ref="I1572:J1572"/>
    <mergeCell ref="I1573:J1573"/>
    <mergeCell ref="I1590:K1590"/>
    <mergeCell ref="K1504:L1504"/>
    <mergeCell ref="K1503:L1503"/>
    <mergeCell ref="A1588:L1588"/>
    <mergeCell ref="A1586:F1586"/>
    <mergeCell ref="K1573:L1573"/>
    <mergeCell ref="A1578:L1578"/>
    <mergeCell ref="A1575:D1575"/>
    <mergeCell ref="I1574:J1574"/>
    <mergeCell ref="G1574:H1574"/>
    <mergeCell ref="L1399:L1400"/>
    <mergeCell ref="I1464:L1464"/>
    <mergeCell ref="K1472:L1472"/>
    <mergeCell ref="K1461:L1461"/>
    <mergeCell ref="G1470:H1470"/>
    <mergeCell ref="K1467:L1467"/>
    <mergeCell ref="K1406:L1408"/>
    <mergeCell ref="G1472:H1472"/>
    <mergeCell ref="H1460:I1460"/>
    <mergeCell ref="K1410:L1411"/>
    <mergeCell ref="O1573:P1573"/>
    <mergeCell ref="O1568:P1568"/>
    <mergeCell ref="O1569:P1569"/>
    <mergeCell ref="O1399:O1400"/>
    <mergeCell ref="P1399:P1400"/>
    <mergeCell ref="O1460:P1460"/>
    <mergeCell ref="O1571:P1571"/>
    <mergeCell ref="O1567:P1567"/>
    <mergeCell ref="O1572:P1572"/>
    <mergeCell ref="O1570:P1570"/>
    <mergeCell ref="A518:L518"/>
    <mergeCell ref="A833:H833"/>
    <mergeCell ref="O1566:P1566"/>
    <mergeCell ref="J824:K824"/>
    <mergeCell ref="J825:K825"/>
    <mergeCell ref="A824:G824"/>
    <mergeCell ref="F1501:H1501"/>
    <mergeCell ref="I1410:J1411"/>
    <mergeCell ref="I1465:J1465"/>
    <mergeCell ref="I1466:J1466"/>
    <mergeCell ref="O1498:Q1499"/>
    <mergeCell ref="A1474:L1474"/>
    <mergeCell ref="K1572:L1572"/>
    <mergeCell ref="A579:I579"/>
    <mergeCell ref="J600:J601"/>
    <mergeCell ref="J595:J596"/>
    <mergeCell ref="A842:I842"/>
    <mergeCell ref="A837:H837"/>
    <mergeCell ref="A936:H936"/>
    <mergeCell ref="A950:L950"/>
    <mergeCell ref="A524:B524"/>
    <mergeCell ref="B538:C538"/>
    <mergeCell ref="A596:I596"/>
    <mergeCell ref="J592:J593"/>
    <mergeCell ref="A593:I593"/>
    <mergeCell ref="J959:K959"/>
    <mergeCell ref="A957:H957"/>
    <mergeCell ref="A959:H959"/>
    <mergeCell ref="J831:K831"/>
    <mergeCell ref="A852:I852"/>
    <mergeCell ref="J938:K938"/>
    <mergeCell ref="A972:D972"/>
    <mergeCell ref="G972:H972"/>
    <mergeCell ref="E984:F984"/>
    <mergeCell ref="A979:D979"/>
    <mergeCell ref="G984:H984"/>
    <mergeCell ref="A982:D982"/>
    <mergeCell ref="E981:F981"/>
    <mergeCell ref="A978:D978"/>
    <mergeCell ref="E976:F976"/>
    <mergeCell ref="A973:D973"/>
    <mergeCell ref="A1148:I1148"/>
    <mergeCell ref="B1434:L1434"/>
    <mergeCell ref="D1410:F1411"/>
    <mergeCell ref="A1410:A1411"/>
    <mergeCell ref="A1391:J1391"/>
    <mergeCell ref="B1410:C1411"/>
    <mergeCell ref="A1227:L1227"/>
    <mergeCell ref="E1155:I1155"/>
    <mergeCell ref="K1391:K1392"/>
    <mergeCell ref="AA969:AB969"/>
    <mergeCell ref="I969:J969"/>
    <mergeCell ref="I981:J981"/>
    <mergeCell ref="G978:H978"/>
    <mergeCell ref="P978:T978"/>
    <mergeCell ref="P979:T979"/>
    <mergeCell ref="P969:T969"/>
    <mergeCell ref="P980:T980"/>
    <mergeCell ref="I978:J978"/>
    <mergeCell ref="P973:T973"/>
    <mergeCell ref="A961:H961"/>
    <mergeCell ref="J961:K961"/>
    <mergeCell ref="L965:L966"/>
    <mergeCell ref="G976:H976"/>
    <mergeCell ref="I974:J974"/>
    <mergeCell ref="A971:D971"/>
    <mergeCell ref="I976:J976"/>
    <mergeCell ref="G975:H975"/>
    <mergeCell ref="A970:D970"/>
    <mergeCell ref="A968:L968"/>
    <mergeCell ref="A1406:A1409"/>
    <mergeCell ref="D1406:F1408"/>
    <mergeCell ref="G1406:H1408"/>
    <mergeCell ref="K1409:L1409"/>
    <mergeCell ref="K1399:K1400"/>
    <mergeCell ref="I1409:J1409"/>
    <mergeCell ref="A1400:J1400"/>
    <mergeCell ref="I1406:J1408"/>
    <mergeCell ref="A1399:J1399"/>
    <mergeCell ref="B1406:C1408"/>
    <mergeCell ref="I967:J967"/>
    <mergeCell ref="A976:D976"/>
    <mergeCell ref="I979:J979"/>
    <mergeCell ref="G977:H977"/>
    <mergeCell ref="G974:H974"/>
    <mergeCell ref="A977:D977"/>
    <mergeCell ref="G979:H979"/>
    <mergeCell ref="A969:D969"/>
    <mergeCell ref="I970:J970"/>
    <mergeCell ref="E967:F967"/>
    <mergeCell ref="A984:D984"/>
    <mergeCell ref="I982:J982"/>
    <mergeCell ref="E982:F982"/>
    <mergeCell ref="G982:H982"/>
    <mergeCell ref="I984:J984"/>
    <mergeCell ref="G983:H983"/>
    <mergeCell ref="I983:J983"/>
    <mergeCell ref="E974:F974"/>
    <mergeCell ref="I973:J973"/>
    <mergeCell ref="I975:J975"/>
    <mergeCell ref="E987:H988"/>
    <mergeCell ref="G989:H989"/>
    <mergeCell ref="A983:D983"/>
    <mergeCell ref="E983:F983"/>
    <mergeCell ref="A987:D989"/>
    <mergeCell ref="E975:F975"/>
    <mergeCell ref="A985:D985"/>
    <mergeCell ref="G969:H969"/>
    <mergeCell ref="G970:H970"/>
    <mergeCell ref="G971:H971"/>
    <mergeCell ref="G967:H967"/>
    <mergeCell ref="E969:F969"/>
    <mergeCell ref="E970:F970"/>
    <mergeCell ref="K965:K966"/>
    <mergeCell ref="I972:J972"/>
    <mergeCell ref="A980:L980"/>
    <mergeCell ref="A1004:D1004"/>
    <mergeCell ref="G1004:H1004"/>
    <mergeCell ref="G1000:H1000"/>
    <mergeCell ref="A1002:D1002"/>
    <mergeCell ref="A1003:D1003"/>
    <mergeCell ref="G990:H990"/>
    <mergeCell ref="A995:D995"/>
    <mergeCell ref="K998:L998"/>
    <mergeCell ref="K989:L989"/>
    <mergeCell ref="G1001:H1001"/>
    <mergeCell ref="G1002:H1002"/>
    <mergeCell ref="K993:L993"/>
    <mergeCell ref="K994:L994"/>
    <mergeCell ref="K995:L995"/>
    <mergeCell ref="K999:L999"/>
    <mergeCell ref="J1449:K1449"/>
    <mergeCell ref="A1448:F1448"/>
    <mergeCell ref="G1448:H1448"/>
    <mergeCell ref="J1448:K1448"/>
    <mergeCell ref="K1004:L1004"/>
    <mergeCell ref="A1001:D1001"/>
    <mergeCell ref="K1001:L1001"/>
    <mergeCell ref="K1003:L1003"/>
    <mergeCell ref="K1002:L1002"/>
    <mergeCell ref="A18:B18"/>
    <mergeCell ref="C18:D18"/>
    <mergeCell ref="A19:B19"/>
    <mergeCell ref="C19:D19"/>
    <mergeCell ref="A20:B20"/>
    <mergeCell ref="A21:B21"/>
    <mergeCell ref="C21:D21"/>
    <mergeCell ref="A22:B22"/>
    <mergeCell ref="A46:B46"/>
    <mergeCell ref="A47:B47"/>
    <mergeCell ref="A23:B23"/>
    <mergeCell ref="C23:D23"/>
    <mergeCell ref="A42:B42"/>
    <mergeCell ref="A43:B43"/>
    <mergeCell ref="A24:B24"/>
    <mergeCell ref="A34:B34"/>
    <mergeCell ref="A44:B44"/>
    <mergeCell ref="A28:B28"/>
    <mergeCell ref="A45:B45"/>
    <mergeCell ref="A476:K476"/>
    <mergeCell ref="A462:B462"/>
    <mergeCell ref="A532:B532"/>
    <mergeCell ref="D519:K519"/>
    <mergeCell ref="A477:A479"/>
    <mergeCell ref="A530:B530"/>
    <mergeCell ref="A526:B526"/>
    <mergeCell ref="C519:C520"/>
    <mergeCell ref="A516:D516"/>
    <mergeCell ref="A519:B519"/>
    <mergeCell ref="D538:L538"/>
    <mergeCell ref="A595:I595"/>
    <mergeCell ref="A600:I600"/>
    <mergeCell ref="L519:L520"/>
    <mergeCell ref="A523:B523"/>
    <mergeCell ref="A585:I585"/>
    <mergeCell ref="A525:B525"/>
    <mergeCell ref="A583:I583"/>
    <mergeCell ref="A522:B522"/>
    <mergeCell ref="F1019:G1019"/>
    <mergeCell ref="F1020:G1020"/>
    <mergeCell ref="F1021:G1021"/>
    <mergeCell ref="I1027:J1027"/>
    <mergeCell ref="I1019:J1019"/>
    <mergeCell ref="I1020:J1020"/>
    <mergeCell ref="E965:H966"/>
    <mergeCell ref="E972:F972"/>
    <mergeCell ref="E973:F973"/>
  </mergeCells>
  <phoneticPr fontId="4" type="noConversion"/>
  <conditionalFormatting sqref="D1021:E1027">
    <cfRule type="expression" dxfId="6" priority="1" stopIfTrue="1">
      <formula>K1021&lt;&gt;""</formula>
    </cfRule>
  </conditionalFormatting>
  <conditionalFormatting sqref="H1021:H1027">
    <cfRule type="expression" dxfId="5" priority="4" stopIfTrue="1">
      <formula>H1021&lt;&gt;""</formula>
    </cfRule>
  </conditionalFormatting>
  <conditionalFormatting sqref="C1021:C1027">
    <cfRule type="expression" dxfId="4" priority="6" stopIfTrue="1">
      <formula>#REF!&lt;&gt;""</formula>
    </cfRule>
  </conditionalFormatting>
  <conditionalFormatting sqref="B1021:B1027">
    <cfRule type="expression" dxfId="3" priority="7" stopIfTrue="1">
      <formula>H1021&lt;&gt;""</formula>
    </cfRule>
  </conditionalFormatting>
  <conditionalFormatting sqref="F1021:F1027">
    <cfRule type="expression" dxfId="2" priority="8" stopIfTrue="1">
      <formula>H1021&lt;&gt;""</formula>
    </cfRule>
  </conditionalFormatting>
  <conditionalFormatting sqref="J1021:J1026">
    <cfRule type="expression" dxfId="1" priority="9" stopIfTrue="1">
      <formula>H1021&lt;&gt;""</formula>
    </cfRule>
  </conditionalFormatting>
  <conditionalFormatting sqref="I1027">
    <cfRule type="expression" dxfId="0" priority="11" stopIfTrue="1">
      <formula>H1027&lt;&gt;""</formula>
    </cfRule>
  </conditionalFormatting>
  <pageMargins left="0.62992125984251968" right="0.11811023622047245" top="0.39370078740157483" bottom="0.59055118110236227" header="0.23622047244094491" footer="0.23622047244094491"/>
  <pageSetup paperSize="9" scale="84" firstPageNumber="3" orientation="portrait" blackAndWhite="1" useFirstPageNumber="1" verticalDpi="300" r:id="rId1"/>
  <headerFooter alignWithMargins="0">
    <oddFooter>&amp;L&amp;6V6.0,16&amp;R&amp;P</oddFooter>
  </headerFooter>
  <rowBreaks count="3" manualBreakCount="3">
    <brk id="1044" max="16383" man="1"/>
    <brk id="1401" max="16383" man="1"/>
    <brk id="1439" max="16383" man="1"/>
  </rowBreaks>
  <ignoredErrors>
    <ignoredError sqref="G7:G16" formula="1"/>
  </ignoredErrors>
  <drawing r:id="rId2"/>
  <legacyDrawing r:id="rId3"/>
  <oleObjects>
    <mc:AlternateContent xmlns:mc="http://schemas.openxmlformats.org/markup-compatibility/2006">
      <mc:Choice Requires="x14">
        <oleObject progId="Equation.3" shapeId="4112" r:id="rId4">
          <objectPr defaultSize="0" autoPict="0" r:id="rId5">
            <anchor moveWithCells="1" sizeWithCells="1">
              <from>
                <xdr:col>6</xdr:col>
                <xdr:colOff>167640</xdr:colOff>
                <xdr:row>1240</xdr:row>
                <xdr:rowOff>76200</xdr:rowOff>
              </from>
              <to>
                <xdr:col>8</xdr:col>
                <xdr:colOff>198120</xdr:colOff>
                <xdr:row>1242</xdr:row>
                <xdr:rowOff>144780</xdr:rowOff>
              </to>
            </anchor>
          </objectPr>
        </oleObject>
      </mc:Choice>
      <mc:Fallback>
        <oleObject progId="Equation.3" shapeId="4112" r:id="rId4"/>
      </mc:Fallback>
    </mc:AlternateContent>
    <mc:AlternateContent xmlns:mc="http://schemas.openxmlformats.org/markup-compatibility/2006">
      <mc:Choice Requires="x14">
        <oleObject progId="Equation.3" shapeId="4113" r:id="rId6">
          <objectPr defaultSize="0" autoPict="0" r:id="rId7">
            <anchor moveWithCells="1" sizeWithCells="1">
              <from>
                <xdr:col>5</xdr:col>
                <xdr:colOff>213360</xdr:colOff>
                <xdr:row>1243</xdr:row>
                <xdr:rowOff>15240</xdr:rowOff>
              </from>
              <to>
                <xdr:col>8</xdr:col>
                <xdr:colOff>373380</xdr:colOff>
                <xdr:row>1244</xdr:row>
                <xdr:rowOff>38100</xdr:rowOff>
              </to>
            </anchor>
          </objectPr>
        </oleObject>
      </mc:Choice>
      <mc:Fallback>
        <oleObject progId="Equation.3" shapeId="4113" r:id="rId6"/>
      </mc:Fallback>
    </mc:AlternateContent>
    <mc:AlternateContent xmlns:mc="http://schemas.openxmlformats.org/markup-compatibility/2006">
      <mc:Choice Requires="x14">
        <oleObject progId="Equation.3" shapeId="4114" r:id="rId8">
          <objectPr defaultSize="0" autoPict="0" r:id="rId9">
            <anchor moveWithCells="1" sizeWithCells="1">
              <from>
                <xdr:col>1</xdr:col>
                <xdr:colOff>571500</xdr:colOff>
                <xdr:row>1248</xdr:row>
                <xdr:rowOff>60960</xdr:rowOff>
              </from>
              <to>
                <xdr:col>4</xdr:col>
                <xdr:colOff>388620</xdr:colOff>
                <xdr:row>1250</xdr:row>
                <xdr:rowOff>144780</xdr:rowOff>
              </to>
            </anchor>
          </objectPr>
        </oleObject>
      </mc:Choice>
      <mc:Fallback>
        <oleObject progId="Equation.3" shapeId="4114" r:id="rId8"/>
      </mc:Fallback>
    </mc:AlternateContent>
    <mc:AlternateContent xmlns:mc="http://schemas.openxmlformats.org/markup-compatibility/2006">
      <mc:Choice Requires="x14">
        <oleObject progId="Equation.3" shapeId="4115" r:id="rId10">
          <objectPr defaultSize="0" autoPict="0" r:id="rId11">
            <anchor moveWithCells="1" sizeWithCells="1">
              <from>
                <xdr:col>1</xdr:col>
                <xdr:colOff>594360</xdr:colOff>
                <xdr:row>1250</xdr:row>
                <xdr:rowOff>129540</xdr:rowOff>
              </from>
              <to>
                <xdr:col>3</xdr:col>
                <xdr:colOff>678180</xdr:colOff>
                <xdr:row>1252</xdr:row>
                <xdr:rowOff>144780</xdr:rowOff>
              </to>
            </anchor>
          </objectPr>
        </oleObject>
      </mc:Choice>
      <mc:Fallback>
        <oleObject progId="Equation.3" shapeId="4115" r:id="rId10"/>
      </mc:Fallback>
    </mc:AlternateContent>
    <mc:AlternateContent xmlns:mc="http://schemas.openxmlformats.org/markup-compatibility/2006">
      <mc:Choice Requires="x14">
        <oleObject progId="Equation.3" shapeId="4118" r:id="rId12">
          <objectPr defaultSize="0" autoPict="0" r:id="rId13">
            <anchor moveWithCells="1" sizeWithCells="1">
              <from>
                <xdr:col>3</xdr:col>
                <xdr:colOff>624840</xdr:colOff>
                <xdr:row>883</xdr:row>
                <xdr:rowOff>83820</xdr:rowOff>
              </from>
              <to>
                <xdr:col>5</xdr:col>
                <xdr:colOff>541020</xdr:colOff>
                <xdr:row>885</xdr:row>
                <xdr:rowOff>152400</xdr:rowOff>
              </to>
            </anchor>
          </objectPr>
        </oleObject>
      </mc:Choice>
      <mc:Fallback>
        <oleObject progId="Equation.3" shapeId="4118" r:id="rId12"/>
      </mc:Fallback>
    </mc:AlternateContent>
    <mc:AlternateContent xmlns:mc="http://schemas.openxmlformats.org/markup-compatibility/2006">
      <mc:Choice Requires="x14">
        <oleObject progId="Equation.3" shapeId="4120" r:id="rId14">
          <objectPr defaultSize="0" autoPict="0" r:id="rId15">
            <anchor moveWithCells="1" sizeWithCells="1">
              <from>
                <xdr:col>3</xdr:col>
                <xdr:colOff>114300</xdr:colOff>
                <xdr:row>1099</xdr:row>
                <xdr:rowOff>190500</xdr:rowOff>
              </from>
              <to>
                <xdr:col>5</xdr:col>
                <xdr:colOff>502920</xdr:colOff>
                <xdr:row>1101</xdr:row>
                <xdr:rowOff>213360</xdr:rowOff>
              </to>
            </anchor>
          </objectPr>
        </oleObject>
      </mc:Choice>
      <mc:Fallback>
        <oleObject progId="Equation.3" shapeId="4120" r:id="rId14"/>
      </mc:Fallback>
    </mc:AlternateContent>
    <mc:AlternateContent xmlns:mc="http://schemas.openxmlformats.org/markup-compatibility/2006">
      <mc:Choice Requires="x14">
        <oleObject progId="Equation.3" shapeId="4124" r:id="rId16">
          <objectPr defaultSize="0" autoPict="0" r:id="rId17">
            <anchor moveWithCells="1" sizeWithCells="1">
              <from>
                <xdr:col>2</xdr:col>
                <xdr:colOff>167640</xdr:colOff>
                <xdr:row>1110</xdr:row>
                <xdr:rowOff>45720</xdr:rowOff>
              </from>
              <to>
                <xdr:col>7</xdr:col>
                <xdr:colOff>60960</xdr:colOff>
                <xdr:row>1113</xdr:row>
                <xdr:rowOff>160020</xdr:rowOff>
              </to>
            </anchor>
          </objectPr>
        </oleObject>
      </mc:Choice>
      <mc:Fallback>
        <oleObject progId="Equation.3" shapeId="4124" r:id="rId16"/>
      </mc:Fallback>
    </mc:AlternateContent>
    <mc:AlternateContent xmlns:mc="http://schemas.openxmlformats.org/markup-compatibility/2006">
      <mc:Choice Requires="x14">
        <oleObject progId="Equation.3" shapeId="4125" r:id="rId18">
          <objectPr defaultSize="0" autoPict="0" r:id="rId19">
            <anchor moveWithCells="1" sizeWithCells="1">
              <from>
                <xdr:col>1</xdr:col>
                <xdr:colOff>335280</xdr:colOff>
                <xdr:row>1315</xdr:row>
                <xdr:rowOff>45720</xdr:rowOff>
              </from>
              <to>
                <xdr:col>8</xdr:col>
                <xdr:colOff>0</xdr:colOff>
                <xdr:row>1317</xdr:row>
                <xdr:rowOff>137160</xdr:rowOff>
              </to>
            </anchor>
          </objectPr>
        </oleObject>
      </mc:Choice>
      <mc:Fallback>
        <oleObject progId="Equation.3" shapeId="4125" r:id="rId18"/>
      </mc:Fallback>
    </mc:AlternateContent>
    <mc:AlternateContent xmlns:mc="http://schemas.openxmlformats.org/markup-compatibility/2006">
      <mc:Choice Requires="x14">
        <oleObject progId="Equation.3" shapeId="4126" r:id="rId20">
          <objectPr defaultSize="0" autoPict="0" r:id="rId21">
            <anchor moveWithCells="1" sizeWithCells="1">
              <from>
                <xdr:col>5</xdr:col>
                <xdr:colOff>381000</xdr:colOff>
                <xdr:row>1356</xdr:row>
                <xdr:rowOff>0</xdr:rowOff>
              </from>
              <to>
                <xdr:col>8</xdr:col>
                <xdr:colOff>281940</xdr:colOff>
                <xdr:row>1357</xdr:row>
                <xdr:rowOff>15240</xdr:rowOff>
              </to>
            </anchor>
          </objectPr>
        </oleObject>
      </mc:Choice>
      <mc:Fallback>
        <oleObject progId="Equation.3" shapeId="4126" r:id="rId20"/>
      </mc:Fallback>
    </mc:AlternateContent>
    <mc:AlternateContent xmlns:mc="http://schemas.openxmlformats.org/markup-compatibility/2006">
      <mc:Choice Requires="x14">
        <oleObject progId="Equation.3" shapeId="4127" r:id="rId22">
          <objectPr defaultSize="0" autoPict="0" r:id="rId23">
            <anchor moveWithCells="1" sizeWithCells="1">
              <from>
                <xdr:col>1</xdr:col>
                <xdr:colOff>579120</xdr:colOff>
                <xdr:row>1358</xdr:row>
                <xdr:rowOff>45720</xdr:rowOff>
              </from>
              <to>
                <xdr:col>6</xdr:col>
                <xdr:colOff>304800</xdr:colOff>
                <xdr:row>1360</xdr:row>
                <xdr:rowOff>213360</xdr:rowOff>
              </to>
            </anchor>
          </objectPr>
        </oleObject>
      </mc:Choice>
      <mc:Fallback>
        <oleObject progId="Equation.3" shapeId="4127" r:id="rId22"/>
      </mc:Fallback>
    </mc:AlternateContent>
    <mc:AlternateContent xmlns:mc="http://schemas.openxmlformats.org/markup-compatibility/2006">
      <mc:Choice Requires="x14">
        <oleObject progId="Equation.3" shapeId="4128" r:id="rId24">
          <objectPr defaultSize="0" autoPict="0" r:id="rId25">
            <anchor moveWithCells="1" sizeWithCells="1">
              <from>
                <xdr:col>1</xdr:col>
                <xdr:colOff>556260</xdr:colOff>
                <xdr:row>1361</xdr:row>
                <xdr:rowOff>15240</xdr:rowOff>
              </from>
              <to>
                <xdr:col>6</xdr:col>
                <xdr:colOff>289560</xdr:colOff>
                <xdr:row>1363</xdr:row>
                <xdr:rowOff>175260</xdr:rowOff>
              </to>
            </anchor>
          </objectPr>
        </oleObject>
      </mc:Choice>
      <mc:Fallback>
        <oleObject progId="Equation.3" shapeId="4128" r:id="rId24"/>
      </mc:Fallback>
    </mc:AlternateContent>
    <mc:AlternateContent xmlns:mc="http://schemas.openxmlformats.org/markup-compatibility/2006">
      <mc:Choice Requires="x14">
        <oleObject progId="Equation.3" shapeId="4129" r:id="rId26">
          <objectPr defaultSize="0" autoPict="0" r:id="rId27">
            <anchor moveWithCells="1" sizeWithCells="1">
              <from>
                <xdr:col>2</xdr:col>
                <xdr:colOff>213360</xdr:colOff>
                <xdr:row>1365</xdr:row>
                <xdr:rowOff>38100</xdr:rowOff>
              </from>
              <to>
                <xdr:col>7</xdr:col>
                <xdr:colOff>335280</xdr:colOff>
                <xdr:row>1367</xdr:row>
                <xdr:rowOff>167640</xdr:rowOff>
              </to>
            </anchor>
          </objectPr>
        </oleObject>
      </mc:Choice>
      <mc:Fallback>
        <oleObject progId="Equation.3" shapeId="4129" r:id="rId26"/>
      </mc:Fallback>
    </mc:AlternateContent>
    <mc:AlternateContent xmlns:mc="http://schemas.openxmlformats.org/markup-compatibility/2006">
      <mc:Choice Requires="x14">
        <oleObject progId="Equation.3" shapeId="4130" r:id="rId28">
          <objectPr defaultSize="0" autoPict="0" r:id="rId29">
            <anchor moveWithCells="1" sizeWithCells="1">
              <from>
                <xdr:col>2</xdr:col>
                <xdr:colOff>175260</xdr:colOff>
                <xdr:row>1368</xdr:row>
                <xdr:rowOff>60960</xdr:rowOff>
              </from>
              <to>
                <xdr:col>6</xdr:col>
                <xdr:colOff>91440</xdr:colOff>
                <xdr:row>1370</xdr:row>
                <xdr:rowOff>175260</xdr:rowOff>
              </to>
            </anchor>
          </objectPr>
        </oleObject>
      </mc:Choice>
      <mc:Fallback>
        <oleObject progId="Equation.3" shapeId="4130" r:id="rId28"/>
      </mc:Fallback>
    </mc:AlternateContent>
    <mc:AlternateContent xmlns:mc="http://schemas.openxmlformats.org/markup-compatibility/2006">
      <mc:Choice Requires="x14">
        <oleObject progId="Equation.3" shapeId="4132" r:id="rId30">
          <objectPr defaultSize="0" autoPict="0" r:id="rId7">
            <anchor moveWithCells="1" sizeWithCells="1">
              <from>
                <xdr:col>5</xdr:col>
                <xdr:colOff>381000</xdr:colOff>
                <xdr:row>1353</xdr:row>
                <xdr:rowOff>213360</xdr:rowOff>
              </from>
              <to>
                <xdr:col>9</xdr:col>
                <xdr:colOff>0</xdr:colOff>
                <xdr:row>1355</xdr:row>
                <xdr:rowOff>7620</xdr:rowOff>
              </to>
            </anchor>
          </objectPr>
        </oleObject>
      </mc:Choice>
      <mc:Fallback>
        <oleObject progId="Equation.3" shapeId="4132" r:id="rId30"/>
      </mc:Fallback>
    </mc:AlternateContent>
    <mc:AlternateContent xmlns:mc="http://schemas.openxmlformats.org/markup-compatibility/2006">
      <mc:Choice Requires="x14">
        <oleObject progId="Equation.3" shapeId="4142" r:id="rId31">
          <objectPr defaultSize="0" autoPict="0" r:id="rId32">
            <anchor moveWithCells="1" sizeWithCells="1">
              <from>
                <xdr:col>4</xdr:col>
                <xdr:colOff>91440</xdr:colOff>
                <xdr:row>617</xdr:row>
                <xdr:rowOff>76200</xdr:rowOff>
              </from>
              <to>
                <xdr:col>5</xdr:col>
                <xdr:colOff>434340</xdr:colOff>
                <xdr:row>618</xdr:row>
                <xdr:rowOff>160020</xdr:rowOff>
              </to>
            </anchor>
          </objectPr>
        </oleObject>
      </mc:Choice>
      <mc:Fallback>
        <oleObject progId="Equation.3" shapeId="4142" r:id="rId31"/>
      </mc:Fallback>
    </mc:AlternateContent>
    <mc:AlternateContent xmlns:mc="http://schemas.openxmlformats.org/markup-compatibility/2006">
      <mc:Choice Requires="x14">
        <oleObject progId="Equation.3" shapeId="4143" r:id="rId33">
          <objectPr defaultSize="0" autoPict="0" r:id="rId34">
            <anchor moveWithCells="1" sizeWithCells="1">
              <from>
                <xdr:col>3</xdr:col>
                <xdr:colOff>38100</xdr:colOff>
                <xdr:row>633</xdr:row>
                <xdr:rowOff>0</xdr:rowOff>
              </from>
              <to>
                <xdr:col>7</xdr:col>
                <xdr:colOff>38100</xdr:colOff>
                <xdr:row>637</xdr:row>
                <xdr:rowOff>0</xdr:rowOff>
              </to>
            </anchor>
          </objectPr>
        </oleObject>
      </mc:Choice>
      <mc:Fallback>
        <oleObject progId="Equation.3" shapeId="4143" r:id="rId33"/>
      </mc:Fallback>
    </mc:AlternateContent>
    <mc:AlternateContent xmlns:mc="http://schemas.openxmlformats.org/markup-compatibility/2006">
      <mc:Choice Requires="x14">
        <oleObject progId="Equation.3" shapeId="4150" r:id="rId35">
          <objectPr defaultSize="0" autoPict="0" r:id="rId5">
            <anchor moveWithCells="1" sizeWithCells="1">
              <from>
                <xdr:col>5</xdr:col>
                <xdr:colOff>533400</xdr:colOff>
                <xdr:row>1351</xdr:row>
                <xdr:rowOff>83820</xdr:rowOff>
              </from>
              <to>
                <xdr:col>7</xdr:col>
                <xdr:colOff>594360</xdr:colOff>
                <xdr:row>1353</xdr:row>
                <xdr:rowOff>160020</xdr:rowOff>
              </to>
            </anchor>
          </objectPr>
        </oleObject>
      </mc:Choice>
      <mc:Fallback>
        <oleObject progId="Equation.3" shapeId="4150" r:id="rId35"/>
      </mc:Fallback>
    </mc:AlternateContent>
    <mc:AlternateContent xmlns:mc="http://schemas.openxmlformats.org/markup-compatibility/2006">
      <mc:Choice Requires="x14">
        <oleObject progId="Equation.3" shapeId="4152" r:id="rId36">
          <objectPr defaultSize="0" autoPict="0" r:id="rId37">
            <anchor moveWithCells="1" sizeWithCells="1">
              <from>
                <xdr:col>3</xdr:col>
                <xdr:colOff>160020</xdr:colOff>
                <xdr:row>1379</xdr:row>
                <xdr:rowOff>60960</xdr:rowOff>
              </from>
              <to>
                <xdr:col>6</xdr:col>
                <xdr:colOff>350520</xdr:colOff>
                <xdr:row>1381</xdr:row>
                <xdr:rowOff>137160</xdr:rowOff>
              </to>
            </anchor>
          </objectPr>
        </oleObject>
      </mc:Choice>
      <mc:Fallback>
        <oleObject progId="Equation.3" shapeId="4152" r:id="rId36"/>
      </mc:Fallback>
    </mc:AlternateContent>
    <mc:AlternateContent xmlns:mc="http://schemas.openxmlformats.org/markup-compatibility/2006">
      <mc:Choice Requires="x14">
        <oleObject progId="Equation.3" shapeId="4153" r:id="rId38">
          <objectPr defaultSize="0" autoPict="0" r:id="rId39">
            <anchor moveWithCells="1" sizeWithCells="1">
              <from>
                <xdr:col>3</xdr:col>
                <xdr:colOff>213360</xdr:colOff>
                <xdr:row>1383</xdr:row>
                <xdr:rowOff>106680</xdr:rowOff>
              </from>
              <to>
                <xdr:col>6</xdr:col>
                <xdr:colOff>419100</xdr:colOff>
                <xdr:row>1386</xdr:row>
                <xdr:rowOff>60960</xdr:rowOff>
              </to>
            </anchor>
          </objectPr>
        </oleObject>
      </mc:Choice>
      <mc:Fallback>
        <oleObject progId="Equation.3" shapeId="4153" r:id="rId38"/>
      </mc:Fallback>
    </mc:AlternateContent>
    <mc:AlternateContent xmlns:mc="http://schemas.openxmlformats.org/markup-compatibility/2006">
      <mc:Choice Requires="x14">
        <oleObject progId="Equation.3" shapeId="4154" r:id="rId40">
          <objectPr defaultSize="0" autoPict="0" r:id="rId41">
            <anchor moveWithCells="1" sizeWithCells="1">
              <from>
                <xdr:col>3</xdr:col>
                <xdr:colOff>510540</xdr:colOff>
                <xdr:row>1392</xdr:row>
                <xdr:rowOff>60960</xdr:rowOff>
              </from>
              <to>
                <xdr:col>6</xdr:col>
                <xdr:colOff>327660</xdr:colOff>
                <xdr:row>1394</xdr:row>
                <xdr:rowOff>175260</xdr:rowOff>
              </to>
            </anchor>
          </objectPr>
        </oleObject>
      </mc:Choice>
      <mc:Fallback>
        <oleObject progId="Equation.3" shapeId="4154" r:id="rId40"/>
      </mc:Fallback>
    </mc:AlternateContent>
    <mc:AlternateContent xmlns:mc="http://schemas.openxmlformats.org/markup-compatibility/2006">
      <mc:Choice Requires="x14">
        <oleObject progId="Equation.3" shapeId="4173" r:id="rId42">
          <objectPr defaultSize="0" autoPict="0" r:id="rId43">
            <anchor moveWithCells="1" sizeWithCells="1">
              <from>
                <xdr:col>0</xdr:col>
                <xdr:colOff>441960</xdr:colOff>
                <xdr:row>1260</xdr:row>
                <xdr:rowOff>91440</xdr:rowOff>
              </from>
              <to>
                <xdr:col>5</xdr:col>
                <xdr:colOff>129540</xdr:colOff>
                <xdr:row>1263</xdr:row>
                <xdr:rowOff>15240</xdr:rowOff>
              </to>
            </anchor>
          </objectPr>
        </oleObject>
      </mc:Choice>
      <mc:Fallback>
        <oleObject progId="Equation.3" shapeId="4173" r:id="rId42"/>
      </mc:Fallback>
    </mc:AlternateContent>
    <mc:AlternateContent xmlns:mc="http://schemas.openxmlformats.org/markup-compatibility/2006">
      <mc:Choice Requires="x14">
        <oleObject progId="Equation.3" shapeId="4174" r:id="rId44">
          <objectPr defaultSize="0" autoPict="0" r:id="rId45">
            <anchor moveWithCells="1" sizeWithCells="1">
              <from>
                <xdr:col>6</xdr:col>
                <xdr:colOff>106680</xdr:colOff>
                <xdr:row>1260</xdr:row>
                <xdr:rowOff>45720</xdr:rowOff>
              </from>
              <to>
                <xdr:col>11</xdr:col>
                <xdr:colOff>411480</xdr:colOff>
                <xdr:row>1263</xdr:row>
                <xdr:rowOff>0</xdr:rowOff>
              </to>
            </anchor>
          </objectPr>
        </oleObject>
      </mc:Choice>
      <mc:Fallback>
        <oleObject progId="Equation.3" shapeId="4174" r:id="rId44"/>
      </mc:Fallback>
    </mc:AlternateContent>
    <mc:AlternateContent xmlns:mc="http://schemas.openxmlformats.org/markup-compatibility/2006">
      <mc:Choice Requires="x14">
        <oleObject progId="Equation.3" shapeId="4175" r:id="rId46">
          <objectPr defaultSize="0" autoPict="0" r:id="rId47">
            <anchor moveWithCells="1" sizeWithCells="1">
              <from>
                <xdr:col>2</xdr:col>
                <xdr:colOff>304800</xdr:colOff>
                <xdr:row>1237</xdr:row>
                <xdr:rowOff>53340</xdr:rowOff>
              </from>
              <to>
                <xdr:col>4</xdr:col>
                <xdr:colOff>312420</xdr:colOff>
                <xdr:row>1238</xdr:row>
                <xdr:rowOff>175260</xdr:rowOff>
              </to>
            </anchor>
          </objectPr>
        </oleObject>
      </mc:Choice>
      <mc:Fallback>
        <oleObject progId="Equation.3" shapeId="4175" r:id="rId46"/>
      </mc:Fallback>
    </mc:AlternateContent>
    <mc:AlternateContent xmlns:mc="http://schemas.openxmlformats.org/markup-compatibility/2006">
      <mc:Choice Requires="x14">
        <oleObject progId="Equation.3" shapeId="4176" r:id="rId48">
          <objectPr defaultSize="0" autoPict="0" r:id="rId49">
            <anchor moveWithCells="1" sizeWithCells="1">
              <from>
                <xdr:col>3</xdr:col>
                <xdr:colOff>312420</xdr:colOff>
                <xdr:row>1265</xdr:row>
                <xdr:rowOff>76200</xdr:rowOff>
              </from>
              <to>
                <xdr:col>5</xdr:col>
                <xdr:colOff>266700</xdr:colOff>
                <xdr:row>1267</xdr:row>
                <xdr:rowOff>167640</xdr:rowOff>
              </to>
            </anchor>
          </objectPr>
        </oleObject>
      </mc:Choice>
      <mc:Fallback>
        <oleObject progId="Equation.3" shapeId="4176" r:id="rId48"/>
      </mc:Fallback>
    </mc:AlternateContent>
    <mc:AlternateContent xmlns:mc="http://schemas.openxmlformats.org/markup-compatibility/2006">
      <mc:Choice Requires="x14">
        <oleObject progId="Equation.3" shapeId="4177" r:id="rId50">
          <objectPr defaultSize="0" autoPict="0" r:id="rId51">
            <anchor moveWithCells="1" sizeWithCells="1">
              <from>
                <xdr:col>5</xdr:col>
                <xdr:colOff>563880</xdr:colOff>
                <xdr:row>675</xdr:row>
                <xdr:rowOff>76200</xdr:rowOff>
              </from>
              <to>
                <xdr:col>11</xdr:col>
                <xdr:colOff>68580</xdr:colOff>
                <xdr:row>676</xdr:row>
                <xdr:rowOff>182880</xdr:rowOff>
              </to>
            </anchor>
          </objectPr>
        </oleObject>
      </mc:Choice>
      <mc:Fallback>
        <oleObject progId="Equation.3" shapeId="4177" r:id="rId50"/>
      </mc:Fallback>
    </mc:AlternateContent>
    <mc:AlternateContent xmlns:mc="http://schemas.openxmlformats.org/markup-compatibility/2006">
      <mc:Choice Requires="x14">
        <oleObject progId="Equation.3" shapeId="4178" r:id="rId52">
          <objectPr defaultSize="0" autoPict="0" r:id="rId53">
            <anchor moveWithCells="1" sizeWithCells="1">
              <from>
                <xdr:col>1</xdr:col>
                <xdr:colOff>297180</xdr:colOff>
                <xdr:row>675</xdr:row>
                <xdr:rowOff>76200</xdr:rowOff>
              </from>
              <to>
                <xdr:col>5</xdr:col>
                <xdr:colOff>297180</xdr:colOff>
                <xdr:row>676</xdr:row>
                <xdr:rowOff>190500</xdr:rowOff>
              </to>
            </anchor>
          </objectPr>
        </oleObject>
      </mc:Choice>
      <mc:Fallback>
        <oleObject progId="Equation.3" shapeId="4178" r:id="rId52"/>
      </mc:Fallback>
    </mc:AlternateContent>
    <mc:AlternateContent xmlns:mc="http://schemas.openxmlformats.org/markup-compatibility/2006">
      <mc:Choice Requires="x14">
        <oleObject progId="Equation.3" shapeId="4179" r:id="rId54">
          <objectPr defaultSize="0" autoPict="0" r:id="rId55">
            <anchor moveWithCells="1" sizeWithCells="1">
              <from>
                <xdr:col>3</xdr:col>
                <xdr:colOff>137160</xdr:colOff>
                <xdr:row>664</xdr:row>
                <xdr:rowOff>60960</xdr:rowOff>
              </from>
              <to>
                <xdr:col>6</xdr:col>
                <xdr:colOff>556260</xdr:colOff>
                <xdr:row>665</xdr:row>
                <xdr:rowOff>190500</xdr:rowOff>
              </to>
            </anchor>
          </objectPr>
        </oleObject>
      </mc:Choice>
      <mc:Fallback>
        <oleObject progId="Equation.3" shapeId="4179" r:id="rId54"/>
      </mc:Fallback>
    </mc:AlternateContent>
    <mc:AlternateContent xmlns:mc="http://schemas.openxmlformats.org/markup-compatibility/2006">
      <mc:Choice Requires="x14">
        <oleObject progId="Equation.3" shapeId="4180" r:id="rId56">
          <objectPr defaultSize="0" autoPict="0" r:id="rId57">
            <anchor moveWithCells="1" sizeWithCells="1">
              <from>
                <xdr:col>4</xdr:col>
                <xdr:colOff>7620</xdr:colOff>
                <xdr:row>686</xdr:row>
                <xdr:rowOff>60960</xdr:rowOff>
              </from>
              <to>
                <xdr:col>7</xdr:col>
                <xdr:colOff>259080</xdr:colOff>
                <xdr:row>687</xdr:row>
                <xdr:rowOff>152400</xdr:rowOff>
              </to>
            </anchor>
          </objectPr>
        </oleObject>
      </mc:Choice>
      <mc:Fallback>
        <oleObject progId="Equation.3" shapeId="4180" r:id="rId56"/>
      </mc:Fallback>
    </mc:AlternateContent>
    <mc:AlternateContent xmlns:mc="http://schemas.openxmlformats.org/markup-compatibility/2006">
      <mc:Choice Requires="x14">
        <oleObject progId="Equation.3" shapeId="4189" r:id="rId58">
          <objectPr defaultSize="0" autoPict="0" r:id="rId59">
            <anchor moveWithCells="1" sizeWithCells="1">
              <from>
                <xdr:col>0</xdr:col>
                <xdr:colOff>167640</xdr:colOff>
                <xdr:row>833</xdr:row>
                <xdr:rowOff>0</xdr:rowOff>
              </from>
              <to>
                <xdr:col>4</xdr:col>
                <xdr:colOff>335280</xdr:colOff>
                <xdr:row>835</xdr:row>
                <xdr:rowOff>144780</xdr:rowOff>
              </to>
            </anchor>
          </objectPr>
        </oleObject>
      </mc:Choice>
      <mc:Fallback>
        <oleObject progId="Equation.3" shapeId="4189" r:id="rId58"/>
      </mc:Fallback>
    </mc:AlternateContent>
    <mc:AlternateContent xmlns:mc="http://schemas.openxmlformats.org/markup-compatibility/2006">
      <mc:Choice Requires="x14">
        <oleObject progId="Equation.3" shapeId="4190" r:id="rId60">
          <objectPr defaultSize="0" autoPict="0" r:id="rId61">
            <anchor moveWithCells="1" sizeWithCells="1">
              <from>
                <xdr:col>3</xdr:col>
                <xdr:colOff>68580</xdr:colOff>
                <xdr:row>1090</xdr:row>
                <xdr:rowOff>236220</xdr:rowOff>
              </from>
              <to>
                <xdr:col>7</xdr:col>
                <xdr:colOff>396240</xdr:colOff>
                <xdr:row>1092</xdr:row>
                <xdr:rowOff>213360</xdr:rowOff>
              </to>
            </anchor>
          </objectPr>
        </oleObject>
      </mc:Choice>
      <mc:Fallback>
        <oleObject progId="Equation.3" shapeId="4190" r:id="rId60"/>
      </mc:Fallback>
    </mc:AlternateContent>
    <mc:AlternateContent xmlns:mc="http://schemas.openxmlformats.org/markup-compatibility/2006">
      <mc:Choice Requires="x14">
        <oleObject progId="Equation.3" shapeId="4191" r:id="rId62">
          <objectPr defaultSize="0" autoPict="0" r:id="rId63">
            <anchor moveWithCells="1" sizeWithCells="1">
              <from>
                <xdr:col>0</xdr:col>
                <xdr:colOff>594360</xdr:colOff>
                <xdr:row>852</xdr:row>
                <xdr:rowOff>15240</xdr:rowOff>
              </from>
              <to>
                <xdr:col>9</xdr:col>
                <xdr:colOff>236220</xdr:colOff>
                <xdr:row>854</xdr:row>
                <xdr:rowOff>190500</xdr:rowOff>
              </to>
            </anchor>
          </objectPr>
        </oleObject>
      </mc:Choice>
      <mc:Fallback>
        <oleObject progId="Equation.3" shapeId="4191" r:id="rId62"/>
      </mc:Fallback>
    </mc:AlternateContent>
    <mc:AlternateContent xmlns:mc="http://schemas.openxmlformats.org/markup-compatibility/2006">
      <mc:Choice Requires="x14">
        <oleObject progId="Equation.3" shapeId="4192" r:id="rId64">
          <objectPr defaultSize="0" autoPict="0" r:id="rId65">
            <anchor moveWithCells="1" sizeWithCells="1">
              <from>
                <xdr:col>0</xdr:col>
                <xdr:colOff>487680</xdr:colOff>
                <xdr:row>871</xdr:row>
                <xdr:rowOff>15240</xdr:rowOff>
              </from>
              <to>
                <xdr:col>8</xdr:col>
                <xdr:colOff>640080</xdr:colOff>
                <xdr:row>874</xdr:row>
                <xdr:rowOff>182880</xdr:rowOff>
              </to>
            </anchor>
          </objectPr>
        </oleObject>
      </mc:Choice>
      <mc:Fallback>
        <oleObject progId="Equation.3" shapeId="4192" r:id="rId64"/>
      </mc:Fallback>
    </mc:AlternateContent>
    <mc:AlternateContent xmlns:mc="http://schemas.openxmlformats.org/markup-compatibility/2006">
      <mc:Choice Requires="x14">
        <oleObject progId="Equation.3" shapeId="4272" r:id="rId66">
          <objectPr defaultSize="0" autoPict="0" r:id="rId67">
            <anchor moveWithCells="1" sizeWithCells="1">
              <from>
                <xdr:col>1</xdr:col>
                <xdr:colOff>624840</xdr:colOff>
                <xdr:row>407</xdr:row>
                <xdr:rowOff>15240</xdr:rowOff>
              </from>
              <to>
                <xdr:col>6</xdr:col>
                <xdr:colOff>236220</xdr:colOff>
                <xdr:row>408</xdr:row>
                <xdr:rowOff>68580</xdr:rowOff>
              </to>
            </anchor>
          </objectPr>
        </oleObject>
      </mc:Choice>
      <mc:Fallback>
        <oleObject progId="Equation.3" shapeId="4272" r:id="rId66"/>
      </mc:Fallback>
    </mc:AlternateContent>
    <mc:AlternateContent xmlns:mc="http://schemas.openxmlformats.org/markup-compatibility/2006">
      <mc:Choice Requires="x14">
        <oleObject progId="Equation.3" shapeId="4273" r:id="rId68">
          <objectPr defaultSize="0" autoPict="0" r:id="rId69">
            <anchor moveWithCells="1" sizeWithCells="1">
              <from>
                <xdr:col>1</xdr:col>
                <xdr:colOff>213360</xdr:colOff>
                <xdr:row>413</xdr:row>
                <xdr:rowOff>236220</xdr:rowOff>
              </from>
              <to>
                <xdr:col>4</xdr:col>
                <xdr:colOff>60960</xdr:colOff>
                <xdr:row>415</xdr:row>
                <xdr:rowOff>60960</xdr:rowOff>
              </to>
            </anchor>
          </objectPr>
        </oleObject>
      </mc:Choice>
      <mc:Fallback>
        <oleObject progId="Equation.3" shapeId="4273" r:id="rId68"/>
      </mc:Fallback>
    </mc:AlternateContent>
    <mc:AlternateContent xmlns:mc="http://schemas.openxmlformats.org/markup-compatibility/2006">
      <mc:Choice Requires="x14">
        <oleObject progId="Equation.3" shapeId="4274" r:id="rId70">
          <objectPr defaultSize="0" autoPict="0" r:id="rId71">
            <anchor moveWithCells="1" sizeWithCells="1">
              <from>
                <xdr:col>1</xdr:col>
                <xdr:colOff>45720</xdr:colOff>
                <xdr:row>418</xdr:row>
                <xdr:rowOff>0</xdr:rowOff>
              </from>
              <to>
                <xdr:col>2</xdr:col>
                <xdr:colOff>373380</xdr:colOff>
                <xdr:row>419</xdr:row>
                <xdr:rowOff>30480</xdr:rowOff>
              </to>
            </anchor>
          </objectPr>
        </oleObject>
      </mc:Choice>
      <mc:Fallback>
        <oleObject progId="Equation.3" shapeId="4274" r:id="rId70"/>
      </mc:Fallback>
    </mc:AlternateContent>
    <mc:AlternateContent xmlns:mc="http://schemas.openxmlformats.org/markup-compatibility/2006">
      <mc:Choice Requires="x14">
        <oleObject progId="Equation.3" shapeId="4275" r:id="rId72">
          <objectPr defaultSize="0" autoPict="0" r:id="rId73">
            <anchor moveWithCells="1" sizeWithCells="1">
              <from>
                <xdr:col>1</xdr:col>
                <xdr:colOff>441960</xdr:colOff>
                <xdr:row>419</xdr:row>
                <xdr:rowOff>129540</xdr:rowOff>
              </from>
              <to>
                <xdr:col>5</xdr:col>
                <xdr:colOff>396240</xdr:colOff>
                <xdr:row>421</xdr:row>
                <xdr:rowOff>106680</xdr:rowOff>
              </to>
            </anchor>
          </objectPr>
        </oleObject>
      </mc:Choice>
      <mc:Fallback>
        <oleObject progId="Equation.3" shapeId="4275" r:id="rId72"/>
      </mc:Fallback>
    </mc:AlternateContent>
    <mc:AlternateContent xmlns:mc="http://schemas.openxmlformats.org/markup-compatibility/2006">
      <mc:Choice Requires="x14">
        <oleObject progId="Equation.3" shapeId="4276" r:id="rId74">
          <objectPr defaultSize="0" autoPict="0" r:id="rId75">
            <anchor moveWithCells="1" sizeWithCells="1">
              <from>
                <xdr:col>6</xdr:col>
                <xdr:colOff>198120</xdr:colOff>
                <xdr:row>419</xdr:row>
                <xdr:rowOff>144780</xdr:rowOff>
              </from>
              <to>
                <xdr:col>10</xdr:col>
                <xdr:colOff>182880</xdr:colOff>
                <xdr:row>421</xdr:row>
                <xdr:rowOff>137160</xdr:rowOff>
              </to>
            </anchor>
          </objectPr>
        </oleObject>
      </mc:Choice>
      <mc:Fallback>
        <oleObject progId="Equation.3" shapeId="4276" r:id="rId74"/>
      </mc:Fallback>
    </mc:AlternateContent>
    <mc:AlternateContent xmlns:mc="http://schemas.openxmlformats.org/markup-compatibility/2006">
      <mc:Choice Requires="x14">
        <oleObject progId="Equation.3" shapeId="4278" r:id="rId76">
          <objectPr defaultSize="0" autoPict="0" r:id="rId77">
            <anchor moveWithCells="1">
              <from>
                <xdr:col>3</xdr:col>
                <xdr:colOff>320040</xdr:colOff>
                <xdr:row>443</xdr:row>
                <xdr:rowOff>91440</xdr:rowOff>
              </from>
              <to>
                <xdr:col>5</xdr:col>
                <xdr:colOff>449580</xdr:colOff>
                <xdr:row>444</xdr:row>
                <xdr:rowOff>144780</xdr:rowOff>
              </to>
            </anchor>
          </objectPr>
        </oleObject>
      </mc:Choice>
      <mc:Fallback>
        <oleObject progId="Equation.3" shapeId="4278" r:id="rId76"/>
      </mc:Fallback>
    </mc:AlternateContent>
    <mc:AlternateContent xmlns:mc="http://schemas.openxmlformats.org/markup-compatibility/2006">
      <mc:Choice Requires="x14">
        <oleObject progId="Equation.3" shapeId="7341" r:id="rId78">
          <objectPr defaultSize="0" autoPict="0" r:id="rId7">
            <anchor moveWithCells="1" sizeWithCells="1">
              <from>
                <xdr:col>5</xdr:col>
                <xdr:colOff>495300</xdr:colOff>
                <xdr:row>1312</xdr:row>
                <xdr:rowOff>205740</xdr:rowOff>
              </from>
              <to>
                <xdr:col>9</xdr:col>
                <xdr:colOff>106680</xdr:colOff>
                <xdr:row>1314</xdr:row>
                <xdr:rowOff>0</xdr:rowOff>
              </to>
            </anchor>
          </objectPr>
        </oleObject>
      </mc:Choice>
      <mc:Fallback>
        <oleObject progId="Equation.3" shapeId="7341" r:id="rId78"/>
      </mc:Fallback>
    </mc:AlternateContent>
    <mc:AlternateContent xmlns:mc="http://schemas.openxmlformats.org/markup-compatibility/2006">
      <mc:Choice Requires="x14">
        <oleObject progId="Equation.3" shapeId="10760" r:id="rId79">
          <objectPr defaultSize="0" autoPict="0" r:id="rId80">
            <anchor moveWithCells="1" sizeWithCells="1">
              <from>
                <xdr:col>0</xdr:col>
                <xdr:colOff>198120</xdr:colOff>
                <xdr:row>829</xdr:row>
                <xdr:rowOff>15240</xdr:rowOff>
              </from>
              <to>
                <xdr:col>4</xdr:col>
                <xdr:colOff>358140</xdr:colOff>
                <xdr:row>831</xdr:row>
                <xdr:rowOff>175260</xdr:rowOff>
              </to>
            </anchor>
          </objectPr>
        </oleObject>
      </mc:Choice>
      <mc:Fallback>
        <oleObject progId="Equation.3" shapeId="10760" r:id="rId79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ADDCE-C91B-4EA3-BBE3-280963FCDFB9}">
  <sheetPr>
    <tabColor indexed="10"/>
  </sheetPr>
  <dimension ref="A2:R244"/>
  <sheetViews>
    <sheetView topLeftCell="A13" zoomScale="120" zoomScaleNormal="120" workbookViewId="0">
      <selection activeCell="G16" sqref="G16"/>
    </sheetView>
  </sheetViews>
  <sheetFormatPr defaultColWidth="9.109375" defaultRowHeight="15" x14ac:dyDescent="0.25"/>
  <cols>
    <col min="1" max="1" width="10.109375" style="74" customWidth="1"/>
    <col min="2" max="2" width="11.6640625" style="74" customWidth="1"/>
    <col min="3" max="16" width="9.109375" style="74"/>
    <col min="17" max="16384" width="9.109375" style="53"/>
  </cols>
  <sheetData>
    <row r="2" spans="1:6" x14ac:dyDescent="0.25">
      <c r="A2" s="113" t="s">
        <v>86</v>
      </c>
      <c r="D2" s="74">
        <f>Изчисления!K192</f>
        <v>2</v>
      </c>
      <c r="E2" s="430"/>
      <c r="F2" s="113" t="str">
        <f ca="1">INDIRECT("A"&amp;3+D2)</f>
        <v>Еднофамилна жилищна сграда</v>
      </c>
    </row>
    <row r="3" spans="1:6" x14ac:dyDescent="0.25">
      <c r="A3" s="113"/>
    </row>
    <row r="4" spans="1:6" x14ac:dyDescent="0.25">
      <c r="A4" s="113" t="s">
        <v>1134</v>
      </c>
    </row>
    <row r="5" spans="1:6" x14ac:dyDescent="0.25">
      <c r="A5" s="113" t="s">
        <v>1131</v>
      </c>
    </row>
    <row r="6" spans="1:6" x14ac:dyDescent="0.25">
      <c r="A6" s="113" t="s">
        <v>1132</v>
      </c>
    </row>
    <row r="7" spans="1:6" x14ac:dyDescent="0.25">
      <c r="A7" s="113" t="s">
        <v>87</v>
      </c>
    </row>
    <row r="8" spans="1:6" x14ac:dyDescent="0.25">
      <c r="A8" s="113" t="s">
        <v>88</v>
      </c>
    </row>
    <row r="9" spans="1:6" x14ac:dyDescent="0.25">
      <c r="A9" s="113" t="s">
        <v>1133</v>
      </c>
    </row>
    <row r="10" spans="1:6" x14ac:dyDescent="0.25">
      <c r="A10" s="113" t="s">
        <v>1135</v>
      </c>
    </row>
    <row r="11" spans="1:6" x14ac:dyDescent="0.25">
      <c r="A11" s="113" t="s">
        <v>1136</v>
      </c>
    </row>
    <row r="12" spans="1:6" x14ac:dyDescent="0.25">
      <c r="A12" s="113" t="s">
        <v>1137</v>
      </c>
    </row>
    <row r="13" spans="1:6" x14ac:dyDescent="0.25">
      <c r="A13" s="113" t="s">
        <v>1138</v>
      </c>
    </row>
    <row r="14" spans="1:6" x14ac:dyDescent="0.25">
      <c r="A14" s="113" t="s">
        <v>1139</v>
      </c>
    </row>
    <row r="15" spans="1:6" x14ac:dyDescent="0.25">
      <c r="A15" s="113"/>
    </row>
    <row r="16" spans="1:6" x14ac:dyDescent="0.25">
      <c r="A16" s="113"/>
    </row>
    <row r="17" spans="1:17" x14ac:dyDescent="0.25">
      <c r="A17" s="113"/>
    </row>
    <row r="18" spans="1:17" x14ac:dyDescent="0.25">
      <c r="A18" s="113"/>
    </row>
    <row r="19" spans="1:17" x14ac:dyDescent="0.25">
      <c r="A19" s="113"/>
    </row>
    <row r="20" spans="1:17" x14ac:dyDescent="0.25">
      <c r="A20" s="113"/>
    </row>
    <row r="21" spans="1:17" x14ac:dyDescent="0.25">
      <c r="A21" s="435" t="s">
        <v>105</v>
      </c>
      <c r="B21" s="376"/>
      <c r="C21" s="376"/>
      <c r="D21" s="376"/>
      <c r="E21" s="376"/>
      <c r="F21" s="974" t="s">
        <v>1214</v>
      </c>
      <c r="G21" s="593"/>
      <c r="H21" s="593"/>
      <c r="I21" s="593"/>
      <c r="J21" s="593"/>
      <c r="K21" s="593"/>
      <c r="L21" s="593"/>
      <c r="M21" s="593"/>
      <c r="N21" s="593"/>
      <c r="O21" s="593"/>
      <c r="P21" s="593"/>
      <c r="Q21" s="593"/>
    </row>
    <row r="22" spans="1:17" x14ac:dyDescent="0.25">
      <c r="A22" s="376" t="s">
        <v>89</v>
      </c>
      <c r="B22" s="376" t="s">
        <v>90</v>
      </c>
      <c r="C22" s="376" t="s">
        <v>91</v>
      </c>
      <c r="D22" s="376"/>
      <c r="E22" s="376"/>
      <c r="F22" s="549" t="s">
        <v>167</v>
      </c>
      <c r="G22" s="549" t="s">
        <v>168</v>
      </c>
      <c r="H22" s="549" t="s">
        <v>923</v>
      </c>
      <c r="I22" s="549" t="s">
        <v>924</v>
      </c>
      <c r="J22" s="549" t="s">
        <v>169</v>
      </c>
      <c r="K22" s="549" t="s">
        <v>170</v>
      </c>
      <c r="L22" s="549" t="s">
        <v>171</v>
      </c>
      <c r="M22" s="549" t="s">
        <v>172</v>
      </c>
      <c r="N22" s="549" t="s">
        <v>173</v>
      </c>
      <c r="O22" s="549" t="s">
        <v>174</v>
      </c>
      <c r="P22" s="549" t="s">
        <v>175</v>
      </c>
      <c r="Q22" s="549" t="s">
        <v>176</v>
      </c>
    </row>
    <row r="23" spans="1:17" x14ac:dyDescent="0.25">
      <c r="A23" s="376" t="s">
        <v>905</v>
      </c>
      <c r="B23" s="376" t="s">
        <v>1142</v>
      </c>
      <c r="C23" s="376">
        <f ca="1">INDIRECT("C"&amp;D2*9+23)</f>
        <v>83</v>
      </c>
      <c r="D23" s="376"/>
      <c r="E23" s="376"/>
      <c r="F23" s="549">
        <f ca="1">INDIRECT("F"&amp;D2*9+23)</f>
        <v>0</v>
      </c>
      <c r="G23" s="549">
        <f ca="1">INDIRECT("g"&amp;D2*9+23)</f>
        <v>0</v>
      </c>
      <c r="H23" s="549">
        <f ca="1">INDIRECT("h"&amp;D2*9+23)</f>
        <v>0</v>
      </c>
      <c r="I23" s="549">
        <f ca="1">INDIRECT("i"&amp;D2*9+23)</f>
        <v>0</v>
      </c>
      <c r="J23" s="549">
        <f ca="1">INDIRECT("j"&amp;D2*9+23)</f>
        <v>0</v>
      </c>
      <c r="K23" s="549">
        <f ca="1">INDIRECT("k"&amp;D2*9+23)</f>
        <v>0</v>
      </c>
      <c r="L23" s="549">
        <f ca="1">INDIRECT("l"&amp;D2*9+23)</f>
        <v>0</v>
      </c>
      <c r="M23" s="549">
        <f ca="1">INDIRECT("m"&amp;D2*9+23)</f>
        <v>0</v>
      </c>
      <c r="N23" s="549">
        <f ca="1">INDIRECT("n"&amp;D2*9+23)</f>
        <v>0</v>
      </c>
      <c r="O23" s="549">
        <f ca="1">INDIRECT("o"&amp;D2*9+23)</f>
        <v>0</v>
      </c>
      <c r="P23" s="549">
        <f ca="1">INDIRECT("p"&amp;D2*9+23)</f>
        <v>0</v>
      </c>
      <c r="Q23" s="549">
        <f ca="1">INDIRECT("q"&amp;D2*9+23)</f>
        <v>0</v>
      </c>
    </row>
    <row r="24" spans="1:17" x14ac:dyDescent="0.25">
      <c r="A24" s="376" t="s">
        <v>92</v>
      </c>
      <c r="B24" s="376">
        <f t="shared" ref="B24:B29" ca="1" si="0">C23</f>
        <v>83</v>
      </c>
      <c r="C24" s="376">
        <f ca="1">INDIRECT("C"&amp;D2*9+24)</f>
        <v>166</v>
      </c>
      <c r="D24" s="376"/>
      <c r="E24" s="376"/>
    </row>
    <row r="25" spans="1:17" x14ac:dyDescent="0.25">
      <c r="A25" s="376" t="s">
        <v>946</v>
      </c>
      <c r="B25" s="376">
        <f t="shared" ca="1" si="0"/>
        <v>166</v>
      </c>
      <c r="C25" s="376">
        <f ca="1">INDIRECT("C"&amp;D2*9+25)</f>
        <v>203</v>
      </c>
      <c r="D25" s="376"/>
      <c r="E25" s="376"/>
      <c r="F25" s="74" t="str">
        <f ca="1">INDIRECT("F"&amp;D2*9+25)</f>
        <v>БГВ=</v>
      </c>
      <c r="G25" s="74">
        <f ca="1">INDIRECT("g"&amp;D2*9+25)</f>
        <v>80</v>
      </c>
      <c r="H25" s="74" t="str">
        <f ca="1">INDIRECT("h"&amp;D2*9+25)</f>
        <v>л/ден</v>
      </c>
    </row>
    <row r="26" spans="1:17" x14ac:dyDescent="0.25">
      <c r="A26" s="376" t="s">
        <v>93</v>
      </c>
      <c r="B26" s="376">
        <f t="shared" ca="1" si="0"/>
        <v>203</v>
      </c>
      <c r="C26" s="376">
        <f ca="1">INDIRECT("C"&amp;D2*9+26)</f>
        <v>240</v>
      </c>
      <c r="D26" s="376"/>
      <c r="E26" s="376"/>
    </row>
    <row r="27" spans="1:17" x14ac:dyDescent="0.25">
      <c r="A27" s="376" t="s">
        <v>94</v>
      </c>
      <c r="B27" s="376">
        <f t="shared" ca="1" si="0"/>
        <v>240</v>
      </c>
      <c r="C27" s="376">
        <f ca="1">INDIRECT("C"&amp;D2*9+27)</f>
        <v>300</v>
      </c>
      <c r="D27" s="376"/>
      <c r="E27" s="376"/>
    </row>
    <row r="28" spans="1:17" x14ac:dyDescent="0.25">
      <c r="A28" s="376" t="s">
        <v>95</v>
      </c>
      <c r="B28" s="376">
        <f t="shared" ca="1" si="0"/>
        <v>300</v>
      </c>
      <c r="C28" s="376">
        <f ca="1">INDIRECT("C"&amp;D2*9+28)</f>
        <v>360</v>
      </c>
      <c r="D28" s="376"/>
      <c r="E28" s="376"/>
    </row>
    <row r="29" spans="1:17" x14ac:dyDescent="0.25">
      <c r="A29" s="376" t="s">
        <v>96</v>
      </c>
      <c r="B29" s="376">
        <f t="shared" ca="1" si="0"/>
        <v>360</v>
      </c>
      <c r="C29" s="376" t="s">
        <v>1142</v>
      </c>
      <c r="D29" s="376"/>
      <c r="E29" s="376"/>
    </row>
    <row r="30" spans="1:17" x14ac:dyDescent="0.25">
      <c r="A30" s="433" t="s">
        <v>1140</v>
      </c>
      <c r="B30" s="434"/>
      <c r="C30" s="434"/>
      <c r="D30" s="434"/>
      <c r="E30" s="434"/>
      <c r="F30" s="972" t="s">
        <v>1214</v>
      </c>
      <c r="G30" s="973"/>
      <c r="H30" s="973"/>
      <c r="I30" s="973"/>
      <c r="J30" s="973"/>
      <c r="K30" s="973"/>
      <c r="L30" s="973"/>
      <c r="M30" s="973"/>
      <c r="N30" s="973"/>
      <c r="O30" s="973"/>
      <c r="P30" s="973"/>
      <c r="Q30" s="973"/>
    </row>
    <row r="31" spans="1:17" x14ac:dyDescent="0.25">
      <c r="A31" s="432" t="s">
        <v>89</v>
      </c>
      <c r="B31" s="432" t="s">
        <v>90</v>
      </c>
      <c r="C31" s="432" t="s">
        <v>91</v>
      </c>
      <c r="F31" s="548" t="s">
        <v>167</v>
      </c>
      <c r="G31" s="548" t="s">
        <v>168</v>
      </c>
      <c r="H31" s="548" t="s">
        <v>923</v>
      </c>
      <c r="I31" s="548" t="s">
        <v>924</v>
      </c>
      <c r="J31" s="548" t="s">
        <v>169</v>
      </c>
      <c r="K31" s="548" t="s">
        <v>170</v>
      </c>
      <c r="L31" s="548" t="s">
        <v>171</v>
      </c>
      <c r="M31" s="548" t="s">
        <v>172</v>
      </c>
      <c r="N31" s="548" t="s">
        <v>173</v>
      </c>
      <c r="O31" s="548" t="s">
        <v>174</v>
      </c>
      <c r="P31" s="548" t="s">
        <v>175</v>
      </c>
      <c r="Q31" s="548" t="s">
        <v>176</v>
      </c>
    </row>
    <row r="32" spans="1:17" x14ac:dyDescent="0.25">
      <c r="A32" s="432" t="s">
        <v>905</v>
      </c>
      <c r="C32" s="74">
        <v>90</v>
      </c>
      <c r="F32" s="548">
        <v>0</v>
      </c>
      <c r="G32" s="548">
        <v>0</v>
      </c>
      <c r="H32" s="548">
        <v>0</v>
      </c>
      <c r="I32" s="548">
        <v>0</v>
      </c>
      <c r="J32" s="548">
        <v>0</v>
      </c>
      <c r="K32" s="548">
        <v>0</v>
      </c>
      <c r="L32" s="548">
        <v>0</v>
      </c>
      <c r="M32" s="548">
        <v>0</v>
      </c>
      <c r="N32" s="548">
        <v>0</v>
      </c>
      <c r="O32" s="548">
        <v>0</v>
      </c>
      <c r="P32" s="548">
        <v>0</v>
      </c>
      <c r="Q32" s="548">
        <v>0</v>
      </c>
    </row>
    <row r="33" spans="1:17" x14ac:dyDescent="0.25">
      <c r="A33" s="432" t="s">
        <v>92</v>
      </c>
      <c r="B33" s="74">
        <f t="shared" ref="B33:B38" si="1">C32</f>
        <v>90</v>
      </c>
      <c r="C33" s="74">
        <v>180</v>
      </c>
    </row>
    <row r="34" spans="1:17" x14ac:dyDescent="0.25">
      <c r="A34" s="432" t="s">
        <v>946</v>
      </c>
      <c r="B34" s="74">
        <f t="shared" si="1"/>
        <v>180</v>
      </c>
      <c r="C34" s="74">
        <v>235</v>
      </c>
      <c r="F34" s="454" t="s">
        <v>1235</v>
      </c>
      <c r="G34" s="74">
        <v>80</v>
      </c>
      <c r="H34" s="74" t="s">
        <v>1218</v>
      </c>
    </row>
    <row r="35" spans="1:17" x14ac:dyDescent="0.25">
      <c r="A35" s="432" t="s">
        <v>93</v>
      </c>
      <c r="B35" s="74">
        <f t="shared" si="1"/>
        <v>235</v>
      </c>
      <c r="C35" s="74">
        <v>290</v>
      </c>
    </row>
    <row r="36" spans="1:17" x14ac:dyDescent="0.25">
      <c r="A36" s="432" t="s">
        <v>94</v>
      </c>
      <c r="B36" s="74">
        <f t="shared" si="1"/>
        <v>290</v>
      </c>
      <c r="C36" s="74">
        <v>363</v>
      </c>
    </row>
    <row r="37" spans="1:17" x14ac:dyDescent="0.25">
      <c r="A37" s="432" t="s">
        <v>95</v>
      </c>
      <c r="B37" s="74">
        <f t="shared" si="1"/>
        <v>363</v>
      </c>
      <c r="C37" s="74">
        <v>435</v>
      </c>
    </row>
    <row r="38" spans="1:17" x14ac:dyDescent="0.25">
      <c r="A38" s="432" t="s">
        <v>96</v>
      </c>
      <c r="B38" s="74">
        <f t="shared" si="1"/>
        <v>435</v>
      </c>
    </row>
    <row r="39" spans="1:17" x14ac:dyDescent="0.25">
      <c r="A39" s="433" t="s">
        <v>1141</v>
      </c>
      <c r="B39" s="434"/>
      <c r="C39" s="434"/>
      <c r="D39" s="434"/>
      <c r="E39" s="434"/>
      <c r="F39" s="972" t="s">
        <v>1214</v>
      </c>
      <c r="G39" s="973"/>
      <c r="H39" s="973"/>
      <c r="I39" s="973"/>
      <c r="J39" s="973"/>
      <c r="K39" s="973"/>
      <c r="L39" s="973"/>
      <c r="M39" s="973"/>
      <c r="N39" s="973"/>
      <c r="O39" s="973"/>
      <c r="P39" s="973"/>
      <c r="Q39" s="973"/>
    </row>
    <row r="40" spans="1:17" x14ac:dyDescent="0.25">
      <c r="A40" s="432" t="s">
        <v>89</v>
      </c>
      <c r="B40" s="432" t="s">
        <v>90</v>
      </c>
      <c r="C40" s="432" t="s">
        <v>91</v>
      </c>
      <c r="F40" s="548" t="s">
        <v>167</v>
      </c>
      <c r="G40" s="548" t="s">
        <v>168</v>
      </c>
      <c r="H40" s="548" t="s">
        <v>923</v>
      </c>
      <c r="I40" s="548" t="s">
        <v>924</v>
      </c>
      <c r="J40" s="548" t="s">
        <v>169</v>
      </c>
      <c r="K40" s="548" t="s">
        <v>170</v>
      </c>
      <c r="L40" s="548" t="s">
        <v>171</v>
      </c>
      <c r="M40" s="548" t="s">
        <v>172</v>
      </c>
      <c r="N40" s="548" t="s">
        <v>173</v>
      </c>
      <c r="O40" s="548" t="s">
        <v>174</v>
      </c>
      <c r="P40" s="548" t="s">
        <v>175</v>
      </c>
      <c r="Q40" s="548" t="s">
        <v>176</v>
      </c>
    </row>
    <row r="41" spans="1:17" x14ac:dyDescent="0.25">
      <c r="A41" s="432" t="s">
        <v>905</v>
      </c>
      <c r="C41" s="74">
        <v>83</v>
      </c>
      <c r="F41" s="548">
        <v>0</v>
      </c>
      <c r="G41" s="548">
        <v>0</v>
      </c>
      <c r="H41" s="548">
        <v>0</v>
      </c>
      <c r="I41" s="548">
        <v>0</v>
      </c>
      <c r="J41" s="548">
        <v>0</v>
      </c>
      <c r="K41" s="548">
        <v>0</v>
      </c>
      <c r="L41" s="548">
        <v>0</v>
      </c>
      <c r="M41" s="548">
        <v>0</v>
      </c>
      <c r="N41" s="548">
        <v>0</v>
      </c>
      <c r="O41" s="548">
        <v>0</v>
      </c>
      <c r="P41" s="548">
        <v>0</v>
      </c>
      <c r="Q41" s="548">
        <v>0</v>
      </c>
    </row>
    <row r="42" spans="1:17" x14ac:dyDescent="0.25">
      <c r="A42" s="432" t="s">
        <v>92</v>
      </c>
      <c r="B42" s="74">
        <f t="shared" ref="B42:B47" si="2">C41</f>
        <v>83</v>
      </c>
      <c r="C42" s="74">
        <v>166</v>
      </c>
    </row>
    <row r="43" spans="1:17" x14ac:dyDescent="0.25">
      <c r="A43" s="432" t="s">
        <v>946</v>
      </c>
      <c r="B43" s="74">
        <f t="shared" si="2"/>
        <v>166</v>
      </c>
      <c r="C43" s="74">
        <v>203</v>
      </c>
      <c r="F43" s="454" t="s">
        <v>1235</v>
      </c>
      <c r="G43" s="74">
        <v>80</v>
      </c>
      <c r="H43" s="74" t="s">
        <v>1218</v>
      </c>
    </row>
    <row r="44" spans="1:17" x14ac:dyDescent="0.25">
      <c r="A44" s="432" t="s">
        <v>93</v>
      </c>
      <c r="B44" s="74">
        <f t="shared" si="2"/>
        <v>203</v>
      </c>
      <c r="C44" s="74">
        <v>240</v>
      </c>
    </row>
    <row r="45" spans="1:17" x14ac:dyDescent="0.25">
      <c r="A45" s="432" t="s">
        <v>94</v>
      </c>
      <c r="B45" s="74">
        <f t="shared" si="2"/>
        <v>240</v>
      </c>
      <c r="C45" s="74">
        <v>300</v>
      </c>
    </row>
    <row r="46" spans="1:17" x14ac:dyDescent="0.25">
      <c r="A46" s="432" t="s">
        <v>95</v>
      </c>
      <c r="B46" s="74">
        <f t="shared" si="2"/>
        <v>300</v>
      </c>
      <c r="C46" s="74">
        <v>360</v>
      </c>
    </row>
    <row r="47" spans="1:17" x14ac:dyDescent="0.25">
      <c r="A47" s="432" t="s">
        <v>96</v>
      </c>
      <c r="B47" s="74">
        <f t="shared" si="2"/>
        <v>360</v>
      </c>
    </row>
    <row r="48" spans="1:17" x14ac:dyDescent="0.25">
      <c r="A48" s="433" t="s">
        <v>97</v>
      </c>
      <c r="B48" s="434"/>
      <c r="C48" s="434"/>
      <c r="D48" s="434"/>
      <c r="E48" s="434"/>
      <c r="F48" s="972" t="s">
        <v>1214</v>
      </c>
      <c r="G48" s="973"/>
      <c r="H48" s="973"/>
      <c r="I48" s="973"/>
      <c r="J48" s="973"/>
      <c r="K48" s="973"/>
      <c r="L48" s="973"/>
      <c r="M48" s="973"/>
      <c r="N48" s="973"/>
      <c r="O48" s="973"/>
      <c r="P48" s="973"/>
      <c r="Q48" s="973"/>
    </row>
    <row r="49" spans="1:17" x14ac:dyDescent="0.25">
      <c r="A49" s="432" t="s">
        <v>89</v>
      </c>
      <c r="B49" s="432" t="s">
        <v>90</v>
      </c>
      <c r="C49" s="432" t="s">
        <v>91</v>
      </c>
      <c r="F49" s="548" t="s">
        <v>167</v>
      </c>
      <c r="G49" s="548" t="s">
        <v>168</v>
      </c>
      <c r="H49" s="548" t="s">
        <v>923</v>
      </c>
      <c r="I49" s="548" t="s">
        <v>924</v>
      </c>
      <c r="J49" s="548" t="s">
        <v>169</v>
      </c>
      <c r="K49" s="548" t="s">
        <v>170</v>
      </c>
      <c r="L49" s="548" t="s">
        <v>171</v>
      </c>
      <c r="M49" s="548" t="s">
        <v>172</v>
      </c>
      <c r="N49" s="548" t="s">
        <v>173</v>
      </c>
      <c r="O49" s="548" t="s">
        <v>174</v>
      </c>
      <c r="P49" s="548" t="s">
        <v>175</v>
      </c>
      <c r="Q49" s="548" t="s">
        <v>176</v>
      </c>
    </row>
    <row r="50" spans="1:17" x14ac:dyDescent="0.25">
      <c r="A50" s="432" t="s">
        <v>905</v>
      </c>
      <c r="C50" s="74">
        <v>134</v>
      </c>
      <c r="F50" s="548">
        <v>1</v>
      </c>
      <c r="G50" s="548">
        <v>0</v>
      </c>
      <c r="H50" s="548">
        <v>1</v>
      </c>
      <c r="I50" s="548">
        <v>1</v>
      </c>
      <c r="J50" s="548">
        <v>3</v>
      </c>
      <c r="K50" s="548">
        <v>0</v>
      </c>
      <c r="L50" s="548">
        <v>0</v>
      </c>
      <c r="M50" s="548">
        <v>0</v>
      </c>
      <c r="N50" s="548">
        <v>2</v>
      </c>
      <c r="O50" s="548">
        <v>0</v>
      </c>
      <c r="P50" s="548">
        <v>0</v>
      </c>
      <c r="Q50" s="548">
        <v>3</v>
      </c>
    </row>
    <row r="51" spans="1:17" x14ac:dyDescent="0.25">
      <c r="A51" s="432" t="s">
        <v>92</v>
      </c>
      <c r="B51" s="74">
        <f t="shared" ref="B51:B56" si="3">C50</f>
        <v>134</v>
      </c>
      <c r="C51" s="74">
        <v>268</v>
      </c>
    </row>
    <row r="52" spans="1:17" x14ac:dyDescent="0.25">
      <c r="A52" s="432" t="s">
        <v>946</v>
      </c>
      <c r="B52" s="74">
        <f t="shared" si="3"/>
        <v>268</v>
      </c>
      <c r="C52" s="74">
        <v>329</v>
      </c>
      <c r="F52" s="454" t="s">
        <v>1235</v>
      </c>
      <c r="G52" s="74">
        <v>5</v>
      </c>
      <c r="H52" s="74" t="s">
        <v>1218</v>
      </c>
    </row>
    <row r="53" spans="1:17" x14ac:dyDescent="0.25">
      <c r="A53" s="432" t="s">
        <v>93</v>
      </c>
      <c r="B53" s="74">
        <f t="shared" si="3"/>
        <v>329</v>
      </c>
      <c r="C53" s="74">
        <v>390</v>
      </c>
    </row>
    <row r="54" spans="1:17" x14ac:dyDescent="0.25">
      <c r="A54" s="432" t="s">
        <v>94</v>
      </c>
      <c r="B54" s="74">
        <f t="shared" si="3"/>
        <v>390</v>
      </c>
      <c r="C54" s="74">
        <v>488</v>
      </c>
    </row>
    <row r="55" spans="1:17" x14ac:dyDescent="0.25">
      <c r="A55" s="432" t="s">
        <v>95</v>
      </c>
      <c r="B55" s="74">
        <f t="shared" si="3"/>
        <v>488</v>
      </c>
      <c r="C55" s="74">
        <v>585</v>
      </c>
    </row>
    <row r="56" spans="1:17" x14ac:dyDescent="0.25">
      <c r="A56" s="432" t="s">
        <v>96</v>
      </c>
      <c r="B56" s="74">
        <f t="shared" si="3"/>
        <v>585</v>
      </c>
    </row>
    <row r="57" spans="1:17" x14ac:dyDescent="0.25">
      <c r="A57" s="433" t="s">
        <v>98</v>
      </c>
      <c r="B57" s="434"/>
      <c r="C57" s="434"/>
      <c r="D57" s="434"/>
      <c r="E57" s="434"/>
      <c r="F57" s="972" t="s">
        <v>1214</v>
      </c>
      <c r="G57" s="973"/>
      <c r="H57" s="973"/>
      <c r="I57" s="973"/>
      <c r="J57" s="973"/>
      <c r="K57" s="973"/>
      <c r="L57" s="973"/>
      <c r="M57" s="973"/>
      <c r="N57" s="973"/>
      <c r="O57" s="973"/>
      <c r="P57" s="973"/>
      <c r="Q57" s="973"/>
    </row>
    <row r="58" spans="1:17" x14ac:dyDescent="0.25">
      <c r="A58" s="432" t="s">
        <v>89</v>
      </c>
      <c r="B58" s="432" t="s">
        <v>90</v>
      </c>
      <c r="C58" s="432" t="s">
        <v>91</v>
      </c>
      <c r="F58" s="548" t="s">
        <v>167</v>
      </c>
      <c r="G58" s="548" t="s">
        <v>168</v>
      </c>
      <c r="H58" s="548" t="s">
        <v>923</v>
      </c>
      <c r="I58" s="548" t="s">
        <v>924</v>
      </c>
      <c r="J58" s="548" t="s">
        <v>169</v>
      </c>
      <c r="K58" s="548" t="s">
        <v>170</v>
      </c>
      <c r="L58" s="548" t="s">
        <v>171</v>
      </c>
      <c r="M58" s="548" t="s">
        <v>172</v>
      </c>
      <c r="N58" s="548" t="s">
        <v>173</v>
      </c>
      <c r="O58" s="548" t="s">
        <v>174</v>
      </c>
      <c r="P58" s="548" t="s">
        <v>175</v>
      </c>
      <c r="Q58" s="548" t="s">
        <v>176</v>
      </c>
    </row>
    <row r="59" spans="1:17" x14ac:dyDescent="0.25">
      <c r="A59" s="432" t="s">
        <v>905</v>
      </c>
      <c r="C59" s="74">
        <v>35</v>
      </c>
      <c r="F59" s="548">
        <v>3</v>
      </c>
      <c r="G59" s="548">
        <v>0</v>
      </c>
      <c r="H59" s="548">
        <v>1</v>
      </c>
      <c r="I59" s="548">
        <v>9</v>
      </c>
      <c r="J59" s="548">
        <v>3</v>
      </c>
      <c r="K59" s="548">
        <v>10</v>
      </c>
      <c r="L59" s="548">
        <v>23</v>
      </c>
      <c r="M59" s="548">
        <v>22</v>
      </c>
      <c r="N59" s="548">
        <v>11</v>
      </c>
      <c r="O59" s="548">
        <v>0</v>
      </c>
      <c r="P59" s="548">
        <v>1</v>
      </c>
      <c r="Q59" s="548">
        <v>7</v>
      </c>
    </row>
    <row r="60" spans="1:17" x14ac:dyDescent="0.25">
      <c r="A60" s="432" t="s">
        <v>92</v>
      </c>
      <c r="B60" s="74">
        <f t="shared" ref="B60:B65" si="4">C59</f>
        <v>35</v>
      </c>
      <c r="C60" s="74">
        <v>70</v>
      </c>
    </row>
    <row r="61" spans="1:17" x14ac:dyDescent="0.25">
      <c r="A61" s="432" t="s">
        <v>946</v>
      </c>
      <c r="B61" s="74">
        <f t="shared" si="4"/>
        <v>70</v>
      </c>
      <c r="C61" s="74">
        <v>110</v>
      </c>
      <c r="F61" s="454" t="s">
        <v>1235</v>
      </c>
      <c r="G61" s="74">
        <v>6</v>
      </c>
      <c r="H61" s="74" t="s">
        <v>1218</v>
      </c>
    </row>
    <row r="62" spans="1:17" x14ac:dyDescent="0.25">
      <c r="A62" s="432" t="s">
        <v>93</v>
      </c>
      <c r="B62" s="74">
        <f t="shared" si="4"/>
        <v>110</v>
      </c>
      <c r="C62" s="74">
        <v>150</v>
      </c>
    </row>
    <row r="63" spans="1:17" x14ac:dyDescent="0.25">
      <c r="A63" s="432" t="s">
        <v>94</v>
      </c>
      <c r="B63" s="74">
        <f t="shared" si="4"/>
        <v>150</v>
      </c>
      <c r="C63" s="74">
        <v>188</v>
      </c>
    </row>
    <row r="64" spans="1:17" x14ac:dyDescent="0.25">
      <c r="A64" s="432" t="s">
        <v>95</v>
      </c>
      <c r="B64" s="74">
        <f t="shared" si="4"/>
        <v>188</v>
      </c>
      <c r="C64" s="74">
        <v>225</v>
      </c>
    </row>
    <row r="65" spans="1:17" x14ac:dyDescent="0.25">
      <c r="A65" s="432" t="s">
        <v>96</v>
      </c>
      <c r="B65" s="74">
        <f t="shared" si="4"/>
        <v>225</v>
      </c>
    </row>
    <row r="66" spans="1:17" x14ac:dyDescent="0.25">
      <c r="A66" s="433" t="s">
        <v>99</v>
      </c>
      <c r="B66" s="434"/>
      <c r="C66" s="434"/>
      <c r="D66" s="434"/>
      <c r="E66" s="434"/>
      <c r="F66" s="972" t="s">
        <v>1214</v>
      </c>
      <c r="G66" s="973"/>
      <c r="H66" s="973"/>
      <c r="I66" s="973"/>
      <c r="J66" s="973"/>
      <c r="K66" s="973"/>
      <c r="L66" s="973"/>
      <c r="M66" s="973"/>
      <c r="N66" s="973"/>
      <c r="O66" s="973"/>
      <c r="P66" s="973"/>
      <c r="Q66" s="973"/>
    </row>
    <row r="67" spans="1:17" x14ac:dyDescent="0.25">
      <c r="A67" s="432" t="s">
        <v>89</v>
      </c>
      <c r="B67" s="432" t="s">
        <v>90</v>
      </c>
      <c r="C67" s="432" t="s">
        <v>91</v>
      </c>
      <c r="F67" s="548" t="s">
        <v>167</v>
      </c>
      <c r="G67" s="548" t="s">
        <v>168</v>
      </c>
      <c r="H67" s="548" t="s">
        <v>923</v>
      </c>
      <c r="I67" s="548" t="s">
        <v>924</v>
      </c>
      <c r="J67" s="548" t="s">
        <v>169</v>
      </c>
      <c r="K67" s="548" t="s">
        <v>170</v>
      </c>
      <c r="L67" s="548" t="s">
        <v>171</v>
      </c>
      <c r="M67" s="548" t="s">
        <v>172</v>
      </c>
      <c r="N67" s="548" t="s">
        <v>173</v>
      </c>
      <c r="O67" s="548" t="s">
        <v>174</v>
      </c>
      <c r="P67" s="548" t="s">
        <v>175</v>
      </c>
      <c r="Q67" s="548" t="s">
        <v>176</v>
      </c>
    </row>
    <row r="68" spans="1:17" x14ac:dyDescent="0.25">
      <c r="A68" s="432" t="s">
        <v>905</v>
      </c>
      <c r="C68" s="74">
        <v>85</v>
      </c>
      <c r="F68" s="548">
        <v>1</v>
      </c>
      <c r="G68" s="548">
        <v>0</v>
      </c>
      <c r="H68" s="548">
        <v>1</v>
      </c>
      <c r="I68" s="548">
        <v>5</v>
      </c>
      <c r="J68" s="548">
        <v>3</v>
      </c>
      <c r="K68" s="548">
        <v>0</v>
      </c>
      <c r="L68" s="548">
        <v>0</v>
      </c>
      <c r="M68" s="548">
        <v>22</v>
      </c>
      <c r="N68" s="548">
        <v>2</v>
      </c>
      <c r="O68" s="548">
        <v>0</v>
      </c>
      <c r="P68" s="548">
        <v>1</v>
      </c>
      <c r="Q68" s="548">
        <v>3</v>
      </c>
    </row>
    <row r="69" spans="1:17" x14ac:dyDescent="0.25">
      <c r="A69" s="432" t="s">
        <v>92</v>
      </c>
      <c r="B69" s="74">
        <f t="shared" ref="B69:B74" si="5">C68</f>
        <v>85</v>
      </c>
      <c r="C69" s="74">
        <v>170</v>
      </c>
    </row>
    <row r="70" spans="1:17" x14ac:dyDescent="0.25">
      <c r="A70" s="432" t="s">
        <v>946</v>
      </c>
      <c r="B70" s="74">
        <f t="shared" si="5"/>
        <v>170</v>
      </c>
      <c r="C70" s="74">
        <v>215</v>
      </c>
      <c r="F70" s="454" t="s">
        <v>1235</v>
      </c>
      <c r="G70" s="74">
        <v>8</v>
      </c>
      <c r="H70" s="74" t="s">
        <v>1218</v>
      </c>
    </row>
    <row r="71" spans="1:17" x14ac:dyDescent="0.25">
      <c r="A71" s="432" t="s">
        <v>93</v>
      </c>
      <c r="B71" s="74">
        <f t="shared" si="5"/>
        <v>215</v>
      </c>
      <c r="C71" s="74">
        <v>260</v>
      </c>
    </row>
    <row r="72" spans="1:17" x14ac:dyDescent="0.25">
      <c r="A72" s="432" t="s">
        <v>94</v>
      </c>
      <c r="B72" s="74">
        <f t="shared" si="5"/>
        <v>260</v>
      </c>
      <c r="C72" s="74">
        <v>325</v>
      </c>
    </row>
    <row r="73" spans="1:17" x14ac:dyDescent="0.25">
      <c r="A73" s="432" t="s">
        <v>95</v>
      </c>
      <c r="B73" s="74">
        <f t="shared" si="5"/>
        <v>325</v>
      </c>
      <c r="C73" s="74">
        <v>390</v>
      </c>
    </row>
    <row r="74" spans="1:17" x14ac:dyDescent="0.25">
      <c r="A74" s="432" t="s">
        <v>96</v>
      </c>
      <c r="B74" s="74">
        <f t="shared" si="5"/>
        <v>390</v>
      </c>
    </row>
    <row r="75" spans="1:17" x14ac:dyDescent="0.25">
      <c r="A75" s="433" t="s">
        <v>100</v>
      </c>
      <c r="B75" s="434"/>
      <c r="C75" s="434"/>
      <c r="D75" s="434"/>
      <c r="E75" s="434"/>
      <c r="F75" s="972" t="s">
        <v>1214</v>
      </c>
      <c r="G75" s="973"/>
      <c r="H75" s="973"/>
      <c r="I75" s="973"/>
      <c r="J75" s="973"/>
      <c r="K75" s="973"/>
      <c r="L75" s="973"/>
      <c r="M75" s="973"/>
      <c r="N75" s="973"/>
      <c r="O75" s="973"/>
      <c r="P75" s="973"/>
      <c r="Q75" s="973"/>
    </row>
    <row r="76" spans="1:17" x14ac:dyDescent="0.25">
      <c r="A76" s="432" t="s">
        <v>89</v>
      </c>
      <c r="B76" s="432" t="s">
        <v>90</v>
      </c>
      <c r="C76" s="432" t="s">
        <v>91</v>
      </c>
      <c r="F76" s="548" t="s">
        <v>167</v>
      </c>
      <c r="G76" s="548" t="s">
        <v>168</v>
      </c>
      <c r="H76" s="548" t="s">
        <v>923</v>
      </c>
      <c r="I76" s="548" t="s">
        <v>924</v>
      </c>
      <c r="J76" s="548" t="s">
        <v>169</v>
      </c>
      <c r="K76" s="548" t="s">
        <v>170</v>
      </c>
      <c r="L76" s="548" t="s">
        <v>171</v>
      </c>
      <c r="M76" s="548" t="s">
        <v>172</v>
      </c>
      <c r="N76" s="548" t="s">
        <v>173</v>
      </c>
      <c r="O76" s="548" t="s">
        <v>174</v>
      </c>
      <c r="P76" s="548" t="s">
        <v>175</v>
      </c>
      <c r="Q76" s="548" t="s">
        <v>176</v>
      </c>
    </row>
    <row r="77" spans="1:17" x14ac:dyDescent="0.25">
      <c r="A77" s="432" t="s">
        <v>905</v>
      </c>
      <c r="C77" s="74">
        <v>60</v>
      </c>
      <c r="F77" s="548">
        <v>1</v>
      </c>
      <c r="G77" s="548">
        <v>0</v>
      </c>
      <c r="H77" s="548">
        <v>1</v>
      </c>
      <c r="I77" s="548">
        <v>1</v>
      </c>
      <c r="J77" s="548">
        <v>3</v>
      </c>
      <c r="K77" s="548">
        <v>0</v>
      </c>
      <c r="L77" s="548">
        <v>23</v>
      </c>
      <c r="M77" s="548">
        <v>22</v>
      </c>
      <c r="N77" s="548">
        <v>2</v>
      </c>
      <c r="O77" s="548">
        <v>0</v>
      </c>
      <c r="P77" s="548">
        <v>0</v>
      </c>
      <c r="Q77" s="548">
        <v>3</v>
      </c>
    </row>
    <row r="78" spans="1:17" x14ac:dyDescent="0.25">
      <c r="A78" s="432" t="s">
        <v>92</v>
      </c>
      <c r="B78" s="74">
        <f t="shared" ref="B78:B83" si="6">C77</f>
        <v>60</v>
      </c>
      <c r="C78" s="74">
        <v>120</v>
      </c>
    </row>
    <row r="79" spans="1:17" x14ac:dyDescent="0.25">
      <c r="A79" s="432" t="s">
        <v>946</v>
      </c>
      <c r="B79" s="74">
        <f t="shared" si="6"/>
        <v>120</v>
      </c>
      <c r="C79" s="74">
        <v>190</v>
      </c>
      <c r="F79" s="454" t="s">
        <v>1235</v>
      </c>
      <c r="G79" s="74">
        <v>11.5</v>
      </c>
      <c r="H79" s="74" t="s">
        <v>1218</v>
      </c>
    </row>
    <row r="80" spans="1:17" x14ac:dyDescent="0.25">
      <c r="A80" s="432" t="s">
        <v>93</v>
      </c>
      <c r="B80" s="74">
        <f t="shared" si="6"/>
        <v>190</v>
      </c>
      <c r="C80" s="74">
        <v>260</v>
      </c>
    </row>
    <row r="81" spans="1:17" x14ac:dyDescent="0.25">
      <c r="A81" s="432" t="s">
        <v>94</v>
      </c>
      <c r="B81" s="74">
        <f t="shared" si="6"/>
        <v>260</v>
      </c>
      <c r="C81" s="74">
        <v>325</v>
      </c>
    </row>
    <row r="82" spans="1:17" x14ac:dyDescent="0.25">
      <c r="A82" s="432" t="s">
        <v>95</v>
      </c>
      <c r="B82" s="74">
        <f t="shared" si="6"/>
        <v>325</v>
      </c>
      <c r="C82" s="74">
        <v>390</v>
      </c>
    </row>
    <row r="83" spans="1:17" x14ac:dyDescent="0.25">
      <c r="A83" s="432" t="s">
        <v>96</v>
      </c>
      <c r="B83" s="74">
        <f t="shared" si="6"/>
        <v>390</v>
      </c>
    </row>
    <row r="84" spans="1:17" x14ac:dyDescent="0.25">
      <c r="A84" s="433" t="s">
        <v>1143</v>
      </c>
      <c r="B84" s="434"/>
      <c r="C84" s="434"/>
      <c r="D84" s="434"/>
      <c r="E84" s="434"/>
      <c r="F84" s="972" t="s">
        <v>1214</v>
      </c>
      <c r="G84" s="973"/>
      <c r="H84" s="973"/>
      <c r="I84" s="973"/>
      <c r="J84" s="973"/>
      <c r="K84" s="973"/>
      <c r="L84" s="973"/>
      <c r="M84" s="973"/>
      <c r="N84" s="973"/>
      <c r="O84" s="973"/>
      <c r="P84" s="973"/>
      <c r="Q84" s="973"/>
    </row>
    <row r="85" spans="1:17" x14ac:dyDescent="0.25">
      <c r="A85" s="432" t="s">
        <v>89</v>
      </c>
      <c r="B85" s="432" t="s">
        <v>90</v>
      </c>
      <c r="C85" s="432" t="s">
        <v>91</v>
      </c>
      <c r="F85" s="548" t="s">
        <v>167</v>
      </c>
      <c r="G85" s="548" t="s">
        <v>168</v>
      </c>
      <c r="H85" s="548" t="s">
        <v>923</v>
      </c>
      <c r="I85" s="548" t="s">
        <v>924</v>
      </c>
      <c r="J85" s="548" t="s">
        <v>169</v>
      </c>
      <c r="K85" s="548" t="s">
        <v>170</v>
      </c>
      <c r="L85" s="548" t="s">
        <v>171</v>
      </c>
      <c r="M85" s="548" t="s">
        <v>172</v>
      </c>
      <c r="N85" s="548" t="s">
        <v>173</v>
      </c>
      <c r="O85" s="548" t="s">
        <v>174</v>
      </c>
      <c r="P85" s="548" t="s">
        <v>175</v>
      </c>
      <c r="Q85" s="548" t="s">
        <v>176</v>
      </c>
    </row>
    <row r="86" spans="1:17" x14ac:dyDescent="0.25">
      <c r="A86" s="432" t="s">
        <v>905</v>
      </c>
      <c r="C86" s="74">
        <v>135</v>
      </c>
      <c r="F86" s="548">
        <v>0</v>
      </c>
      <c r="G86" s="548">
        <v>0</v>
      </c>
      <c r="H86" s="548">
        <v>0</v>
      </c>
      <c r="I86" s="548">
        <v>0</v>
      </c>
      <c r="J86" s="548">
        <v>0</v>
      </c>
      <c r="K86" s="548">
        <v>0</v>
      </c>
      <c r="L86" s="548">
        <v>0</v>
      </c>
      <c r="M86" s="548">
        <v>0</v>
      </c>
      <c r="N86" s="548">
        <v>0</v>
      </c>
      <c r="O86" s="548">
        <v>0</v>
      </c>
      <c r="P86" s="548">
        <v>0</v>
      </c>
      <c r="Q86" s="548">
        <v>0</v>
      </c>
    </row>
    <row r="87" spans="1:17" x14ac:dyDescent="0.25">
      <c r="A87" s="432" t="s">
        <v>92</v>
      </c>
      <c r="B87" s="74">
        <f t="shared" ref="B87:B92" si="7">C86</f>
        <v>135</v>
      </c>
      <c r="C87" s="74">
        <v>270</v>
      </c>
    </row>
    <row r="88" spans="1:17" x14ac:dyDescent="0.25">
      <c r="A88" s="432" t="s">
        <v>946</v>
      </c>
      <c r="B88" s="74">
        <f t="shared" si="7"/>
        <v>270</v>
      </c>
      <c r="C88" s="74">
        <v>355</v>
      </c>
      <c r="F88" s="454" t="s">
        <v>1235</v>
      </c>
      <c r="G88" s="74">
        <v>75</v>
      </c>
      <c r="H88" s="74" t="s">
        <v>1218</v>
      </c>
    </row>
    <row r="89" spans="1:17" x14ac:dyDescent="0.25">
      <c r="A89" s="432" t="s">
        <v>93</v>
      </c>
      <c r="B89" s="74">
        <f t="shared" si="7"/>
        <v>355</v>
      </c>
      <c r="C89" s="74">
        <v>440</v>
      </c>
    </row>
    <row r="90" spans="1:17" x14ac:dyDescent="0.25">
      <c r="A90" s="432" t="s">
        <v>94</v>
      </c>
      <c r="B90" s="74">
        <f t="shared" si="7"/>
        <v>440</v>
      </c>
      <c r="C90" s="74">
        <v>550</v>
      </c>
    </row>
    <row r="91" spans="1:17" x14ac:dyDescent="0.25">
      <c r="A91" s="432" t="s">
        <v>95</v>
      </c>
      <c r="B91" s="74">
        <f t="shared" si="7"/>
        <v>550</v>
      </c>
      <c r="C91" s="74">
        <v>660</v>
      </c>
    </row>
    <row r="92" spans="1:17" x14ac:dyDescent="0.25">
      <c r="A92" s="432" t="s">
        <v>96</v>
      </c>
      <c r="B92" s="74">
        <f t="shared" si="7"/>
        <v>660</v>
      </c>
    </row>
    <row r="93" spans="1:17" x14ac:dyDescent="0.25">
      <c r="A93" s="433" t="s">
        <v>101</v>
      </c>
      <c r="B93" s="434"/>
      <c r="C93" s="434"/>
      <c r="D93" s="434"/>
      <c r="E93" s="434"/>
      <c r="F93" s="972" t="s">
        <v>1214</v>
      </c>
      <c r="G93" s="973"/>
      <c r="H93" s="973"/>
      <c r="I93" s="973"/>
      <c r="J93" s="973"/>
      <c r="K93" s="973"/>
      <c r="L93" s="973"/>
      <c r="M93" s="973"/>
      <c r="N93" s="973"/>
      <c r="O93" s="973"/>
      <c r="P93" s="973"/>
      <c r="Q93" s="973"/>
    </row>
    <row r="94" spans="1:17" x14ac:dyDescent="0.25">
      <c r="A94" s="432" t="s">
        <v>89</v>
      </c>
      <c r="B94" s="432" t="s">
        <v>90</v>
      </c>
      <c r="C94" s="432" t="s">
        <v>91</v>
      </c>
      <c r="F94" s="548" t="s">
        <v>167</v>
      </c>
      <c r="G94" s="548" t="s">
        <v>168</v>
      </c>
      <c r="H94" s="548" t="s">
        <v>923</v>
      </c>
      <c r="I94" s="548" t="s">
        <v>924</v>
      </c>
      <c r="J94" s="548" t="s">
        <v>169</v>
      </c>
      <c r="K94" s="548" t="s">
        <v>170</v>
      </c>
      <c r="L94" s="548" t="s">
        <v>171</v>
      </c>
      <c r="M94" s="548" t="s">
        <v>172</v>
      </c>
      <c r="N94" s="548" t="s">
        <v>173</v>
      </c>
      <c r="O94" s="548" t="s">
        <v>174</v>
      </c>
      <c r="P94" s="548" t="s">
        <v>175</v>
      </c>
      <c r="Q94" s="548" t="s">
        <v>176</v>
      </c>
    </row>
    <row r="95" spans="1:17" x14ac:dyDescent="0.25">
      <c r="A95" s="432" t="s">
        <v>905</v>
      </c>
      <c r="C95" s="74">
        <v>165</v>
      </c>
      <c r="F95" s="548">
        <v>0</v>
      </c>
      <c r="G95" s="548">
        <v>0</v>
      </c>
      <c r="H95" s="548">
        <v>0</v>
      </c>
      <c r="I95" s="548">
        <v>0</v>
      </c>
      <c r="J95" s="548">
        <v>0</v>
      </c>
      <c r="K95" s="548">
        <v>0</v>
      </c>
      <c r="L95" s="548">
        <v>0</v>
      </c>
      <c r="M95" s="548">
        <v>0</v>
      </c>
      <c r="N95" s="548">
        <v>0</v>
      </c>
      <c r="O95" s="548">
        <v>0</v>
      </c>
      <c r="P95" s="548">
        <v>0</v>
      </c>
      <c r="Q95" s="548">
        <v>0</v>
      </c>
    </row>
    <row r="96" spans="1:17" x14ac:dyDescent="0.25">
      <c r="A96" s="432" t="s">
        <v>92</v>
      </c>
      <c r="B96" s="74">
        <f t="shared" ref="B96:B101" si="8">C95</f>
        <v>165</v>
      </c>
      <c r="C96" s="74">
        <v>330</v>
      </c>
    </row>
    <row r="97" spans="1:17" x14ac:dyDescent="0.25">
      <c r="A97" s="432" t="s">
        <v>946</v>
      </c>
      <c r="B97" s="74">
        <f t="shared" si="8"/>
        <v>330</v>
      </c>
      <c r="C97" s="74">
        <v>385</v>
      </c>
      <c r="F97" s="454" t="s">
        <v>1235</v>
      </c>
      <c r="G97" s="74">
        <v>140</v>
      </c>
      <c r="H97" s="74" t="s">
        <v>1218</v>
      </c>
    </row>
    <row r="98" spans="1:17" x14ac:dyDescent="0.25">
      <c r="A98" s="432" t="s">
        <v>93</v>
      </c>
      <c r="B98" s="74">
        <f t="shared" si="8"/>
        <v>385</v>
      </c>
      <c r="C98" s="74">
        <v>440</v>
      </c>
    </row>
    <row r="99" spans="1:17" x14ac:dyDescent="0.25">
      <c r="A99" s="432" t="s">
        <v>94</v>
      </c>
      <c r="B99" s="74">
        <f t="shared" si="8"/>
        <v>440</v>
      </c>
      <c r="C99" s="74">
        <v>550</v>
      </c>
    </row>
    <row r="100" spans="1:17" x14ac:dyDescent="0.25">
      <c r="A100" s="432" t="s">
        <v>95</v>
      </c>
      <c r="B100" s="74">
        <f t="shared" si="8"/>
        <v>550</v>
      </c>
      <c r="C100" s="74">
        <v>660</v>
      </c>
    </row>
    <row r="101" spans="1:17" x14ac:dyDescent="0.25">
      <c r="A101" s="432" t="s">
        <v>96</v>
      </c>
      <c r="B101" s="74">
        <f t="shared" si="8"/>
        <v>660</v>
      </c>
    </row>
    <row r="102" spans="1:17" x14ac:dyDescent="0.25">
      <c r="A102" s="433" t="s">
        <v>102</v>
      </c>
      <c r="B102" s="434"/>
      <c r="C102" s="434"/>
      <c r="D102" s="434"/>
      <c r="E102" s="434"/>
      <c r="F102" s="972" t="s">
        <v>1214</v>
      </c>
      <c r="G102" s="973"/>
      <c r="H102" s="973"/>
      <c r="I102" s="973"/>
      <c r="J102" s="973"/>
      <c r="K102" s="973"/>
      <c r="L102" s="973"/>
      <c r="M102" s="973"/>
      <c r="N102" s="973"/>
      <c r="O102" s="973"/>
      <c r="P102" s="973"/>
      <c r="Q102" s="973"/>
    </row>
    <row r="103" spans="1:17" x14ac:dyDescent="0.25">
      <c r="A103" s="432" t="s">
        <v>89</v>
      </c>
      <c r="B103" s="432" t="s">
        <v>90</v>
      </c>
      <c r="C103" s="432" t="s">
        <v>91</v>
      </c>
      <c r="F103" s="548" t="s">
        <v>167</v>
      </c>
      <c r="G103" s="548" t="s">
        <v>168</v>
      </c>
      <c r="H103" s="548" t="s">
        <v>923</v>
      </c>
      <c r="I103" s="548" t="s">
        <v>924</v>
      </c>
      <c r="J103" s="548" t="s">
        <v>169</v>
      </c>
      <c r="K103" s="548" t="s">
        <v>170</v>
      </c>
      <c r="L103" s="548" t="s">
        <v>171</v>
      </c>
      <c r="M103" s="548" t="s">
        <v>172</v>
      </c>
      <c r="N103" s="548" t="s">
        <v>173</v>
      </c>
      <c r="O103" s="548" t="s">
        <v>174</v>
      </c>
      <c r="P103" s="548" t="s">
        <v>175</v>
      </c>
      <c r="Q103" s="548" t="s">
        <v>176</v>
      </c>
    </row>
    <row r="104" spans="1:17" x14ac:dyDescent="0.25">
      <c r="A104" s="432" t="s">
        <v>905</v>
      </c>
      <c r="C104" s="74">
        <v>275</v>
      </c>
      <c r="F104" s="548">
        <v>1</v>
      </c>
      <c r="G104" s="548">
        <v>0</v>
      </c>
      <c r="H104" s="548">
        <v>0</v>
      </c>
      <c r="I104" s="548">
        <v>0</v>
      </c>
      <c r="J104" s="548">
        <v>0</v>
      </c>
      <c r="K104" s="548">
        <v>0</v>
      </c>
      <c r="L104" s="548">
        <v>0</v>
      </c>
      <c r="M104" s="548">
        <v>0</v>
      </c>
      <c r="N104" s="548">
        <v>0</v>
      </c>
      <c r="O104" s="548">
        <v>0</v>
      </c>
      <c r="P104" s="548">
        <v>0</v>
      </c>
      <c r="Q104" s="548">
        <v>2</v>
      </c>
    </row>
    <row r="105" spans="1:17" x14ac:dyDescent="0.25">
      <c r="A105" s="432" t="s">
        <v>92</v>
      </c>
      <c r="B105" s="74">
        <f t="shared" ref="B105:B110" si="9">C104</f>
        <v>275</v>
      </c>
      <c r="C105" s="74">
        <v>550</v>
      </c>
    </row>
    <row r="106" spans="1:17" x14ac:dyDescent="0.25">
      <c r="A106" s="432" t="s">
        <v>946</v>
      </c>
      <c r="B106" s="74">
        <f t="shared" si="9"/>
        <v>550</v>
      </c>
      <c r="C106" s="74">
        <v>600</v>
      </c>
      <c r="F106" s="454" t="s">
        <v>1235</v>
      </c>
      <c r="G106" s="74">
        <v>5</v>
      </c>
      <c r="H106" s="74" t="s">
        <v>1218</v>
      </c>
    </row>
    <row r="107" spans="1:17" x14ac:dyDescent="0.25">
      <c r="A107" s="432" t="s">
        <v>93</v>
      </c>
      <c r="B107" s="74">
        <f t="shared" si="9"/>
        <v>600</v>
      </c>
      <c r="C107" s="74">
        <v>650</v>
      </c>
    </row>
    <row r="108" spans="1:17" x14ac:dyDescent="0.25">
      <c r="A108" s="432" t="s">
        <v>94</v>
      </c>
      <c r="B108" s="74">
        <f t="shared" si="9"/>
        <v>650</v>
      </c>
      <c r="C108" s="74">
        <v>813</v>
      </c>
    </row>
    <row r="109" spans="1:17" x14ac:dyDescent="0.25">
      <c r="A109" s="432" t="s">
        <v>95</v>
      </c>
      <c r="B109" s="74">
        <f t="shared" si="9"/>
        <v>813</v>
      </c>
      <c r="C109" s="74">
        <v>975</v>
      </c>
    </row>
    <row r="110" spans="1:17" x14ac:dyDescent="0.25">
      <c r="A110" s="432" t="s">
        <v>96</v>
      </c>
      <c r="B110" s="74">
        <f t="shared" si="9"/>
        <v>975</v>
      </c>
    </row>
    <row r="111" spans="1:17" x14ac:dyDescent="0.25">
      <c r="A111" s="433" t="s">
        <v>103</v>
      </c>
      <c r="B111" s="434"/>
      <c r="C111" s="434"/>
      <c r="D111" s="434"/>
      <c r="E111" s="434"/>
      <c r="F111" s="972" t="s">
        <v>1214</v>
      </c>
      <c r="G111" s="973"/>
      <c r="H111" s="973"/>
      <c r="I111" s="973"/>
      <c r="J111" s="973"/>
      <c r="K111" s="973"/>
      <c r="L111" s="973"/>
      <c r="M111" s="973"/>
      <c r="N111" s="973"/>
      <c r="O111" s="973"/>
      <c r="P111" s="973"/>
      <c r="Q111" s="973"/>
    </row>
    <row r="112" spans="1:17" x14ac:dyDescent="0.25">
      <c r="A112" s="432" t="s">
        <v>89</v>
      </c>
      <c r="B112" s="432" t="s">
        <v>90</v>
      </c>
      <c r="C112" s="432" t="s">
        <v>91</v>
      </c>
      <c r="F112" s="548" t="s">
        <v>167</v>
      </c>
      <c r="G112" s="548" t="s">
        <v>168</v>
      </c>
      <c r="H112" s="548" t="s">
        <v>923</v>
      </c>
      <c r="I112" s="548" t="s">
        <v>924</v>
      </c>
      <c r="J112" s="548" t="s">
        <v>169</v>
      </c>
      <c r="K112" s="548" t="s">
        <v>170</v>
      </c>
      <c r="L112" s="548" t="s">
        <v>171</v>
      </c>
      <c r="M112" s="548" t="s">
        <v>172</v>
      </c>
      <c r="N112" s="548" t="s">
        <v>173</v>
      </c>
      <c r="O112" s="548" t="s">
        <v>174</v>
      </c>
      <c r="P112" s="548" t="s">
        <v>175</v>
      </c>
      <c r="Q112" s="548" t="s">
        <v>176</v>
      </c>
    </row>
    <row r="113" spans="1:17" x14ac:dyDescent="0.25">
      <c r="A113" s="432" t="s">
        <v>905</v>
      </c>
      <c r="C113" s="74">
        <v>175</v>
      </c>
      <c r="F113" s="548">
        <v>1</v>
      </c>
      <c r="G113" s="548">
        <v>0</v>
      </c>
      <c r="H113" s="548">
        <v>1</v>
      </c>
      <c r="I113" s="548">
        <v>0</v>
      </c>
      <c r="J113" s="548">
        <v>3</v>
      </c>
      <c r="K113" s="548">
        <v>0</v>
      </c>
      <c r="L113" s="548">
        <v>0</v>
      </c>
      <c r="M113" s="548">
        <v>0</v>
      </c>
      <c r="N113" s="548">
        <v>2</v>
      </c>
      <c r="O113" s="548">
        <v>0</v>
      </c>
      <c r="P113" s="548">
        <v>0</v>
      </c>
      <c r="Q113" s="548">
        <v>3</v>
      </c>
    </row>
    <row r="114" spans="1:17" x14ac:dyDescent="0.25">
      <c r="A114" s="432" t="s">
        <v>92</v>
      </c>
      <c r="B114" s="74">
        <f t="shared" ref="B114:B119" si="10">C113</f>
        <v>175</v>
      </c>
      <c r="C114" s="74">
        <v>350</v>
      </c>
    </row>
    <row r="115" spans="1:17" x14ac:dyDescent="0.25">
      <c r="A115" s="432" t="s">
        <v>946</v>
      </c>
      <c r="B115" s="74">
        <f t="shared" si="10"/>
        <v>350</v>
      </c>
      <c r="C115" s="74">
        <v>400</v>
      </c>
      <c r="F115" s="454" t="s">
        <v>1235</v>
      </c>
      <c r="G115" s="74">
        <v>65</v>
      </c>
      <c r="H115" s="74" t="s">
        <v>1218</v>
      </c>
    </row>
    <row r="116" spans="1:17" x14ac:dyDescent="0.25">
      <c r="A116" s="432" t="s">
        <v>93</v>
      </c>
      <c r="B116" s="74">
        <f t="shared" si="10"/>
        <v>400</v>
      </c>
      <c r="C116" s="74">
        <v>450</v>
      </c>
    </row>
    <row r="117" spans="1:17" x14ac:dyDescent="0.25">
      <c r="A117" s="432" t="s">
        <v>94</v>
      </c>
      <c r="B117" s="74">
        <f t="shared" si="10"/>
        <v>450</v>
      </c>
      <c r="C117" s="74">
        <v>563</v>
      </c>
    </row>
    <row r="118" spans="1:17" x14ac:dyDescent="0.25">
      <c r="A118" s="432" t="s">
        <v>95</v>
      </c>
      <c r="B118" s="74">
        <f t="shared" si="10"/>
        <v>563</v>
      </c>
      <c r="C118" s="74">
        <v>675</v>
      </c>
    </row>
    <row r="119" spans="1:17" x14ac:dyDescent="0.25">
      <c r="A119" s="432" t="s">
        <v>96</v>
      </c>
      <c r="B119" s="74">
        <f t="shared" si="10"/>
        <v>675</v>
      </c>
    </row>
    <row r="120" spans="1:17" x14ac:dyDescent="0.25">
      <c r="A120" s="433" t="s">
        <v>104</v>
      </c>
      <c r="B120" s="434"/>
      <c r="C120" s="434"/>
      <c r="D120" s="434"/>
      <c r="E120" s="434"/>
      <c r="F120" s="972" t="s">
        <v>1214</v>
      </c>
      <c r="G120" s="973"/>
      <c r="H120" s="973"/>
      <c r="I120" s="973"/>
      <c r="J120" s="973"/>
      <c r="K120" s="973"/>
      <c r="L120" s="973"/>
      <c r="M120" s="973"/>
      <c r="N120" s="973"/>
      <c r="O120" s="973"/>
      <c r="P120" s="973"/>
      <c r="Q120" s="973"/>
    </row>
    <row r="121" spans="1:17" x14ac:dyDescent="0.25">
      <c r="A121" s="432" t="s">
        <v>89</v>
      </c>
      <c r="B121" s="432" t="s">
        <v>90</v>
      </c>
      <c r="C121" s="432" t="s">
        <v>91</v>
      </c>
      <c r="F121" s="548" t="s">
        <v>167</v>
      </c>
      <c r="G121" s="548" t="s">
        <v>168</v>
      </c>
      <c r="H121" s="548" t="s">
        <v>923</v>
      </c>
      <c r="I121" s="548" t="s">
        <v>924</v>
      </c>
      <c r="J121" s="548" t="s">
        <v>169</v>
      </c>
      <c r="K121" s="548" t="s">
        <v>170</v>
      </c>
      <c r="L121" s="548" t="s">
        <v>171</v>
      </c>
      <c r="M121" s="548" t="s">
        <v>172</v>
      </c>
      <c r="N121" s="548" t="s">
        <v>173</v>
      </c>
      <c r="O121" s="548" t="s">
        <v>174</v>
      </c>
      <c r="P121" s="548" t="s">
        <v>175</v>
      </c>
      <c r="Q121" s="548" t="s">
        <v>176</v>
      </c>
    </row>
    <row r="122" spans="1:17" x14ac:dyDescent="0.25">
      <c r="A122" s="432" t="s">
        <v>905</v>
      </c>
      <c r="C122" s="74">
        <v>110</v>
      </c>
      <c r="F122" s="548">
        <v>1</v>
      </c>
      <c r="G122" s="548">
        <v>0</v>
      </c>
      <c r="H122" s="548">
        <v>1</v>
      </c>
      <c r="I122" s="548">
        <v>1</v>
      </c>
      <c r="J122" s="548">
        <v>3</v>
      </c>
      <c r="K122" s="548">
        <v>0</v>
      </c>
      <c r="L122" s="548">
        <v>0</v>
      </c>
      <c r="M122" s="548">
        <v>22</v>
      </c>
      <c r="N122" s="548">
        <v>2</v>
      </c>
      <c r="O122" s="548">
        <v>0</v>
      </c>
      <c r="P122" s="548">
        <v>0</v>
      </c>
      <c r="Q122" s="548">
        <v>3</v>
      </c>
    </row>
    <row r="123" spans="1:17" x14ac:dyDescent="0.25">
      <c r="A123" s="432" t="s">
        <v>92</v>
      </c>
      <c r="B123" s="74">
        <f t="shared" ref="B123:B128" si="11">C122</f>
        <v>110</v>
      </c>
      <c r="C123" s="74">
        <v>220</v>
      </c>
    </row>
    <row r="124" spans="1:17" x14ac:dyDescent="0.25">
      <c r="A124" s="432" t="s">
        <v>946</v>
      </c>
      <c r="B124" s="74">
        <f t="shared" si="11"/>
        <v>220</v>
      </c>
      <c r="C124" s="74">
        <v>270</v>
      </c>
      <c r="F124" s="454" t="s">
        <v>1235</v>
      </c>
      <c r="G124" s="74">
        <v>5</v>
      </c>
      <c r="H124" s="74" t="s">
        <v>1218</v>
      </c>
    </row>
    <row r="125" spans="1:17" x14ac:dyDescent="0.25">
      <c r="A125" s="432" t="s">
        <v>93</v>
      </c>
      <c r="B125" s="74">
        <f t="shared" si="11"/>
        <v>270</v>
      </c>
      <c r="C125" s="74">
        <v>320</v>
      </c>
    </row>
    <row r="126" spans="1:17" x14ac:dyDescent="0.25">
      <c r="A126" s="432" t="s">
        <v>94</v>
      </c>
      <c r="B126" s="74">
        <f t="shared" si="11"/>
        <v>320</v>
      </c>
      <c r="C126" s="74">
        <v>400</v>
      </c>
    </row>
    <row r="127" spans="1:17" x14ac:dyDescent="0.25">
      <c r="A127" s="432" t="s">
        <v>95</v>
      </c>
      <c r="B127" s="74">
        <f t="shared" si="11"/>
        <v>400</v>
      </c>
      <c r="C127" s="74">
        <v>480</v>
      </c>
    </row>
    <row r="128" spans="1:17" x14ac:dyDescent="0.25">
      <c r="A128" s="432" t="s">
        <v>96</v>
      </c>
      <c r="B128" s="74">
        <f t="shared" si="11"/>
        <v>480</v>
      </c>
    </row>
    <row r="132" spans="1:18" ht="15.6" thickBot="1" x14ac:dyDescent="0.3"/>
    <row r="133" spans="1:18" x14ac:dyDescent="0.25">
      <c r="A133" s="968" t="s">
        <v>1092</v>
      </c>
      <c r="B133" s="966" t="s">
        <v>1091</v>
      </c>
      <c r="C133" s="966"/>
      <c r="D133" s="966"/>
      <c r="E133" s="966"/>
      <c r="F133" s="966"/>
      <c r="G133" s="966"/>
      <c r="H133" s="966"/>
      <c r="I133" s="966"/>
      <c r="J133" s="966"/>
      <c r="K133" s="966"/>
      <c r="L133" s="966"/>
      <c r="M133" s="966"/>
      <c r="N133" s="966"/>
      <c r="O133" s="967"/>
    </row>
    <row r="134" spans="1:18" x14ac:dyDescent="0.25">
      <c r="A134" s="969"/>
      <c r="B134" s="565" t="s">
        <v>1090</v>
      </c>
      <c r="C134" s="565"/>
      <c r="D134" s="565"/>
      <c r="E134" s="565"/>
      <c r="F134" s="565"/>
      <c r="G134" s="565"/>
      <c r="H134" s="565"/>
      <c r="I134" s="565"/>
      <c r="J134" s="565"/>
      <c r="K134" s="565"/>
      <c r="L134" s="565"/>
      <c r="M134" s="565"/>
      <c r="N134" s="565"/>
      <c r="O134" s="965"/>
    </row>
    <row r="135" spans="1:18" ht="18.600000000000001" thickBot="1" x14ac:dyDescent="0.45">
      <c r="A135" s="970"/>
      <c r="B135" s="77">
        <v>30</v>
      </c>
      <c r="C135" s="77">
        <v>35</v>
      </c>
      <c r="D135" s="77">
        <v>40</v>
      </c>
      <c r="E135" s="77">
        <v>45</v>
      </c>
      <c r="F135" s="77">
        <v>50</v>
      </c>
      <c r="G135" s="77">
        <v>55</v>
      </c>
      <c r="H135" s="77">
        <v>60</v>
      </c>
      <c r="I135" s="77">
        <v>65</v>
      </c>
      <c r="J135" s="77">
        <v>70</v>
      </c>
      <c r="K135" s="77">
        <v>75</v>
      </c>
      <c r="L135" s="77">
        <v>80</v>
      </c>
      <c r="M135" s="77">
        <v>85</v>
      </c>
      <c r="N135" s="77">
        <v>90</v>
      </c>
      <c r="O135" s="77">
        <v>95</v>
      </c>
      <c r="Q135" s="32" t="s">
        <v>0</v>
      </c>
      <c r="R135" s="81">
        <v>-10</v>
      </c>
    </row>
    <row r="136" spans="1:18" ht="18" x14ac:dyDescent="0.4">
      <c r="A136" s="75">
        <v>30</v>
      </c>
      <c r="B136" s="75">
        <v>10.5</v>
      </c>
      <c r="C136" s="75">
        <v>12.9</v>
      </c>
      <c r="D136" s="75">
        <v>14.9</v>
      </c>
      <c r="E136" s="75">
        <v>16.8</v>
      </c>
      <c r="F136" s="75">
        <v>18.399999999999999</v>
      </c>
      <c r="G136" s="75">
        <v>20.2</v>
      </c>
      <c r="H136" s="75">
        <v>21.4</v>
      </c>
      <c r="I136" s="75">
        <v>22.7</v>
      </c>
      <c r="J136" s="75">
        <v>23.9</v>
      </c>
      <c r="K136" s="75">
        <v>25</v>
      </c>
      <c r="L136" s="75">
        <v>26.2</v>
      </c>
      <c r="M136" s="75">
        <v>27.2</v>
      </c>
      <c r="N136" s="75">
        <v>28.2</v>
      </c>
      <c r="O136" s="75">
        <v>29.1</v>
      </c>
      <c r="Q136" s="32" t="s">
        <v>965</v>
      </c>
      <c r="R136" s="81">
        <v>22</v>
      </c>
    </row>
    <row r="137" spans="1:18" x14ac:dyDescent="0.25">
      <c r="A137" s="76">
        <v>29</v>
      </c>
      <c r="B137" s="76">
        <v>9.6999999999999993</v>
      </c>
      <c r="C137" s="76">
        <v>12</v>
      </c>
      <c r="D137" s="76">
        <v>14</v>
      </c>
      <c r="E137" s="76">
        <v>15.9</v>
      </c>
      <c r="F137" s="76">
        <v>17.5</v>
      </c>
      <c r="G137" s="76">
        <v>19</v>
      </c>
      <c r="H137" s="76">
        <v>20.399999999999999</v>
      </c>
      <c r="I137" s="76">
        <v>21.7</v>
      </c>
      <c r="J137" s="76">
        <v>23</v>
      </c>
      <c r="K137" s="76">
        <v>24.1</v>
      </c>
      <c r="L137" s="76">
        <v>25.2</v>
      </c>
      <c r="M137" s="76">
        <v>26.2</v>
      </c>
      <c r="N137" s="76">
        <v>27.2</v>
      </c>
      <c r="O137" s="76">
        <v>28.1</v>
      </c>
      <c r="Q137" s="53" t="s">
        <v>1</v>
      </c>
      <c r="R137" s="53">
        <v>45</v>
      </c>
    </row>
    <row r="138" spans="1:18" x14ac:dyDescent="0.25">
      <c r="A138" s="76">
        <v>28</v>
      </c>
      <c r="B138" s="76">
        <v>8.8000000000000007</v>
      </c>
      <c r="C138" s="76">
        <v>11.1</v>
      </c>
      <c r="D138" s="76">
        <v>13.1</v>
      </c>
      <c r="E138" s="76">
        <v>15</v>
      </c>
      <c r="F138" s="76">
        <v>16.600000000000001</v>
      </c>
      <c r="G138" s="76">
        <v>18.100000000000001</v>
      </c>
      <c r="H138" s="76">
        <v>19.5</v>
      </c>
      <c r="I138" s="76">
        <v>20.8</v>
      </c>
      <c r="J138" s="76">
        <v>22</v>
      </c>
      <c r="K138" s="76">
        <v>23.2</v>
      </c>
      <c r="L138" s="76">
        <v>24.2</v>
      </c>
      <c r="M138" s="76">
        <v>25.2</v>
      </c>
      <c r="N138" s="76">
        <v>26.2</v>
      </c>
      <c r="O138" s="76">
        <v>27.1</v>
      </c>
    </row>
    <row r="139" spans="1:18" x14ac:dyDescent="0.25">
      <c r="A139" s="76">
        <v>27</v>
      </c>
      <c r="B139" s="76">
        <v>8</v>
      </c>
      <c r="C139" s="76">
        <v>10.199999999999999</v>
      </c>
      <c r="D139" s="76">
        <v>12.2</v>
      </c>
      <c r="E139" s="76">
        <v>14.1</v>
      </c>
      <c r="F139" s="76">
        <v>15.7</v>
      </c>
      <c r="G139" s="76">
        <v>17.2</v>
      </c>
      <c r="H139" s="76">
        <v>18.600000000000001</v>
      </c>
      <c r="I139" s="76">
        <v>19.899999999999999</v>
      </c>
      <c r="J139" s="76">
        <v>21.1</v>
      </c>
      <c r="K139" s="76">
        <v>22.2</v>
      </c>
      <c r="L139" s="76">
        <v>23.3</v>
      </c>
      <c r="M139" s="76">
        <v>24.3</v>
      </c>
      <c r="N139" s="76">
        <v>25.2</v>
      </c>
      <c r="O139" s="76">
        <v>26.1</v>
      </c>
      <c r="Q139" s="53" t="s">
        <v>3</v>
      </c>
      <c r="R139" s="82">
        <f>31-R136</f>
        <v>9</v>
      </c>
    </row>
    <row r="140" spans="1:18" x14ac:dyDescent="0.25">
      <c r="A140" s="76">
        <v>26</v>
      </c>
      <c r="B140" s="76">
        <v>7.1</v>
      </c>
      <c r="C140" s="76">
        <v>9.4</v>
      </c>
      <c r="D140" s="76">
        <v>11.4</v>
      </c>
      <c r="E140" s="76">
        <v>13.2</v>
      </c>
      <c r="F140" s="76">
        <v>14.8</v>
      </c>
      <c r="G140" s="76">
        <v>16.3</v>
      </c>
      <c r="H140" s="76">
        <v>17.600000000000001</v>
      </c>
      <c r="I140" s="76">
        <v>18.899999999999999</v>
      </c>
      <c r="J140" s="76">
        <v>20.100000000000001</v>
      </c>
      <c r="K140" s="76">
        <v>21.2</v>
      </c>
      <c r="L140" s="76">
        <v>22.3</v>
      </c>
      <c r="M140" s="76">
        <v>23.3</v>
      </c>
      <c r="N140" s="76">
        <v>24.2</v>
      </c>
      <c r="O140" s="76">
        <v>25.1</v>
      </c>
      <c r="Q140" s="53" t="s">
        <v>2</v>
      </c>
      <c r="R140" s="53">
        <f>R137/5-5</f>
        <v>4</v>
      </c>
    </row>
    <row r="141" spans="1:18" ht="18" x14ac:dyDescent="0.4">
      <c r="A141" s="76">
        <v>25</v>
      </c>
      <c r="B141" s="76">
        <v>6.2</v>
      </c>
      <c r="C141" s="76">
        <v>8.5</v>
      </c>
      <c r="D141" s="76">
        <v>10.5</v>
      </c>
      <c r="E141" s="76">
        <v>12.2</v>
      </c>
      <c r="F141" s="76">
        <v>13.9</v>
      </c>
      <c r="G141" s="76">
        <v>15.3</v>
      </c>
      <c r="H141" s="76">
        <v>16.7</v>
      </c>
      <c r="I141" s="76">
        <v>18</v>
      </c>
      <c r="J141" s="76">
        <v>19.100000000000001</v>
      </c>
      <c r="K141" s="76">
        <v>20.3</v>
      </c>
      <c r="L141" s="76">
        <v>21.3</v>
      </c>
      <c r="M141" s="76">
        <v>22.2</v>
      </c>
      <c r="N141" s="76">
        <v>23.2</v>
      </c>
      <c r="O141" s="76">
        <v>24.1</v>
      </c>
      <c r="Q141" s="32" t="s">
        <v>964</v>
      </c>
      <c r="R141" s="53">
        <f>INDEX(B136:O156,R139,R140)</f>
        <v>9.5</v>
      </c>
    </row>
    <row r="142" spans="1:18" x14ac:dyDescent="0.25">
      <c r="A142" s="76">
        <v>24</v>
      </c>
      <c r="B142" s="76">
        <v>5.4</v>
      </c>
      <c r="C142" s="76">
        <v>7.6</v>
      </c>
      <c r="D142" s="76">
        <v>9.6</v>
      </c>
      <c r="E142" s="76">
        <v>11.3</v>
      </c>
      <c r="F142" s="76">
        <v>12.9</v>
      </c>
      <c r="G142" s="76">
        <v>14.4</v>
      </c>
      <c r="H142" s="76">
        <v>15.8</v>
      </c>
      <c r="I142" s="76">
        <v>17</v>
      </c>
      <c r="J142" s="76">
        <v>18.2</v>
      </c>
      <c r="K142" s="76">
        <v>19.3</v>
      </c>
      <c r="L142" s="76">
        <v>20.3</v>
      </c>
      <c r="M142" s="76">
        <v>21.3</v>
      </c>
      <c r="N142" s="76">
        <v>22.2</v>
      </c>
      <c r="O142" s="76">
        <v>23.1</v>
      </c>
    </row>
    <row r="143" spans="1:18" x14ac:dyDescent="0.25">
      <c r="A143" s="76">
        <v>23</v>
      </c>
      <c r="B143" s="76">
        <v>4.5</v>
      </c>
      <c r="C143" s="76">
        <v>6.7</v>
      </c>
      <c r="D143" s="76">
        <v>8.6999999999999993</v>
      </c>
      <c r="E143" s="76">
        <v>10.4</v>
      </c>
      <c r="F143" s="76">
        <v>12</v>
      </c>
      <c r="G143" s="76">
        <v>13.5</v>
      </c>
      <c r="H143" s="76">
        <v>14.8</v>
      </c>
      <c r="I143" s="76">
        <v>16.100000000000001</v>
      </c>
      <c r="J143" s="76">
        <v>17.2</v>
      </c>
      <c r="K143" s="76">
        <v>18.3</v>
      </c>
      <c r="L143" s="76">
        <v>19.399999999999999</v>
      </c>
      <c r="M143" s="76">
        <v>20.3</v>
      </c>
      <c r="N143" s="76">
        <v>21.3</v>
      </c>
      <c r="O143" s="76">
        <v>22.2</v>
      </c>
    </row>
    <row r="144" spans="1:18" x14ac:dyDescent="0.25">
      <c r="A144" s="76">
        <v>22</v>
      </c>
      <c r="B144" s="76">
        <v>3.6</v>
      </c>
      <c r="C144" s="76">
        <v>5.9</v>
      </c>
      <c r="D144" s="76">
        <v>7.8</v>
      </c>
      <c r="E144" s="76">
        <v>9.5</v>
      </c>
      <c r="F144" s="76">
        <v>11.1</v>
      </c>
      <c r="G144" s="76">
        <v>12.5</v>
      </c>
      <c r="H144" s="76">
        <v>13.9</v>
      </c>
      <c r="I144" s="76">
        <v>15.1</v>
      </c>
      <c r="J144" s="76">
        <v>16.3</v>
      </c>
      <c r="K144" s="76">
        <v>17.399999999999999</v>
      </c>
      <c r="L144" s="76">
        <v>18.399999999999999</v>
      </c>
      <c r="M144" s="76">
        <v>19.399999999999999</v>
      </c>
      <c r="N144" s="76">
        <v>20.3</v>
      </c>
      <c r="O144" s="76">
        <v>21.2</v>
      </c>
    </row>
    <row r="145" spans="1:15" x14ac:dyDescent="0.25">
      <c r="A145" s="76">
        <v>21</v>
      </c>
      <c r="B145" s="76">
        <v>2.8</v>
      </c>
      <c r="C145" s="76">
        <v>5</v>
      </c>
      <c r="D145" s="76">
        <v>6.9</v>
      </c>
      <c r="E145" s="76">
        <v>8.6</v>
      </c>
      <c r="F145" s="76">
        <v>10.199999999999999</v>
      </c>
      <c r="G145" s="76">
        <v>11.6</v>
      </c>
      <c r="H145" s="76">
        <v>12.9</v>
      </c>
      <c r="I145" s="76">
        <v>14.2</v>
      </c>
      <c r="J145" s="76">
        <v>15.3</v>
      </c>
      <c r="K145" s="76">
        <v>16.399999999999999</v>
      </c>
      <c r="L145" s="76">
        <v>17.399999999999999</v>
      </c>
      <c r="M145" s="76">
        <v>18.399999999999999</v>
      </c>
      <c r="N145" s="76">
        <v>19.3</v>
      </c>
      <c r="O145" s="76">
        <v>20.2</v>
      </c>
    </row>
    <row r="146" spans="1:15" x14ac:dyDescent="0.25">
      <c r="A146" s="76">
        <v>20</v>
      </c>
      <c r="B146" s="76">
        <v>1.9</v>
      </c>
      <c r="C146" s="76">
        <v>4.0999999999999996</v>
      </c>
      <c r="D146" s="76">
        <v>6</v>
      </c>
      <c r="E146" s="76">
        <v>7.7</v>
      </c>
      <c r="F146" s="76">
        <v>9.3000000000000007</v>
      </c>
      <c r="G146" s="76">
        <v>10.7</v>
      </c>
      <c r="H146" s="76">
        <v>12</v>
      </c>
      <c r="I146" s="76">
        <v>13.2</v>
      </c>
      <c r="J146" s="76">
        <v>14.4</v>
      </c>
      <c r="K146" s="76">
        <v>15.4</v>
      </c>
      <c r="L146" s="76">
        <v>16.399999999999999</v>
      </c>
      <c r="M146" s="76">
        <v>17.399999999999999</v>
      </c>
      <c r="N146" s="76">
        <v>18.3</v>
      </c>
      <c r="O146" s="76">
        <v>19.2</v>
      </c>
    </row>
    <row r="147" spans="1:15" x14ac:dyDescent="0.25">
      <c r="A147" s="76">
        <v>19</v>
      </c>
      <c r="B147" s="76">
        <v>1</v>
      </c>
      <c r="C147" s="76">
        <v>3.2</v>
      </c>
      <c r="D147" s="76">
        <v>5.0999999999999996</v>
      </c>
      <c r="E147" s="76">
        <v>6.8</v>
      </c>
      <c r="F147" s="76">
        <v>8.3000000000000007</v>
      </c>
      <c r="G147" s="76">
        <v>9.8000000000000007</v>
      </c>
      <c r="H147" s="76">
        <v>11.1</v>
      </c>
      <c r="I147" s="76">
        <v>12.3</v>
      </c>
      <c r="J147" s="76">
        <v>13.4</v>
      </c>
      <c r="K147" s="76">
        <v>14.5</v>
      </c>
      <c r="L147" s="76">
        <v>15.5</v>
      </c>
      <c r="M147" s="76">
        <v>16.399999999999999</v>
      </c>
      <c r="N147" s="76">
        <v>17.3</v>
      </c>
      <c r="O147" s="76">
        <v>18.2</v>
      </c>
    </row>
    <row r="148" spans="1:15" x14ac:dyDescent="0.25">
      <c r="A148" s="76">
        <v>18</v>
      </c>
      <c r="B148" s="76">
        <v>0.2</v>
      </c>
      <c r="C148" s="76">
        <v>2.2999999999999998</v>
      </c>
      <c r="D148" s="76">
        <v>4.2</v>
      </c>
      <c r="E148" s="76">
        <v>5.9</v>
      </c>
      <c r="F148" s="76">
        <v>7.4</v>
      </c>
      <c r="G148" s="76">
        <v>8.8000000000000007</v>
      </c>
      <c r="H148" s="76">
        <v>10.1</v>
      </c>
      <c r="I148" s="76">
        <v>11.3</v>
      </c>
      <c r="J148" s="76">
        <v>12.5</v>
      </c>
      <c r="K148" s="76">
        <v>13.5</v>
      </c>
      <c r="L148" s="76">
        <v>14.5</v>
      </c>
      <c r="M148" s="76">
        <v>15.4</v>
      </c>
      <c r="N148" s="76">
        <v>16.3</v>
      </c>
      <c r="O148" s="76">
        <v>17.2</v>
      </c>
    </row>
    <row r="149" spans="1:15" x14ac:dyDescent="0.25">
      <c r="A149" s="76">
        <v>17</v>
      </c>
      <c r="B149" s="76">
        <v>-0.6</v>
      </c>
      <c r="C149" s="76">
        <v>1.4</v>
      </c>
      <c r="D149" s="76">
        <v>3.3</v>
      </c>
      <c r="E149" s="76">
        <v>5</v>
      </c>
      <c r="F149" s="76">
        <v>6.5</v>
      </c>
      <c r="G149" s="76">
        <v>7.9</v>
      </c>
      <c r="H149" s="76">
        <v>9.1999999999999993</v>
      </c>
      <c r="I149" s="76">
        <v>10.4</v>
      </c>
      <c r="J149" s="76">
        <v>11.5</v>
      </c>
      <c r="K149" s="76">
        <v>12.5</v>
      </c>
      <c r="L149" s="76">
        <v>13.5</v>
      </c>
      <c r="M149" s="76">
        <v>14.5</v>
      </c>
      <c r="N149" s="76">
        <v>15.3</v>
      </c>
      <c r="O149" s="76">
        <v>16.2</v>
      </c>
    </row>
    <row r="150" spans="1:15" x14ac:dyDescent="0.25">
      <c r="A150" s="76">
        <v>16</v>
      </c>
      <c r="B150" s="76">
        <v>-1.4</v>
      </c>
      <c r="C150" s="76">
        <v>0.5</v>
      </c>
      <c r="D150" s="76">
        <v>2.4</v>
      </c>
      <c r="E150" s="76">
        <v>4.0999999999999996</v>
      </c>
      <c r="F150" s="76">
        <v>5.6</v>
      </c>
      <c r="G150" s="76">
        <v>7</v>
      </c>
      <c r="H150" s="76">
        <v>8.1999999999999993</v>
      </c>
      <c r="I150" s="76">
        <v>9.4</v>
      </c>
      <c r="J150" s="76">
        <v>10.5</v>
      </c>
      <c r="K150" s="76">
        <v>11.6</v>
      </c>
      <c r="L150" s="76">
        <v>12.6</v>
      </c>
      <c r="M150" s="76">
        <v>13.5</v>
      </c>
      <c r="N150" s="76">
        <v>14.4</v>
      </c>
      <c r="O150" s="76">
        <v>15.2</v>
      </c>
    </row>
    <row r="151" spans="1:15" x14ac:dyDescent="0.25">
      <c r="A151" s="76">
        <v>15</v>
      </c>
      <c r="B151" s="76">
        <v>-2.2000000000000002</v>
      </c>
      <c r="C151" s="76">
        <v>-0.3</v>
      </c>
      <c r="D151" s="76">
        <v>1.5</v>
      </c>
      <c r="E151" s="76">
        <v>3.2</v>
      </c>
      <c r="F151" s="76">
        <v>4.7</v>
      </c>
      <c r="G151" s="76">
        <v>6.1</v>
      </c>
      <c r="H151" s="76">
        <v>7.3</v>
      </c>
      <c r="I151" s="76">
        <v>8.5</v>
      </c>
      <c r="J151" s="76">
        <v>9.6</v>
      </c>
      <c r="K151" s="76">
        <v>10.6</v>
      </c>
      <c r="L151" s="76">
        <v>11.6</v>
      </c>
      <c r="M151" s="76">
        <v>12.5</v>
      </c>
      <c r="N151" s="76">
        <v>13.4</v>
      </c>
      <c r="O151" s="76">
        <v>14.2</v>
      </c>
    </row>
    <row r="152" spans="1:15" x14ac:dyDescent="0.25">
      <c r="A152" s="76">
        <v>14</v>
      </c>
      <c r="B152" s="76">
        <v>-2.9</v>
      </c>
      <c r="C152" s="76">
        <v>-1</v>
      </c>
      <c r="D152" s="76">
        <v>0.6</v>
      </c>
      <c r="E152" s="76">
        <v>2.2999999999999998</v>
      </c>
      <c r="F152" s="76">
        <v>3.7</v>
      </c>
      <c r="G152" s="76">
        <v>5.0999999999999996</v>
      </c>
      <c r="H152" s="76">
        <v>6.4</v>
      </c>
      <c r="I152" s="76">
        <v>7.5</v>
      </c>
      <c r="J152" s="76">
        <v>8.6</v>
      </c>
      <c r="K152" s="76">
        <v>9.6</v>
      </c>
      <c r="L152" s="76">
        <v>10.6</v>
      </c>
      <c r="M152" s="76">
        <v>11.5</v>
      </c>
      <c r="N152" s="76">
        <v>12.4</v>
      </c>
      <c r="O152" s="76">
        <v>13.2</v>
      </c>
    </row>
    <row r="153" spans="1:15" x14ac:dyDescent="0.25">
      <c r="A153" s="76">
        <v>13</v>
      </c>
      <c r="B153" s="76">
        <v>-3.7</v>
      </c>
      <c r="C153" s="76">
        <v>-1.9</v>
      </c>
      <c r="D153" s="76">
        <v>-0.1</v>
      </c>
      <c r="E153" s="76">
        <v>1.3</v>
      </c>
      <c r="F153" s="76">
        <v>2.8</v>
      </c>
      <c r="G153" s="76">
        <v>4.2</v>
      </c>
      <c r="H153" s="76">
        <v>5.5</v>
      </c>
      <c r="I153" s="76">
        <v>6.6</v>
      </c>
      <c r="J153" s="76">
        <v>7.7</v>
      </c>
      <c r="K153" s="76">
        <v>8.6999999999999993</v>
      </c>
      <c r="L153" s="76">
        <v>9.6</v>
      </c>
      <c r="M153" s="76">
        <v>10.5</v>
      </c>
      <c r="N153" s="76">
        <v>11.4</v>
      </c>
      <c r="O153" s="76">
        <v>12.2</v>
      </c>
    </row>
    <row r="154" spans="1:15" x14ac:dyDescent="0.25">
      <c r="A154" s="76">
        <v>12</v>
      </c>
      <c r="B154" s="76">
        <v>-4.5</v>
      </c>
      <c r="C154" s="76">
        <v>-2.6</v>
      </c>
      <c r="D154" s="76">
        <v>-1</v>
      </c>
      <c r="E154" s="76">
        <v>0.4</v>
      </c>
      <c r="F154" s="76">
        <v>1.9</v>
      </c>
      <c r="G154" s="76">
        <v>3.2</v>
      </c>
      <c r="H154" s="76">
        <v>4.5</v>
      </c>
      <c r="I154" s="76">
        <v>5.7</v>
      </c>
      <c r="J154" s="76">
        <v>6.7</v>
      </c>
      <c r="K154" s="76">
        <v>7.7</v>
      </c>
      <c r="L154" s="76">
        <v>8.6999999999999993</v>
      </c>
      <c r="M154" s="76">
        <v>9.6</v>
      </c>
      <c r="N154" s="76">
        <v>10</v>
      </c>
      <c r="O154" s="76">
        <v>11.2</v>
      </c>
    </row>
    <row r="155" spans="1:15" x14ac:dyDescent="0.25">
      <c r="A155" s="76">
        <v>11</v>
      </c>
      <c r="B155" s="76">
        <v>-5.2</v>
      </c>
      <c r="C155" s="76">
        <v>-3.2</v>
      </c>
      <c r="D155" s="76">
        <v>-1.8</v>
      </c>
      <c r="E155" s="76">
        <v>-0.4</v>
      </c>
      <c r="F155" s="76">
        <v>1</v>
      </c>
      <c r="G155" s="76">
        <v>2.2999999999999998</v>
      </c>
      <c r="H155" s="76">
        <v>3.5</v>
      </c>
      <c r="I155" s="76">
        <v>4.7</v>
      </c>
      <c r="J155" s="76">
        <v>5.8</v>
      </c>
      <c r="K155" s="76">
        <v>6.7</v>
      </c>
      <c r="L155" s="76">
        <v>7.7</v>
      </c>
      <c r="M155" s="76">
        <v>8.6</v>
      </c>
      <c r="N155" s="76">
        <v>9.4</v>
      </c>
      <c r="O155" s="76">
        <v>10.199999999999999</v>
      </c>
    </row>
    <row r="156" spans="1:15" ht="15.6" thickBot="1" x14ac:dyDescent="0.3">
      <c r="A156" s="77">
        <v>10</v>
      </c>
      <c r="B156" s="77">
        <v>-6</v>
      </c>
      <c r="C156" s="77">
        <v>-4.2</v>
      </c>
      <c r="D156" s="77">
        <v>-2.6</v>
      </c>
      <c r="E156" s="77">
        <v>-1.2</v>
      </c>
      <c r="F156" s="77">
        <v>0.1</v>
      </c>
      <c r="G156" s="77">
        <v>1.4</v>
      </c>
      <c r="H156" s="77">
        <v>2.6</v>
      </c>
      <c r="I156" s="77">
        <v>3.7</v>
      </c>
      <c r="J156" s="77">
        <v>4.8</v>
      </c>
      <c r="K156" s="77">
        <v>5.8</v>
      </c>
      <c r="L156" s="77">
        <v>6.7</v>
      </c>
      <c r="M156" s="77">
        <v>7.6</v>
      </c>
      <c r="N156" s="77">
        <v>8.4</v>
      </c>
      <c r="O156" s="77">
        <v>9.1999999999999993</v>
      </c>
    </row>
    <row r="160" spans="1:15" ht="15.6" thickBot="1" x14ac:dyDescent="0.3"/>
    <row r="161" spans="1:16" ht="18.600000000000001" x14ac:dyDescent="0.4">
      <c r="A161" s="79" t="s">
        <v>1094</v>
      </c>
      <c r="B161" s="971" t="s">
        <v>1093</v>
      </c>
      <c r="C161" s="971"/>
      <c r="D161" s="971"/>
      <c r="E161" s="971"/>
      <c r="F161" s="971"/>
      <c r="G161" s="971"/>
      <c r="H161" s="971"/>
      <c r="I161" s="971"/>
      <c r="J161" s="971"/>
      <c r="K161" s="971"/>
    </row>
    <row r="162" spans="1:16" ht="18.600000000000001" thickBot="1" x14ac:dyDescent="0.45">
      <c r="A162" s="80" t="s">
        <v>946</v>
      </c>
      <c r="B162" s="77">
        <v>0</v>
      </c>
      <c r="C162" s="77">
        <v>0.1</v>
      </c>
      <c r="D162" s="77">
        <v>0.2</v>
      </c>
      <c r="E162" s="77">
        <v>0.3</v>
      </c>
      <c r="F162" s="77">
        <v>0.4</v>
      </c>
      <c r="G162" s="77">
        <v>0.5</v>
      </c>
      <c r="H162" s="77">
        <v>0.6</v>
      </c>
      <c r="I162" s="77">
        <v>0.7</v>
      </c>
      <c r="J162" s="77">
        <v>0.8</v>
      </c>
      <c r="K162" s="77">
        <v>0.9</v>
      </c>
      <c r="N162" s="32" t="s">
        <v>0</v>
      </c>
      <c r="O162" s="81">
        <v>-9</v>
      </c>
    </row>
    <row r="163" spans="1:16" x14ac:dyDescent="0.25">
      <c r="A163" s="78">
        <v>30</v>
      </c>
      <c r="B163" s="78">
        <v>4244</v>
      </c>
      <c r="C163" s="78">
        <v>4269</v>
      </c>
      <c r="D163" s="78">
        <v>4294</v>
      </c>
      <c r="E163" s="78">
        <v>4319</v>
      </c>
      <c r="F163" s="78">
        <v>4344</v>
      </c>
      <c r="G163" s="78">
        <v>4369</v>
      </c>
      <c r="H163" s="78">
        <v>4394</v>
      </c>
      <c r="I163" s="78">
        <v>4419</v>
      </c>
      <c r="J163" s="78">
        <v>4445</v>
      </c>
      <c r="K163" s="78">
        <v>4469</v>
      </c>
      <c r="N163" s="53" t="s">
        <v>1</v>
      </c>
      <c r="O163" s="53">
        <v>85</v>
      </c>
    </row>
    <row r="164" spans="1:16" x14ac:dyDescent="0.25">
      <c r="A164" s="76">
        <v>29</v>
      </c>
      <c r="B164" s="76">
        <v>4006</v>
      </c>
      <c r="C164" s="76">
        <v>4030</v>
      </c>
      <c r="D164" s="76">
        <v>4053</v>
      </c>
      <c r="E164" s="76">
        <v>4077</v>
      </c>
      <c r="F164" s="76">
        <v>4101</v>
      </c>
      <c r="G164" s="76">
        <v>4124</v>
      </c>
      <c r="H164" s="76">
        <v>4148</v>
      </c>
      <c r="I164" s="76">
        <v>4172</v>
      </c>
      <c r="J164" s="76">
        <v>4196</v>
      </c>
      <c r="K164" s="76">
        <v>4219</v>
      </c>
    </row>
    <row r="165" spans="1:16" ht="18" x14ac:dyDescent="0.4">
      <c r="A165" s="76">
        <v>28</v>
      </c>
      <c r="B165" s="76">
        <v>3781</v>
      </c>
      <c r="C165" s="76">
        <v>3803</v>
      </c>
      <c r="D165" s="76">
        <v>3826</v>
      </c>
      <c r="E165" s="76">
        <v>3848</v>
      </c>
      <c r="F165" s="76">
        <v>3871</v>
      </c>
      <c r="G165" s="76">
        <v>3894</v>
      </c>
      <c r="H165" s="76">
        <v>3916</v>
      </c>
      <c r="I165" s="76">
        <v>3939</v>
      </c>
      <c r="J165" s="76">
        <v>3961</v>
      </c>
      <c r="K165" s="76">
        <v>3984</v>
      </c>
      <c r="N165" s="32" t="s">
        <v>965</v>
      </c>
      <c r="O165" s="81">
        <v>17.5</v>
      </c>
    </row>
    <row r="166" spans="1:16" x14ac:dyDescent="0.25">
      <c r="A166" s="76">
        <v>27</v>
      </c>
      <c r="B166" s="76">
        <v>3566</v>
      </c>
      <c r="C166" s="76">
        <v>3588</v>
      </c>
      <c r="D166" s="76">
        <v>3609</v>
      </c>
      <c r="E166" s="76">
        <v>3631</v>
      </c>
      <c r="F166" s="76">
        <v>3652</v>
      </c>
      <c r="G166" s="76">
        <v>3674</v>
      </c>
      <c r="H166" s="76">
        <v>3695</v>
      </c>
      <c r="I166" s="76">
        <v>3737</v>
      </c>
      <c r="J166" s="76">
        <v>3793</v>
      </c>
      <c r="K166" s="76">
        <v>3759</v>
      </c>
      <c r="N166" s="53" t="s">
        <v>1</v>
      </c>
      <c r="O166" s="53">
        <v>60</v>
      </c>
    </row>
    <row r="167" spans="1:16" ht="15.6" thickBot="1" x14ac:dyDescent="0.3">
      <c r="A167" s="76">
        <v>26</v>
      </c>
      <c r="B167" s="76">
        <v>3362</v>
      </c>
      <c r="C167" s="76">
        <v>3382</v>
      </c>
      <c r="D167" s="76">
        <v>3403</v>
      </c>
      <c r="E167" s="76">
        <v>3423</v>
      </c>
      <c r="F167" s="76">
        <v>3443</v>
      </c>
      <c r="G167" s="76">
        <v>3463</v>
      </c>
      <c r="H167" s="76">
        <v>3484</v>
      </c>
      <c r="I167" s="76">
        <v>3504</v>
      </c>
      <c r="J167" s="76">
        <v>3525</v>
      </c>
      <c r="K167" s="76">
        <v>3544</v>
      </c>
      <c r="N167" s="53"/>
      <c r="O167" s="53"/>
    </row>
    <row r="168" spans="1:16" x14ac:dyDescent="0.25">
      <c r="A168" s="76">
        <v>25</v>
      </c>
      <c r="B168" s="76">
        <v>3169</v>
      </c>
      <c r="C168" s="76">
        <v>3188</v>
      </c>
      <c r="D168" s="76">
        <v>3208</v>
      </c>
      <c r="E168" s="76">
        <v>3227</v>
      </c>
      <c r="F168" s="76">
        <v>3246</v>
      </c>
      <c r="G168" s="76">
        <v>3266</v>
      </c>
      <c r="H168" s="76">
        <v>3284</v>
      </c>
      <c r="I168" s="76">
        <v>3304</v>
      </c>
      <c r="J168" s="76">
        <v>3324</v>
      </c>
      <c r="K168" s="76">
        <v>3343</v>
      </c>
      <c r="M168" s="84"/>
      <c r="N168" s="85" t="s">
        <v>4</v>
      </c>
      <c r="O168" s="93">
        <f>TRUNC(O162)</f>
        <v>-9</v>
      </c>
      <c r="P168" s="86"/>
    </row>
    <row r="169" spans="1:16" x14ac:dyDescent="0.25">
      <c r="A169" s="76">
        <v>24</v>
      </c>
      <c r="B169" s="76">
        <v>2985</v>
      </c>
      <c r="C169" s="76">
        <v>3003</v>
      </c>
      <c r="D169" s="76">
        <v>3021</v>
      </c>
      <c r="E169" s="76">
        <v>3040</v>
      </c>
      <c r="F169" s="76">
        <v>3059</v>
      </c>
      <c r="G169" s="76">
        <v>3077</v>
      </c>
      <c r="H169" s="76">
        <v>3095</v>
      </c>
      <c r="I169" s="76">
        <v>3114</v>
      </c>
      <c r="J169" s="76">
        <v>3132</v>
      </c>
      <c r="K169" s="76">
        <v>3151</v>
      </c>
      <c r="M169" s="87"/>
      <c r="N169" s="26" t="s">
        <v>5</v>
      </c>
      <c r="O169" s="89">
        <f>ABS(O162-O168)</f>
        <v>0</v>
      </c>
      <c r="P169" s="88"/>
    </row>
    <row r="170" spans="1:16" x14ac:dyDescent="0.25">
      <c r="A170" s="76">
        <v>23</v>
      </c>
      <c r="B170" s="76">
        <v>2810</v>
      </c>
      <c r="C170" s="76">
        <v>2827</v>
      </c>
      <c r="D170" s="76">
        <v>2845</v>
      </c>
      <c r="E170" s="76">
        <v>2863</v>
      </c>
      <c r="F170" s="76">
        <v>2880</v>
      </c>
      <c r="G170" s="76">
        <v>3897</v>
      </c>
      <c r="H170" s="76">
        <v>2915</v>
      </c>
      <c r="I170" s="76">
        <v>2932</v>
      </c>
      <c r="J170" s="76">
        <v>2950</v>
      </c>
      <c r="K170" s="76">
        <v>2968</v>
      </c>
      <c r="M170" s="87"/>
      <c r="N170" s="26"/>
      <c r="O170" s="26"/>
      <c r="P170" s="88"/>
    </row>
    <row r="171" spans="1:16" x14ac:dyDescent="0.25">
      <c r="A171" s="76">
        <v>22</v>
      </c>
      <c r="B171" s="76">
        <v>2645</v>
      </c>
      <c r="C171" s="76">
        <v>2661</v>
      </c>
      <c r="D171" s="76">
        <v>2678</v>
      </c>
      <c r="E171" s="76">
        <v>2695</v>
      </c>
      <c r="F171" s="76">
        <v>2711</v>
      </c>
      <c r="G171" s="76">
        <v>2727</v>
      </c>
      <c r="H171" s="76">
        <v>2744</v>
      </c>
      <c r="I171" s="76">
        <v>2761</v>
      </c>
      <c r="J171" s="76">
        <v>2777</v>
      </c>
      <c r="K171" s="76">
        <v>2794</v>
      </c>
      <c r="M171" s="87"/>
      <c r="N171" s="26" t="s">
        <v>3</v>
      </c>
      <c r="O171" s="89">
        <f>31-O168</f>
        <v>40</v>
      </c>
      <c r="P171" s="88"/>
    </row>
    <row r="172" spans="1:16" x14ac:dyDescent="0.25">
      <c r="A172" s="76">
        <v>21</v>
      </c>
      <c r="B172" s="76">
        <v>2487</v>
      </c>
      <c r="C172" s="76">
        <v>2504</v>
      </c>
      <c r="D172" s="76">
        <v>2518</v>
      </c>
      <c r="E172" s="76">
        <v>2535</v>
      </c>
      <c r="F172" s="76">
        <v>2551</v>
      </c>
      <c r="G172" s="76">
        <v>2566</v>
      </c>
      <c r="H172" s="76">
        <v>2582</v>
      </c>
      <c r="I172" s="76">
        <v>2598</v>
      </c>
      <c r="J172" s="76">
        <v>2613</v>
      </c>
      <c r="K172" s="76">
        <v>2629</v>
      </c>
      <c r="M172" s="87"/>
      <c r="N172" s="26" t="s">
        <v>2</v>
      </c>
      <c r="O172" s="26">
        <f>ROUND(O169*10,0)+1</f>
        <v>1</v>
      </c>
      <c r="P172" s="88"/>
    </row>
    <row r="173" spans="1:16" x14ac:dyDescent="0.25">
      <c r="A173" s="76">
        <v>20</v>
      </c>
      <c r="B173" s="76">
        <v>2340</v>
      </c>
      <c r="C173" s="76">
        <v>2354</v>
      </c>
      <c r="D173" s="76">
        <v>2369</v>
      </c>
      <c r="E173" s="76">
        <v>2384</v>
      </c>
      <c r="F173" s="76">
        <v>2399</v>
      </c>
      <c r="G173" s="76">
        <v>2413</v>
      </c>
      <c r="H173" s="76">
        <v>2428</v>
      </c>
      <c r="I173" s="76">
        <v>2443</v>
      </c>
      <c r="J173" s="76">
        <v>2457</v>
      </c>
      <c r="K173" s="76">
        <v>2473</v>
      </c>
      <c r="M173" s="87"/>
      <c r="N173" s="26"/>
      <c r="O173" s="26"/>
      <c r="P173" s="88"/>
    </row>
    <row r="174" spans="1:16" x14ac:dyDescent="0.25">
      <c r="A174" s="76">
        <v>19</v>
      </c>
      <c r="B174" s="76">
        <v>2197</v>
      </c>
      <c r="C174" s="76">
        <v>2212</v>
      </c>
      <c r="D174" s="76">
        <v>2227</v>
      </c>
      <c r="E174" s="76">
        <v>2241</v>
      </c>
      <c r="F174" s="76">
        <v>2254</v>
      </c>
      <c r="G174" s="76">
        <v>2268</v>
      </c>
      <c r="H174" s="76">
        <v>2283</v>
      </c>
      <c r="I174" s="76">
        <v>2297</v>
      </c>
      <c r="J174" s="76">
        <v>2310</v>
      </c>
      <c r="K174" s="76">
        <v>2324</v>
      </c>
      <c r="M174" s="87"/>
      <c r="N174" s="26" t="s">
        <v>7</v>
      </c>
      <c r="O174" s="26">
        <f>INDEX(Стойности!B163:K213,O171,O172)</f>
        <v>284</v>
      </c>
      <c r="P174" s="88"/>
    </row>
    <row r="175" spans="1:16" ht="15.6" thickBot="1" x14ac:dyDescent="0.3">
      <c r="A175" s="76">
        <v>18</v>
      </c>
      <c r="B175" s="76">
        <v>2965</v>
      </c>
      <c r="C175" s="76">
        <v>2079</v>
      </c>
      <c r="D175" s="76">
        <v>2091</v>
      </c>
      <c r="E175" s="76">
        <v>2105</v>
      </c>
      <c r="F175" s="76">
        <v>2119</v>
      </c>
      <c r="G175" s="76">
        <v>2132</v>
      </c>
      <c r="H175" s="76">
        <v>2145</v>
      </c>
      <c r="I175" s="76">
        <v>2158</v>
      </c>
      <c r="J175" s="76">
        <v>2172</v>
      </c>
      <c r="K175" s="76">
        <v>2185</v>
      </c>
      <c r="M175" s="90"/>
      <c r="N175" s="91" t="s">
        <v>8</v>
      </c>
      <c r="O175" s="91">
        <f>O174*O163/100</f>
        <v>241.4</v>
      </c>
      <c r="P175" s="92"/>
    </row>
    <row r="176" spans="1:16" ht="15.6" thickBot="1" x14ac:dyDescent="0.3">
      <c r="A176" s="76">
        <v>17</v>
      </c>
      <c r="B176" s="76">
        <v>1937</v>
      </c>
      <c r="C176" s="76">
        <v>1950</v>
      </c>
      <c r="D176" s="76">
        <v>1963</v>
      </c>
      <c r="E176" s="76">
        <v>1976</v>
      </c>
      <c r="F176" s="76">
        <v>1988</v>
      </c>
      <c r="G176" s="76">
        <v>2001</v>
      </c>
      <c r="H176" s="76">
        <v>2014</v>
      </c>
      <c r="I176" s="76">
        <v>2027</v>
      </c>
      <c r="J176" s="76">
        <v>2039</v>
      </c>
      <c r="K176" s="76">
        <v>2052</v>
      </c>
    </row>
    <row r="177" spans="1:16" x14ac:dyDescent="0.25">
      <c r="A177" s="76">
        <v>16</v>
      </c>
      <c r="B177" s="76">
        <v>1818</v>
      </c>
      <c r="C177" s="76">
        <v>1830</v>
      </c>
      <c r="D177" s="76">
        <v>1841</v>
      </c>
      <c r="E177" s="76">
        <v>1854</v>
      </c>
      <c r="F177" s="76">
        <v>1866</v>
      </c>
      <c r="G177" s="76">
        <v>1878</v>
      </c>
      <c r="H177" s="76">
        <v>1889</v>
      </c>
      <c r="I177" s="76">
        <v>1901</v>
      </c>
      <c r="J177" s="76">
        <v>1914</v>
      </c>
      <c r="K177" s="76">
        <v>1926</v>
      </c>
      <c r="M177" s="84"/>
      <c r="N177" s="85" t="s">
        <v>4</v>
      </c>
      <c r="O177" s="93">
        <f>TRUNC(O165)</f>
        <v>17</v>
      </c>
      <c r="P177" s="86"/>
    </row>
    <row r="178" spans="1:16" x14ac:dyDescent="0.25">
      <c r="A178" s="76">
        <v>15</v>
      </c>
      <c r="B178" s="76">
        <v>1706</v>
      </c>
      <c r="C178" s="76">
        <v>1717</v>
      </c>
      <c r="D178" s="76">
        <v>1729</v>
      </c>
      <c r="E178" s="76">
        <v>1739</v>
      </c>
      <c r="F178" s="76">
        <v>1750</v>
      </c>
      <c r="G178" s="76">
        <v>1762</v>
      </c>
      <c r="H178" s="76">
        <v>1773</v>
      </c>
      <c r="I178" s="76">
        <v>1784</v>
      </c>
      <c r="J178" s="76">
        <v>1795</v>
      </c>
      <c r="K178" s="76">
        <v>1806</v>
      </c>
      <c r="M178" s="87"/>
      <c r="N178" s="26" t="s">
        <v>5</v>
      </c>
      <c r="O178" s="89">
        <f>O165-O177</f>
        <v>0.5</v>
      </c>
      <c r="P178" s="88"/>
    </row>
    <row r="179" spans="1:16" x14ac:dyDescent="0.25">
      <c r="A179" s="76">
        <v>14</v>
      </c>
      <c r="B179" s="76">
        <v>1599</v>
      </c>
      <c r="C179" s="76">
        <v>1610</v>
      </c>
      <c r="D179" s="76">
        <v>1621</v>
      </c>
      <c r="E179" s="76">
        <v>1631</v>
      </c>
      <c r="F179" s="76">
        <v>1642</v>
      </c>
      <c r="G179" s="76">
        <v>1653</v>
      </c>
      <c r="H179" s="76">
        <v>1663</v>
      </c>
      <c r="I179" s="76">
        <v>1674</v>
      </c>
      <c r="J179" s="76">
        <v>1684</v>
      </c>
      <c r="K179" s="76">
        <v>1695</v>
      </c>
      <c r="M179" s="87"/>
      <c r="N179" s="26"/>
      <c r="O179" s="26"/>
      <c r="P179" s="88"/>
    </row>
    <row r="180" spans="1:16" x14ac:dyDescent="0.25">
      <c r="A180" s="76">
        <v>13</v>
      </c>
      <c r="B180" s="76">
        <v>1498</v>
      </c>
      <c r="C180" s="76">
        <v>1508</v>
      </c>
      <c r="D180" s="76">
        <v>1518</v>
      </c>
      <c r="E180" s="76">
        <v>1528</v>
      </c>
      <c r="F180" s="76">
        <v>1538</v>
      </c>
      <c r="G180" s="76">
        <v>1548</v>
      </c>
      <c r="H180" s="76">
        <v>1559</v>
      </c>
      <c r="I180" s="76">
        <v>1569</v>
      </c>
      <c r="J180" s="76">
        <v>1578</v>
      </c>
      <c r="K180" s="76">
        <v>1588</v>
      </c>
      <c r="M180" s="87"/>
      <c r="N180" s="26" t="s">
        <v>3</v>
      </c>
      <c r="O180" s="89">
        <f>31-O177</f>
        <v>14</v>
      </c>
      <c r="P180" s="88"/>
    </row>
    <row r="181" spans="1:16" x14ac:dyDescent="0.25">
      <c r="A181" s="76">
        <v>12</v>
      </c>
      <c r="B181" s="76">
        <v>1403</v>
      </c>
      <c r="C181" s="76">
        <v>1413</v>
      </c>
      <c r="D181" s="76">
        <v>1422</v>
      </c>
      <c r="E181" s="76">
        <v>1431</v>
      </c>
      <c r="F181" s="76">
        <v>1441</v>
      </c>
      <c r="G181" s="76">
        <v>1451</v>
      </c>
      <c r="H181" s="76">
        <v>1460</v>
      </c>
      <c r="I181" s="76">
        <v>1470</v>
      </c>
      <c r="J181" s="76">
        <v>1479</v>
      </c>
      <c r="K181" s="76">
        <v>1488</v>
      </c>
      <c r="M181" s="87"/>
      <c r="N181" s="26" t="s">
        <v>2</v>
      </c>
      <c r="O181" s="26">
        <f>ROUND(O178*10,0)+1</f>
        <v>6</v>
      </c>
      <c r="P181" s="88"/>
    </row>
    <row r="182" spans="1:16" x14ac:dyDescent="0.25">
      <c r="A182" s="76">
        <v>11</v>
      </c>
      <c r="B182" s="76">
        <v>1312</v>
      </c>
      <c r="C182" s="76">
        <v>1321</v>
      </c>
      <c r="D182" s="76">
        <v>1330</v>
      </c>
      <c r="E182" s="76">
        <v>1340</v>
      </c>
      <c r="F182" s="76">
        <v>1349</v>
      </c>
      <c r="G182" s="76">
        <v>1358</v>
      </c>
      <c r="H182" s="76">
        <v>1367</v>
      </c>
      <c r="I182" s="76">
        <v>1375</v>
      </c>
      <c r="J182" s="76">
        <v>1385</v>
      </c>
      <c r="K182" s="76">
        <v>1394</v>
      </c>
      <c r="M182" s="87"/>
      <c r="N182" s="26"/>
      <c r="O182" s="26"/>
      <c r="P182" s="88"/>
    </row>
    <row r="183" spans="1:16" x14ac:dyDescent="0.25">
      <c r="A183" s="76">
        <v>10</v>
      </c>
      <c r="B183" s="76">
        <v>1228</v>
      </c>
      <c r="C183" s="76">
        <v>1237</v>
      </c>
      <c r="D183" s="76">
        <v>1245</v>
      </c>
      <c r="E183" s="76">
        <v>1254</v>
      </c>
      <c r="F183" s="76">
        <v>1262</v>
      </c>
      <c r="G183" s="76">
        <v>1270</v>
      </c>
      <c r="H183" s="76">
        <v>1279</v>
      </c>
      <c r="I183" s="76">
        <v>1287</v>
      </c>
      <c r="J183" s="76">
        <v>1296</v>
      </c>
      <c r="K183" s="76">
        <v>1304</v>
      </c>
      <c r="M183" s="87"/>
      <c r="N183" s="26" t="s">
        <v>6</v>
      </c>
      <c r="O183" s="26">
        <f>INDEX(B163:K213,O180,O181)</f>
        <v>2001</v>
      </c>
      <c r="P183" s="88"/>
    </row>
    <row r="184" spans="1:16" ht="15.6" thickBot="1" x14ac:dyDescent="0.3">
      <c r="A184" s="76">
        <v>9</v>
      </c>
      <c r="B184" s="76">
        <v>1148</v>
      </c>
      <c r="C184" s="76">
        <v>1156</v>
      </c>
      <c r="D184" s="76">
        <v>1163</v>
      </c>
      <c r="E184" s="76">
        <v>1171</v>
      </c>
      <c r="F184" s="76">
        <v>1179</v>
      </c>
      <c r="G184" s="76">
        <v>1187</v>
      </c>
      <c r="H184" s="76">
        <v>1195</v>
      </c>
      <c r="I184" s="76">
        <v>1203</v>
      </c>
      <c r="J184" s="76">
        <v>1211</v>
      </c>
      <c r="K184" s="76">
        <v>1218</v>
      </c>
      <c r="M184" s="90"/>
      <c r="N184" s="91" t="s">
        <v>9</v>
      </c>
      <c r="O184" s="91">
        <f>O183*O166/100</f>
        <v>1200.5999999999999</v>
      </c>
      <c r="P184" s="92"/>
    </row>
    <row r="185" spans="1:16" x14ac:dyDescent="0.25">
      <c r="A185" s="76">
        <v>8</v>
      </c>
      <c r="B185" s="76">
        <v>1073</v>
      </c>
      <c r="C185" s="76">
        <v>1081</v>
      </c>
      <c r="D185" s="76">
        <v>1088</v>
      </c>
      <c r="E185" s="76">
        <v>1096</v>
      </c>
      <c r="F185" s="76">
        <v>1103</v>
      </c>
      <c r="G185" s="76">
        <v>1110</v>
      </c>
      <c r="H185" s="76">
        <v>1117</v>
      </c>
      <c r="I185" s="76">
        <v>1125</v>
      </c>
      <c r="J185" s="76">
        <v>1133</v>
      </c>
      <c r="K185" s="76">
        <v>1140</v>
      </c>
    </row>
    <row r="186" spans="1:16" x14ac:dyDescent="0.25">
      <c r="A186" s="76">
        <v>7</v>
      </c>
      <c r="B186" s="76">
        <v>1002</v>
      </c>
      <c r="C186" s="76">
        <v>1008</v>
      </c>
      <c r="D186" s="76">
        <v>1016</v>
      </c>
      <c r="E186" s="76">
        <v>1023</v>
      </c>
      <c r="F186" s="76">
        <v>1030</v>
      </c>
      <c r="G186" s="76">
        <v>1038</v>
      </c>
      <c r="H186" s="76">
        <v>1045</v>
      </c>
      <c r="I186" s="76">
        <v>1052</v>
      </c>
      <c r="J186" s="76">
        <v>1059</v>
      </c>
      <c r="K186" s="76">
        <v>1066</v>
      </c>
    </row>
    <row r="187" spans="1:16" x14ac:dyDescent="0.25">
      <c r="A187" s="76">
        <v>6</v>
      </c>
      <c r="B187" s="76">
        <v>935</v>
      </c>
      <c r="C187" s="76">
        <v>942</v>
      </c>
      <c r="D187" s="76">
        <v>949</v>
      </c>
      <c r="E187" s="76">
        <v>955</v>
      </c>
      <c r="F187" s="76">
        <v>961</v>
      </c>
      <c r="G187" s="76">
        <v>968</v>
      </c>
      <c r="H187" s="76">
        <v>945</v>
      </c>
      <c r="I187" s="76">
        <v>982</v>
      </c>
      <c r="J187" s="76">
        <v>988</v>
      </c>
      <c r="K187" s="76">
        <v>955</v>
      </c>
    </row>
    <row r="188" spans="1:16" x14ac:dyDescent="0.25">
      <c r="A188" s="76">
        <v>5</v>
      </c>
      <c r="B188" s="76">
        <v>872</v>
      </c>
      <c r="C188" s="76">
        <v>878</v>
      </c>
      <c r="D188" s="76">
        <v>884</v>
      </c>
      <c r="E188" s="76">
        <v>890</v>
      </c>
      <c r="F188" s="76">
        <v>896</v>
      </c>
      <c r="G188" s="76">
        <v>902</v>
      </c>
      <c r="H188" s="76">
        <v>907</v>
      </c>
      <c r="I188" s="76">
        <v>913</v>
      </c>
      <c r="J188" s="76">
        <v>919</v>
      </c>
      <c r="K188" s="76">
        <v>925</v>
      </c>
    </row>
    <row r="189" spans="1:16" x14ac:dyDescent="0.25">
      <c r="A189" s="76">
        <v>4</v>
      </c>
      <c r="B189" s="76">
        <v>813</v>
      </c>
      <c r="C189" s="76">
        <v>819</v>
      </c>
      <c r="D189" s="76">
        <v>825</v>
      </c>
      <c r="E189" s="76">
        <v>831</v>
      </c>
      <c r="F189" s="76">
        <v>837</v>
      </c>
      <c r="G189" s="76">
        <v>843</v>
      </c>
      <c r="H189" s="76">
        <v>849</v>
      </c>
      <c r="I189" s="76">
        <v>854</v>
      </c>
      <c r="J189" s="76">
        <v>861</v>
      </c>
      <c r="K189" s="76">
        <v>866</v>
      </c>
    </row>
    <row r="190" spans="1:16" x14ac:dyDescent="0.25">
      <c r="A190" s="76">
        <v>3</v>
      </c>
      <c r="B190" s="76">
        <v>759</v>
      </c>
      <c r="C190" s="76">
        <v>765</v>
      </c>
      <c r="D190" s="76">
        <v>770</v>
      </c>
      <c r="E190" s="76">
        <v>776</v>
      </c>
      <c r="F190" s="76">
        <v>781</v>
      </c>
      <c r="G190" s="76">
        <v>787</v>
      </c>
      <c r="H190" s="76">
        <v>793</v>
      </c>
      <c r="I190" s="76">
        <v>798</v>
      </c>
      <c r="J190" s="76">
        <v>803</v>
      </c>
      <c r="K190" s="76">
        <v>808</v>
      </c>
    </row>
    <row r="191" spans="1:16" x14ac:dyDescent="0.25">
      <c r="A191" s="76">
        <v>2</v>
      </c>
      <c r="B191" s="76">
        <v>705</v>
      </c>
      <c r="C191" s="76">
        <v>710</v>
      </c>
      <c r="D191" s="76">
        <v>716</v>
      </c>
      <c r="E191" s="76">
        <v>721</v>
      </c>
      <c r="F191" s="76">
        <v>727</v>
      </c>
      <c r="G191" s="76">
        <v>732</v>
      </c>
      <c r="H191" s="76">
        <v>737</v>
      </c>
      <c r="I191" s="76">
        <v>743</v>
      </c>
      <c r="J191" s="76">
        <v>748</v>
      </c>
      <c r="K191" s="76">
        <v>753</v>
      </c>
    </row>
    <row r="192" spans="1:16" x14ac:dyDescent="0.25">
      <c r="A192" s="76">
        <v>1</v>
      </c>
      <c r="B192" s="76">
        <v>657</v>
      </c>
      <c r="C192" s="76">
        <v>662</v>
      </c>
      <c r="D192" s="76">
        <v>667</v>
      </c>
      <c r="E192" s="76">
        <v>672</v>
      </c>
      <c r="F192" s="76">
        <v>677</v>
      </c>
      <c r="G192" s="76">
        <v>682</v>
      </c>
      <c r="H192" s="76">
        <v>687</v>
      </c>
      <c r="I192" s="76">
        <v>691</v>
      </c>
      <c r="J192" s="76">
        <v>696</v>
      </c>
      <c r="K192" s="76">
        <v>700</v>
      </c>
    </row>
    <row r="193" spans="1:11" x14ac:dyDescent="0.25">
      <c r="A193" s="76">
        <v>0</v>
      </c>
      <c r="B193" s="76">
        <v>611</v>
      </c>
      <c r="C193" s="76">
        <v>616</v>
      </c>
      <c r="D193" s="76">
        <v>621</v>
      </c>
      <c r="E193" s="76">
        <v>626</v>
      </c>
      <c r="F193" s="76">
        <v>630</v>
      </c>
      <c r="G193" s="76">
        <v>635</v>
      </c>
      <c r="H193" s="76">
        <v>640</v>
      </c>
      <c r="I193" s="76">
        <v>645</v>
      </c>
      <c r="J193" s="76">
        <v>648</v>
      </c>
      <c r="K193" s="76">
        <v>653</v>
      </c>
    </row>
    <row r="194" spans="1:11" x14ac:dyDescent="0.25">
      <c r="A194" s="76">
        <v>-1</v>
      </c>
      <c r="B194" s="76">
        <v>562</v>
      </c>
      <c r="C194" s="76">
        <v>557</v>
      </c>
      <c r="D194" s="76">
        <v>552</v>
      </c>
      <c r="E194" s="76">
        <v>547</v>
      </c>
      <c r="F194" s="76">
        <v>543</v>
      </c>
      <c r="G194" s="76">
        <v>538</v>
      </c>
      <c r="H194" s="76">
        <v>534</v>
      </c>
      <c r="I194" s="76">
        <v>531</v>
      </c>
      <c r="J194" s="76">
        <v>527</v>
      </c>
      <c r="K194" s="76">
        <v>522</v>
      </c>
    </row>
    <row r="195" spans="1:11" x14ac:dyDescent="0.25">
      <c r="A195" s="76">
        <v>-2</v>
      </c>
      <c r="B195" s="76">
        <v>517</v>
      </c>
      <c r="C195" s="76">
        <v>524</v>
      </c>
      <c r="D195" s="76">
        <v>509</v>
      </c>
      <c r="E195" s="76">
        <v>505</v>
      </c>
      <c r="F195" s="76">
        <v>501</v>
      </c>
      <c r="G195" s="76">
        <v>496</v>
      </c>
      <c r="H195" s="76">
        <v>492</v>
      </c>
      <c r="I195" s="76">
        <v>489</v>
      </c>
      <c r="J195" s="76">
        <v>484</v>
      </c>
      <c r="K195" s="76">
        <v>480</v>
      </c>
    </row>
    <row r="196" spans="1:11" x14ac:dyDescent="0.25">
      <c r="A196" s="76">
        <v>-3</v>
      </c>
      <c r="B196" s="76">
        <v>476</v>
      </c>
      <c r="C196" s="76">
        <v>472</v>
      </c>
      <c r="D196" s="76">
        <v>468</v>
      </c>
      <c r="E196" s="76">
        <v>464</v>
      </c>
      <c r="F196" s="76">
        <v>461</v>
      </c>
      <c r="G196" s="76">
        <v>456</v>
      </c>
      <c r="H196" s="76">
        <v>452</v>
      </c>
      <c r="I196" s="76">
        <v>448</v>
      </c>
      <c r="J196" s="76">
        <v>444</v>
      </c>
      <c r="K196" s="76">
        <v>440</v>
      </c>
    </row>
    <row r="197" spans="1:11" x14ac:dyDescent="0.25">
      <c r="A197" s="76">
        <v>-4</v>
      </c>
      <c r="B197" s="76">
        <v>437</v>
      </c>
      <c r="C197" s="76">
        <v>433</v>
      </c>
      <c r="D197" s="76">
        <v>430</v>
      </c>
      <c r="E197" s="76">
        <v>426</v>
      </c>
      <c r="F197" s="76">
        <v>423</v>
      </c>
      <c r="G197" s="76">
        <v>419</v>
      </c>
      <c r="H197" s="76">
        <v>415</v>
      </c>
      <c r="I197" s="76">
        <v>412</v>
      </c>
      <c r="J197" s="76">
        <v>408</v>
      </c>
      <c r="K197" s="76">
        <v>405</v>
      </c>
    </row>
    <row r="198" spans="1:11" x14ac:dyDescent="0.25">
      <c r="A198" s="76">
        <v>-5</v>
      </c>
      <c r="B198" s="76">
        <v>401</v>
      </c>
      <c r="C198" s="76">
        <v>398</v>
      </c>
      <c r="D198" s="76">
        <v>395</v>
      </c>
      <c r="E198" s="76">
        <v>391</v>
      </c>
      <c r="F198" s="76">
        <v>388</v>
      </c>
      <c r="G198" s="76">
        <v>385</v>
      </c>
      <c r="H198" s="76">
        <v>282</v>
      </c>
      <c r="I198" s="76">
        <v>379</v>
      </c>
      <c r="J198" s="76">
        <v>375</v>
      </c>
      <c r="K198" s="76">
        <v>372</v>
      </c>
    </row>
    <row r="199" spans="1:11" x14ac:dyDescent="0.25">
      <c r="A199" s="76">
        <v>-6</v>
      </c>
      <c r="B199" s="76">
        <v>368</v>
      </c>
      <c r="C199" s="76">
        <v>365</v>
      </c>
      <c r="D199" s="76">
        <v>362</v>
      </c>
      <c r="E199" s="76">
        <v>359</v>
      </c>
      <c r="F199" s="76">
        <v>356</v>
      </c>
      <c r="G199" s="76">
        <v>353</v>
      </c>
      <c r="H199" s="76">
        <v>350</v>
      </c>
      <c r="I199" s="76">
        <v>347</v>
      </c>
      <c r="J199" s="76">
        <v>343</v>
      </c>
      <c r="K199" s="76">
        <v>340</v>
      </c>
    </row>
    <row r="200" spans="1:11" x14ac:dyDescent="0.25">
      <c r="A200" s="76">
        <v>-7</v>
      </c>
      <c r="B200" s="76">
        <v>337</v>
      </c>
      <c r="C200" s="76">
        <v>336</v>
      </c>
      <c r="D200" s="76">
        <v>333</v>
      </c>
      <c r="E200" s="76">
        <v>330</v>
      </c>
      <c r="F200" s="76">
        <v>327</v>
      </c>
      <c r="G200" s="76">
        <v>324</v>
      </c>
      <c r="H200" s="76">
        <v>321</v>
      </c>
      <c r="I200" s="76">
        <v>318</v>
      </c>
      <c r="J200" s="76">
        <v>315</v>
      </c>
      <c r="K200" s="76">
        <v>312</v>
      </c>
    </row>
    <row r="201" spans="1:11" x14ac:dyDescent="0.25">
      <c r="A201" s="76">
        <v>-8</v>
      </c>
      <c r="B201" s="76">
        <v>310</v>
      </c>
      <c r="C201" s="76">
        <v>306</v>
      </c>
      <c r="D201" s="76">
        <v>304</v>
      </c>
      <c r="E201" s="76">
        <v>301</v>
      </c>
      <c r="F201" s="76">
        <v>298</v>
      </c>
      <c r="G201" s="76">
        <v>296</v>
      </c>
      <c r="H201" s="76">
        <v>294</v>
      </c>
      <c r="I201" s="76">
        <v>291</v>
      </c>
      <c r="J201" s="76">
        <v>288</v>
      </c>
      <c r="K201" s="76">
        <v>286</v>
      </c>
    </row>
    <row r="202" spans="1:11" x14ac:dyDescent="0.25">
      <c r="A202" s="76">
        <v>-9</v>
      </c>
      <c r="B202" s="76">
        <v>284</v>
      </c>
      <c r="C202" s="76">
        <v>281</v>
      </c>
      <c r="D202" s="76">
        <v>279</v>
      </c>
      <c r="E202" s="76">
        <v>276</v>
      </c>
      <c r="F202" s="76">
        <v>274</v>
      </c>
      <c r="G202" s="76">
        <v>272</v>
      </c>
      <c r="H202" s="76">
        <v>269</v>
      </c>
      <c r="I202" s="76">
        <v>267</v>
      </c>
      <c r="J202" s="76">
        <v>264</v>
      </c>
      <c r="K202" s="76">
        <v>262</v>
      </c>
    </row>
    <row r="203" spans="1:11" x14ac:dyDescent="0.25">
      <c r="A203" s="76">
        <v>-10</v>
      </c>
      <c r="B203" s="76">
        <v>260</v>
      </c>
      <c r="C203" s="76">
        <v>258</v>
      </c>
      <c r="D203" s="76">
        <v>255</v>
      </c>
      <c r="E203" s="76">
        <v>253</v>
      </c>
      <c r="F203" s="76">
        <v>251</v>
      </c>
      <c r="G203" s="76">
        <v>249</v>
      </c>
      <c r="H203" s="76">
        <v>246</v>
      </c>
      <c r="I203" s="76">
        <v>244</v>
      </c>
      <c r="J203" s="76">
        <v>242</v>
      </c>
      <c r="K203" s="76">
        <v>239</v>
      </c>
    </row>
    <row r="204" spans="1:11" x14ac:dyDescent="0.25">
      <c r="A204" s="76">
        <v>-11</v>
      </c>
      <c r="B204" s="76">
        <v>237</v>
      </c>
      <c r="C204" s="76">
        <v>235</v>
      </c>
      <c r="D204" s="76">
        <v>233</v>
      </c>
      <c r="E204" s="76">
        <v>231</v>
      </c>
      <c r="F204" s="76">
        <v>229</v>
      </c>
      <c r="G204" s="76">
        <v>228</v>
      </c>
      <c r="H204" s="76">
        <v>226</v>
      </c>
      <c r="I204" s="76">
        <v>224</v>
      </c>
      <c r="J204" s="76">
        <v>221</v>
      </c>
      <c r="K204" s="76">
        <v>219</v>
      </c>
    </row>
    <row r="205" spans="1:11" x14ac:dyDescent="0.25">
      <c r="A205" s="76">
        <v>-12</v>
      </c>
      <c r="B205" s="76">
        <v>217</v>
      </c>
      <c r="C205" s="76">
        <v>215</v>
      </c>
      <c r="D205" s="76">
        <v>213</v>
      </c>
      <c r="E205" s="76">
        <v>211</v>
      </c>
      <c r="F205" s="76">
        <v>209</v>
      </c>
      <c r="G205" s="76">
        <v>208</v>
      </c>
      <c r="H205" s="76">
        <v>206</v>
      </c>
      <c r="I205" s="76">
        <v>204</v>
      </c>
      <c r="J205" s="76">
        <v>202</v>
      </c>
      <c r="K205" s="76">
        <v>200</v>
      </c>
    </row>
    <row r="206" spans="1:11" x14ac:dyDescent="0.25">
      <c r="A206" s="76">
        <v>-13</v>
      </c>
      <c r="B206" s="76">
        <v>198</v>
      </c>
      <c r="C206" s="76">
        <v>197</v>
      </c>
      <c r="D206" s="76">
        <v>195</v>
      </c>
      <c r="E206" s="76">
        <v>193</v>
      </c>
      <c r="F206" s="76">
        <v>191</v>
      </c>
      <c r="G206" s="76">
        <v>190</v>
      </c>
      <c r="H206" s="76">
        <v>188</v>
      </c>
      <c r="I206" s="76">
        <v>186</v>
      </c>
      <c r="J206" s="76">
        <v>184</v>
      </c>
      <c r="K206" s="76">
        <v>182</v>
      </c>
    </row>
    <row r="207" spans="1:11" x14ac:dyDescent="0.25">
      <c r="A207" s="76">
        <v>-14</v>
      </c>
      <c r="B207" s="76">
        <v>181</v>
      </c>
      <c r="C207" s="76">
        <v>180</v>
      </c>
      <c r="D207" s="76">
        <v>178</v>
      </c>
      <c r="E207" s="76">
        <v>177</v>
      </c>
      <c r="F207" s="76">
        <v>175</v>
      </c>
      <c r="G207" s="76">
        <v>173</v>
      </c>
      <c r="H207" s="76">
        <v>171</v>
      </c>
      <c r="I207" s="76">
        <v>169</v>
      </c>
      <c r="J207" s="76">
        <v>168</v>
      </c>
      <c r="K207" s="76">
        <v>167</v>
      </c>
    </row>
    <row r="208" spans="1:11" x14ac:dyDescent="0.25">
      <c r="A208" s="76">
        <v>-15</v>
      </c>
      <c r="B208" s="76">
        <v>165</v>
      </c>
      <c r="C208" s="76">
        <v>164</v>
      </c>
      <c r="D208" s="76">
        <v>162</v>
      </c>
      <c r="E208" s="76">
        <v>161</v>
      </c>
      <c r="F208" s="76">
        <v>159</v>
      </c>
      <c r="G208" s="76">
        <v>158</v>
      </c>
      <c r="H208" s="76">
        <v>157</v>
      </c>
      <c r="I208" s="76">
        <v>155</v>
      </c>
      <c r="J208" s="76">
        <v>153</v>
      </c>
      <c r="K208" s="76">
        <v>152</v>
      </c>
    </row>
    <row r="209" spans="1:11" x14ac:dyDescent="0.25">
      <c r="A209" s="76">
        <v>-16</v>
      </c>
      <c r="B209" s="76">
        <v>150</v>
      </c>
      <c r="C209" s="76">
        <v>149</v>
      </c>
      <c r="D209" s="76">
        <v>148</v>
      </c>
      <c r="E209" s="76">
        <v>146</v>
      </c>
      <c r="F209" s="76">
        <v>145</v>
      </c>
      <c r="G209" s="76">
        <v>144</v>
      </c>
      <c r="H209" s="76">
        <v>142</v>
      </c>
      <c r="I209" s="76">
        <v>141</v>
      </c>
      <c r="J209" s="76">
        <v>139</v>
      </c>
      <c r="K209" s="76">
        <v>138</v>
      </c>
    </row>
    <row r="210" spans="1:11" x14ac:dyDescent="0.25">
      <c r="A210" s="76">
        <v>-17</v>
      </c>
      <c r="B210" s="76">
        <v>137</v>
      </c>
      <c r="C210" s="76">
        <v>136</v>
      </c>
      <c r="D210" s="76">
        <v>135</v>
      </c>
      <c r="E210" s="76">
        <v>133</v>
      </c>
      <c r="F210" s="76">
        <v>132</v>
      </c>
      <c r="G210" s="76">
        <v>131</v>
      </c>
      <c r="H210" s="76">
        <v>129</v>
      </c>
      <c r="I210" s="76">
        <v>128</v>
      </c>
      <c r="J210" s="76">
        <v>127</v>
      </c>
      <c r="K210" s="76">
        <v>126</v>
      </c>
    </row>
    <row r="211" spans="1:11" x14ac:dyDescent="0.25">
      <c r="A211" s="76">
        <v>-18</v>
      </c>
      <c r="B211" s="76">
        <v>125</v>
      </c>
      <c r="C211" s="76">
        <v>124</v>
      </c>
      <c r="D211" s="76">
        <v>123</v>
      </c>
      <c r="E211" s="76">
        <v>122</v>
      </c>
      <c r="F211" s="76">
        <v>121</v>
      </c>
      <c r="G211" s="76">
        <v>120</v>
      </c>
      <c r="H211" s="76">
        <v>118</v>
      </c>
      <c r="I211" s="76">
        <v>117</v>
      </c>
      <c r="J211" s="76">
        <v>116</v>
      </c>
      <c r="K211" s="76">
        <v>115</v>
      </c>
    </row>
    <row r="212" spans="1:11" x14ac:dyDescent="0.25">
      <c r="A212" s="76">
        <v>-19</v>
      </c>
      <c r="B212" s="76">
        <v>114</v>
      </c>
      <c r="C212" s="76">
        <v>113</v>
      </c>
      <c r="D212" s="76">
        <v>112</v>
      </c>
      <c r="E212" s="76">
        <v>111</v>
      </c>
      <c r="F212" s="76">
        <v>110</v>
      </c>
      <c r="G212" s="76">
        <v>109</v>
      </c>
      <c r="H212" s="76">
        <v>107</v>
      </c>
      <c r="I212" s="76">
        <v>106</v>
      </c>
      <c r="J212" s="76">
        <v>105</v>
      </c>
      <c r="K212" s="76">
        <v>104</v>
      </c>
    </row>
    <row r="213" spans="1:11" ht="15.6" thickBot="1" x14ac:dyDescent="0.3">
      <c r="A213" s="77">
        <v>-20</v>
      </c>
      <c r="B213" s="77">
        <v>103</v>
      </c>
      <c r="C213" s="77">
        <v>102</v>
      </c>
      <c r="D213" s="77">
        <v>102</v>
      </c>
      <c r="E213" s="77">
        <v>100</v>
      </c>
      <c r="F213" s="77">
        <v>99</v>
      </c>
      <c r="G213" s="77">
        <v>98</v>
      </c>
      <c r="H213" s="77">
        <v>97</v>
      </c>
      <c r="I213" s="77">
        <v>95</v>
      </c>
      <c r="J213" s="77">
        <v>95</v>
      </c>
      <c r="K213" s="77">
        <v>94</v>
      </c>
    </row>
    <row r="217" spans="1:11" x14ac:dyDescent="0.25">
      <c r="A217" s="964" t="s">
        <v>215</v>
      </c>
      <c r="B217" s="566"/>
      <c r="C217" s="566"/>
      <c r="D217" s="566"/>
      <c r="E217" s="566"/>
      <c r="F217" s="566"/>
      <c r="G217" s="13">
        <v>100</v>
      </c>
    </row>
    <row r="218" spans="1:11" x14ac:dyDescent="0.25">
      <c r="A218" s="964" t="s">
        <v>216</v>
      </c>
      <c r="B218" s="566"/>
      <c r="C218" s="566"/>
      <c r="D218" s="566"/>
      <c r="E218" s="566"/>
      <c r="F218" s="566"/>
      <c r="G218" s="13">
        <v>116</v>
      </c>
    </row>
    <row r="219" spans="1:11" x14ac:dyDescent="0.25">
      <c r="A219" s="964" t="s">
        <v>217</v>
      </c>
      <c r="B219" s="566"/>
      <c r="C219" s="566"/>
      <c r="D219" s="566"/>
      <c r="E219" s="566"/>
      <c r="F219" s="566"/>
      <c r="G219" s="13">
        <v>130</v>
      </c>
    </row>
    <row r="220" spans="1:11" x14ac:dyDescent="0.25">
      <c r="A220" s="964" t="s">
        <v>218</v>
      </c>
      <c r="B220" s="566"/>
      <c r="C220" s="566"/>
      <c r="D220" s="566"/>
      <c r="E220" s="566"/>
      <c r="F220" s="566"/>
      <c r="G220" s="13">
        <v>150</v>
      </c>
    </row>
    <row r="221" spans="1:11" x14ac:dyDescent="0.25">
      <c r="A221" s="964" t="s">
        <v>219</v>
      </c>
      <c r="B221" s="566"/>
      <c r="C221" s="566"/>
      <c r="D221" s="566"/>
      <c r="E221" s="566"/>
      <c r="F221" s="566"/>
      <c r="G221" s="13">
        <v>220</v>
      </c>
    </row>
    <row r="222" spans="1:11" x14ac:dyDescent="0.25">
      <c r="A222" s="964" t="s">
        <v>220</v>
      </c>
      <c r="B222" s="566"/>
      <c r="C222" s="566"/>
      <c r="D222" s="566"/>
      <c r="E222" s="566"/>
      <c r="F222" s="566"/>
      <c r="G222" s="13">
        <v>300</v>
      </c>
    </row>
    <row r="223" spans="1:11" x14ac:dyDescent="0.25">
      <c r="A223" s="964" t="s">
        <v>221</v>
      </c>
      <c r="B223" s="566"/>
      <c r="C223" s="566"/>
      <c r="D223" s="566"/>
      <c r="E223" s="566"/>
      <c r="F223" s="566"/>
      <c r="G223" s="13">
        <v>425</v>
      </c>
    </row>
    <row r="224" spans="1:11" x14ac:dyDescent="0.25">
      <c r="A224" s="964" t="s">
        <v>222</v>
      </c>
      <c r="B224" s="566"/>
      <c r="C224" s="566"/>
      <c r="D224" s="566"/>
      <c r="E224" s="566"/>
      <c r="F224" s="566"/>
      <c r="G224" s="13">
        <v>525</v>
      </c>
    </row>
    <row r="226" spans="1:6" x14ac:dyDescent="0.25">
      <c r="A226" s="113" t="s">
        <v>223</v>
      </c>
    </row>
    <row r="230" spans="1:6" x14ac:dyDescent="0.25">
      <c r="A230" s="113" t="s">
        <v>237</v>
      </c>
    </row>
    <row r="231" spans="1:6" x14ac:dyDescent="0.25">
      <c r="A231" s="565"/>
      <c r="B231" s="565"/>
      <c r="C231" s="114"/>
      <c r="D231" s="114" t="s">
        <v>239</v>
      </c>
      <c r="E231" s="114" t="s">
        <v>242</v>
      </c>
      <c r="F231" s="114" t="s">
        <v>244</v>
      </c>
    </row>
    <row r="232" spans="1:6" x14ac:dyDescent="0.25">
      <c r="A232" s="565"/>
      <c r="B232" s="565"/>
      <c r="C232" s="114" t="s">
        <v>238</v>
      </c>
      <c r="D232" s="114" t="s">
        <v>243</v>
      </c>
      <c r="E232" s="114" t="s">
        <v>243</v>
      </c>
      <c r="F232" s="114" t="s">
        <v>245</v>
      </c>
    </row>
    <row r="233" spans="1:6" x14ac:dyDescent="0.25">
      <c r="A233" s="565" t="s">
        <v>167</v>
      </c>
      <c r="B233" s="565"/>
      <c r="C233" s="13">
        <v>7.8</v>
      </c>
      <c r="D233" s="13">
        <v>7</v>
      </c>
      <c r="E233" s="13">
        <v>7.6</v>
      </c>
      <c r="F233" s="13">
        <v>7.5</v>
      </c>
    </row>
    <row r="234" spans="1:6" x14ac:dyDescent="0.25">
      <c r="A234" s="565" t="s">
        <v>168</v>
      </c>
      <c r="B234" s="565"/>
      <c r="C234" s="13">
        <v>8.6</v>
      </c>
      <c r="D234" s="13">
        <v>10</v>
      </c>
      <c r="E234" s="13">
        <v>10.1</v>
      </c>
      <c r="F234" s="13">
        <v>8.1999999999999993</v>
      </c>
    </row>
    <row r="235" spans="1:6" x14ac:dyDescent="0.25">
      <c r="A235" s="565" t="s">
        <v>923</v>
      </c>
      <c r="B235" s="565"/>
      <c r="C235" s="13">
        <v>10.1</v>
      </c>
      <c r="D235" s="13">
        <v>8.9</v>
      </c>
      <c r="E235" s="13">
        <v>11.1</v>
      </c>
      <c r="F235" s="13">
        <v>7.9</v>
      </c>
    </row>
    <row r="236" spans="1:6" x14ac:dyDescent="0.25">
      <c r="A236" s="565" t="s">
        <v>924</v>
      </c>
      <c r="B236" s="565"/>
      <c r="C236" s="13">
        <v>11.2</v>
      </c>
      <c r="D236" s="13">
        <v>10.7</v>
      </c>
      <c r="E236" s="13">
        <v>12.2</v>
      </c>
      <c r="F236" s="13">
        <v>7.2</v>
      </c>
    </row>
    <row r="237" spans="1:6" x14ac:dyDescent="0.25">
      <c r="A237" s="565" t="s">
        <v>169</v>
      </c>
      <c r="B237" s="565"/>
      <c r="C237" s="13">
        <v>10.9</v>
      </c>
      <c r="D237" s="13">
        <v>10.6</v>
      </c>
      <c r="E237" s="13">
        <v>11.3</v>
      </c>
      <c r="F237" s="13">
        <v>7.3</v>
      </c>
    </row>
    <row r="238" spans="1:6" x14ac:dyDescent="0.25">
      <c r="A238" s="565" t="s">
        <v>170</v>
      </c>
      <c r="B238" s="565"/>
      <c r="C238" s="13">
        <v>12.5</v>
      </c>
      <c r="D238" s="13">
        <v>11</v>
      </c>
      <c r="E238" s="13">
        <v>12.7</v>
      </c>
      <c r="F238" s="13">
        <v>7.8</v>
      </c>
    </row>
    <row r="239" spans="1:6" x14ac:dyDescent="0.25">
      <c r="A239" s="565" t="s">
        <v>171</v>
      </c>
      <c r="B239" s="565"/>
      <c r="C239" s="13">
        <v>13</v>
      </c>
      <c r="D239" s="13">
        <v>12</v>
      </c>
      <c r="E239" s="13">
        <v>13.8</v>
      </c>
      <c r="F239" s="13">
        <v>9.1999999999999993</v>
      </c>
    </row>
    <row r="240" spans="1:6" x14ac:dyDescent="0.25">
      <c r="A240" s="565" t="s">
        <v>172</v>
      </c>
      <c r="B240" s="565"/>
      <c r="C240" s="13">
        <v>14.4</v>
      </c>
      <c r="D240" s="13">
        <v>12</v>
      </c>
      <c r="E240" s="13">
        <v>14.8</v>
      </c>
      <c r="F240" s="13">
        <v>8.5</v>
      </c>
    </row>
    <row r="241" spans="1:6" x14ac:dyDescent="0.25">
      <c r="A241" s="565" t="s">
        <v>173</v>
      </c>
      <c r="B241" s="565"/>
      <c r="C241" s="13">
        <v>12.5</v>
      </c>
      <c r="D241" s="13">
        <v>11.6</v>
      </c>
      <c r="E241" s="13">
        <v>13.4</v>
      </c>
      <c r="F241" s="13">
        <v>9</v>
      </c>
    </row>
    <row r="242" spans="1:6" x14ac:dyDescent="0.25">
      <c r="A242" s="565" t="s">
        <v>174</v>
      </c>
      <c r="B242" s="565"/>
      <c r="C242" s="13">
        <v>11.8</v>
      </c>
      <c r="D242" s="13">
        <v>11.3</v>
      </c>
      <c r="E242" s="13">
        <v>13.1</v>
      </c>
      <c r="F242" s="13">
        <v>8.9</v>
      </c>
    </row>
    <row r="243" spans="1:6" x14ac:dyDescent="0.25">
      <c r="A243" s="565" t="s">
        <v>175</v>
      </c>
      <c r="B243" s="565"/>
      <c r="C243" s="13">
        <v>7.9</v>
      </c>
      <c r="D243" s="13">
        <v>7</v>
      </c>
      <c r="E243" s="13">
        <v>7.5</v>
      </c>
      <c r="F243" s="13">
        <v>6.6</v>
      </c>
    </row>
    <row r="244" spans="1:6" x14ac:dyDescent="0.25">
      <c r="A244" s="565" t="s">
        <v>176</v>
      </c>
      <c r="B244" s="565"/>
      <c r="C244" s="13">
        <v>7.6</v>
      </c>
      <c r="D244" s="13">
        <v>7</v>
      </c>
      <c r="E244" s="13">
        <v>8</v>
      </c>
      <c r="F244" s="13">
        <v>7.3</v>
      </c>
    </row>
  </sheetData>
  <mergeCells count="37">
    <mergeCell ref="F93:Q93"/>
    <mergeCell ref="F102:Q102"/>
    <mergeCell ref="F111:Q111"/>
    <mergeCell ref="F120:Q120"/>
    <mergeCell ref="F21:Q21"/>
    <mergeCell ref="F30:Q30"/>
    <mergeCell ref="F48:Q48"/>
    <mergeCell ref="F57:Q57"/>
    <mergeCell ref="F66:Q66"/>
    <mergeCell ref="F75:Q75"/>
    <mergeCell ref="F39:Q39"/>
    <mergeCell ref="F84:Q84"/>
    <mergeCell ref="A241:B241"/>
    <mergeCell ref="A242:B242"/>
    <mergeCell ref="A243:B243"/>
    <mergeCell ref="A233:B233"/>
    <mergeCell ref="A234:B234"/>
    <mergeCell ref="A235:B235"/>
    <mergeCell ref="A236:B236"/>
    <mergeCell ref="A219:F219"/>
    <mergeCell ref="A244:B244"/>
    <mergeCell ref="A237:B237"/>
    <mergeCell ref="A238:B238"/>
    <mergeCell ref="A239:B239"/>
    <mergeCell ref="A240:B240"/>
    <mergeCell ref="A221:F221"/>
    <mergeCell ref="A222:F222"/>
    <mergeCell ref="A223:F223"/>
    <mergeCell ref="A224:F224"/>
    <mergeCell ref="A231:B232"/>
    <mergeCell ref="A220:F220"/>
    <mergeCell ref="B134:O134"/>
    <mergeCell ref="B133:O133"/>
    <mergeCell ref="A133:A135"/>
    <mergeCell ref="B161:K161"/>
    <mergeCell ref="A217:F217"/>
    <mergeCell ref="A218:F218"/>
  </mergeCells>
  <phoneticPr fontId="4" type="noConversion"/>
  <pageMargins left="0.75" right="0.75" top="1" bottom="1" header="0.5" footer="0.5"/>
  <pageSetup paperSize="9" orientation="portrait" horizontalDpi="300" verticalDpi="300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44CAF-EA6C-4051-9597-5789641E6C10}">
  <sheetPr>
    <tabColor indexed="10"/>
  </sheetPr>
  <dimension ref="A1:AJ291"/>
  <sheetViews>
    <sheetView topLeftCell="A268" workbookViewId="0">
      <selection activeCell="N308" sqref="N308"/>
    </sheetView>
  </sheetViews>
  <sheetFormatPr defaultColWidth="9.109375" defaultRowHeight="13.2" x14ac:dyDescent="0.25"/>
  <cols>
    <col min="1" max="1" width="11.5546875" style="215" bestFit="1" customWidth="1"/>
    <col min="2" max="2" width="4.88671875" style="215" bestFit="1" customWidth="1"/>
    <col min="3" max="3" width="3.6640625" style="215" bestFit="1" customWidth="1"/>
    <col min="4" max="4" width="5.88671875" style="215" bestFit="1" customWidth="1"/>
    <col min="5" max="5" width="6.109375" style="215" bestFit="1" customWidth="1"/>
    <col min="6" max="27" width="5.88671875" style="215" bestFit="1" customWidth="1"/>
    <col min="28" max="28" width="6.88671875" style="215" bestFit="1" customWidth="1"/>
    <col min="29" max="29" width="7.109375" style="215" bestFit="1" customWidth="1"/>
    <col min="30" max="35" width="6.5546875" style="215" bestFit="1" customWidth="1"/>
    <col min="36" max="36" width="5.5546875" style="215" bestFit="1" customWidth="1"/>
    <col min="37" max="16384" width="9.109375" style="215"/>
  </cols>
  <sheetData>
    <row r="1" spans="1:36" x14ac:dyDescent="0.25">
      <c r="A1" s="975" t="s">
        <v>814</v>
      </c>
      <c r="B1" s="975"/>
      <c r="C1" s="975"/>
      <c r="D1" s="975"/>
      <c r="E1" s="975"/>
      <c r="F1" s="975"/>
      <c r="G1" s="975"/>
      <c r="H1" s="975"/>
      <c r="I1" s="975"/>
      <c r="J1" s="975"/>
      <c r="K1" s="975"/>
      <c r="L1" s="975"/>
      <c r="M1" s="975"/>
      <c r="N1" s="975"/>
      <c r="O1" s="975"/>
      <c r="P1" s="975"/>
      <c r="Q1" s="975"/>
      <c r="R1" s="975"/>
      <c r="S1" s="975"/>
      <c r="T1" s="975"/>
      <c r="U1" s="975"/>
      <c r="V1" s="975"/>
      <c r="W1" s="975"/>
      <c r="X1" s="975"/>
      <c r="Y1" s="975"/>
      <c r="Z1" s="975"/>
      <c r="AA1" s="975"/>
    </row>
    <row r="3" spans="1:36" x14ac:dyDescent="0.25">
      <c r="A3" s="216"/>
      <c r="B3" s="217" t="s">
        <v>466</v>
      </c>
      <c r="C3" s="217" t="s">
        <v>950</v>
      </c>
      <c r="D3" s="195">
        <v>0</v>
      </c>
      <c r="E3" s="195">
        <v>1</v>
      </c>
      <c r="F3" s="195">
        <v>2</v>
      </c>
      <c r="G3" s="195">
        <v>3</v>
      </c>
      <c r="H3" s="195">
        <v>4</v>
      </c>
      <c r="I3" s="195">
        <v>5</v>
      </c>
      <c r="J3" s="195">
        <v>6</v>
      </c>
      <c r="K3" s="195">
        <v>7</v>
      </c>
      <c r="L3" s="195">
        <v>8</v>
      </c>
      <c r="M3" s="195">
        <v>9</v>
      </c>
      <c r="N3" s="195">
        <v>10</v>
      </c>
      <c r="O3" s="195">
        <v>11</v>
      </c>
      <c r="P3" s="195">
        <v>12</v>
      </c>
      <c r="Q3" s="195">
        <v>13</v>
      </c>
      <c r="R3" s="195">
        <v>14</v>
      </c>
      <c r="S3" s="195">
        <v>15</v>
      </c>
      <c r="T3" s="195">
        <v>16</v>
      </c>
      <c r="U3" s="195">
        <v>17</v>
      </c>
      <c r="V3" s="195">
        <v>18</v>
      </c>
      <c r="W3" s="195">
        <v>19</v>
      </c>
      <c r="X3" s="195">
        <v>20</v>
      </c>
      <c r="Y3" s="195">
        <v>21</v>
      </c>
      <c r="Z3" s="195">
        <v>22</v>
      </c>
      <c r="AA3" s="195">
        <v>23</v>
      </c>
      <c r="AB3" s="979" t="s">
        <v>843</v>
      </c>
      <c r="AC3" s="980"/>
      <c r="AD3" s="980"/>
      <c r="AE3" s="980"/>
      <c r="AF3" s="980"/>
      <c r="AG3" s="980"/>
      <c r="AH3" s="980"/>
      <c r="AI3" s="980"/>
      <c r="AJ3" s="980"/>
    </row>
    <row r="4" spans="1:36" ht="16.2" x14ac:dyDescent="0.35">
      <c r="A4" s="218" t="s">
        <v>167</v>
      </c>
      <c r="B4" s="217" t="s">
        <v>875</v>
      </c>
      <c r="C4" s="219" t="s">
        <v>946</v>
      </c>
      <c r="D4" s="220">
        <f ca="1">IF(Изчисления!$K$196=1,$D$21,INDIRECT("D"&amp;Изчисления!$K$188*30+ROW()-1))</f>
        <v>2.2000000000000002</v>
      </c>
      <c r="E4" s="220">
        <f ca="1">IF(Изчисления!$K$196=1,$D$21,INDIRECT("D"&amp;Изчисления!$K$188*30+ROW()-1))</f>
        <v>2.2000000000000002</v>
      </c>
      <c r="F4" s="220">
        <f ca="1">IF(Изчисления!$K$196=1,$D$21,INDIRECT("D"&amp;Изчисления!$K$188*30+ROW()-1))</f>
        <v>2.2000000000000002</v>
      </c>
      <c r="G4" s="220">
        <f ca="1">IF(Изчисления!$K$196=1,$D$21,INDIRECT("D"&amp;Изчисления!$K$188*30+ROW()-1))</f>
        <v>2.2000000000000002</v>
      </c>
      <c r="H4" s="220">
        <f ca="1">IF(Изчисления!$K$196=1,$D$21,INDIRECT("D"&amp;Изчисления!$K$188*30+ROW()-1))</f>
        <v>2.2000000000000002</v>
      </c>
      <c r="I4" s="220">
        <f ca="1">IF(Изчисления!$K$196=1,$D$21,INDIRECT("D"&amp;Изчисления!$K$188*30+ROW()-1))</f>
        <v>2.2000000000000002</v>
      </c>
      <c r="J4" s="220">
        <f ca="1">IF(Изчисления!$K$196=1,$D$21,INDIRECT("D"&amp;Изчисления!$K$188*30+ROW()-1))</f>
        <v>2.2000000000000002</v>
      </c>
      <c r="K4" s="220">
        <f ca="1">IF(Изчисления!$K$196=1,$D$21,INDIRECT("D"&amp;Изчисления!$K$188*30+ROW()-1))</f>
        <v>2.2000000000000002</v>
      </c>
      <c r="L4" s="220">
        <f ca="1">IF(Изчисления!$K$196=1,$D$21,INDIRECT("D"&amp;Изчисления!$K$188*30+ROW()-1))</f>
        <v>2.2000000000000002</v>
      </c>
      <c r="M4" s="220">
        <f ca="1">IF(Изчисления!$K$196=1,$D$21,INDIRECT("D"&amp;Изчисления!$K$188*30+ROW()-1))</f>
        <v>2.2000000000000002</v>
      </c>
      <c r="N4" s="220">
        <f ca="1">IF(Изчисления!$K$196=1,$D$21,INDIRECT("D"&amp;Изчисления!$K$188*30+ROW()-1))</f>
        <v>2.2000000000000002</v>
      </c>
      <c r="O4" s="220">
        <f ca="1">IF(Изчисления!$K$196=1,$D$21,INDIRECT("D"&amp;Изчисления!$K$188*30+ROW()-1))</f>
        <v>2.2000000000000002</v>
      </c>
      <c r="P4" s="220">
        <f ca="1">IF(Изчисления!$K$196=1,$D$21,INDIRECT("D"&amp;Изчисления!$K$188*30+ROW()-1))</f>
        <v>2.2000000000000002</v>
      </c>
      <c r="Q4" s="220">
        <f ca="1">IF(Изчисления!$K$196=1,$D$21,INDIRECT("D"&amp;Изчисления!$K$188*30+ROW()-1))</f>
        <v>2.2000000000000002</v>
      </c>
      <c r="R4" s="220">
        <f ca="1">IF(Изчисления!$K$196=1,$D$21,INDIRECT("D"&amp;Изчисления!$K$188*30+ROW()-1))</f>
        <v>2.2000000000000002</v>
      </c>
      <c r="S4" s="220">
        <f ca="1">IF(Изчисления!$K$196=1,$D$21,INDIRECT("D"&amp;Изчисления!$K$188*30+ROW()-1))</f>
        <v>2.2000000000000002</v>
      </c>
      <c r="T4" s="220">
        <f ca="1">IF(Изчисления!$K$196=1,$D$21,INDIRECT("D"&amp;Изчисления!$K$188*30+ROW()-1))</f>
        <v>2.2000000000000002</v>
      </c>
      <c r="U4" s="220">
        <f ca="1">IF(Изчисления!$K$196=1,$D$21,INDIRECT("D"&amp;Изчисления!$K$188*30+ROW()-1))</f>
        <v>2.2000000000000002</v>
      </c>
      <c r="V4" s="220">
        <f ca="1">IF(Изчисления!$K$196=1,$D$21,INDIRECT("D"&amp;Изчисления!$K$188*30+ROW()-1))</f>
        <v>2.2000000000000002</v>
      </c>
      <c r="W4" s="220">
        <f ca="1">IF(Изчисления!$K$196=1,$D$21,INDIRECT("D"&amp;Изчисления!$K$188*30+ROW()-1))</f>
        <v>2.2000000000000002</v>
      </c>
      <c r="X4" s="220">
        <f ca="1">IF(Изчисления!$K$196=1,$D$21,INDIRECT("D"&amp;Изчисления!$K$188*30+ROW()-1))</f>
        <v>2.2000000000000002</v>
      </c>
      <c r="Y4" s="220">
        <f ca="1">IF(Изчисления!$K$196=1,$D$21,INDIRECT("D"&amp;Изчисления!$K$188*30+ROW()-1))</f>
        <v>2.2000000000000002</v>
      </c>
      <c r="Z4" s="220">
        <f ca="1">IF(Изчисления!$K$196=1,$D$21,INDIRECT("D"&amp;Изчисления!$K$188*30+ROW()-1))</f>
        <v>2.2000000000000002</v>
      </c>
      <c r="AA4" s="220">
        <f ca="1">IF(Изчисления!$K$196=1,$D$21,INDIRECT("D"&amp;Изчисления!$K$188*30+ROW()-1))</f>
        <v>2.2000000000000002</v>
      </c>
      <c r="AB4" s="222" t="s">
        <v>877</v>
      </c>
      <c r="AC4" s="223" t="s">
        <v>947</v>
      </c>
      <c r="AD4" s="220">
        <f ca="1">INDIRECT("ad"&amp;Изчисления!$K$188*30+ROW()-1)</f>
        <v>23.9</v>
      </c>
      <c r="AE4" s="220">
        <f ca="1">INDIRECT("ae"&amp;Изчисления!$K$188*30+ROW()-1)</f>
        <v>36.5</v>
      </c>
      <c r="AF4" s="220">
        <f ca="1">INDIRECT("af"&amp;Изчисления!$K$188*30+ROW()-1)</f>
        <v>49.6</v>
      </c>
      <c r="AG4" s="220">
        <f ca="1">INDIRECT("ag"&amp;Изчисления!$K$188*30+ROW()-1)</f>
        <v>65.599999999999994</v>
      </c>
      <c r="AH4" s="220">
        <f ca="1">INDIRECT("ah"&amp;Изчисления!$K$188*30+ROW()-1)</f>
        <v>41.8</v>
      </c>
      <c r="AI4" s="220">
        <f ca="1">INDIRECT("ai"&amp;Изчисления!$K$188*30+ROW()-1)</f>
        <v>27.2</v>
      </c>
      <c r="AJ4" s="220">
        <f ca="1">INDIRECT("aj"&amp;Изчисления!$K$188*30+ROW()-1)</f>
        <v>21</v>
      </c>
    </row>
    <row r="5" spans="1:36" ht="16.2" x14ac:dyDescent="0.35">
      <c r="A5" s="218" t="s">
        <v>168</v>
      </c>
      <c r="B5" s="217" t="s">
        <v>875</v>
      </c>
      <c r="C5" s="219" t="s">
        <v>946</v>
      </c>
      <c r="D5" s="220">
        <f ca="1">IF(Изчисления!$K$196=1,$E$21,INDIRECT("D"&amp;Изчисления!$K$188*30+ROW()-1))</f>
        <v>2.9</v>
      </c>
      <c r="E5" s="220">
        <f ca="1">IF(Изчисления!$K$196=1,$E$21,INDIRECT("D"&amp;Изчисления!$K$188*30+ROW()-1))</f>
        <v>2.9</v>
      </c>
      <c r="F5" s="220">
        <f ca="1">IF(Изчисления!$K$196=1,$E$21,INDIRECT("D"&amp;Изчисления!$K$188*30+ROW()-1))</f>
        <v>2.9</v>
      </c>
      <c r="G5" s="220">
        <f ca="1">IF(Изчисления!$K$196=1,$E$21,INDIRECT("D"&amp;Изчисления!$K$188*30+ROW()-1))</f>
        <v>2.9</v>
      </c>
      <c r="H5" s="220">
        <f ca="1">IF(Изчисления!$K$196=1,$E$21,INDIRECT("D"&amp;Изчисления!$K$188*30+ROW()-1))</f>
        <v>2.9</v>
      </c>
      <c r="I5" s="220">
        <f ca="1">IF(Изчисления!$K$196=1,$E$21,INDIRECT("D"&amp;Изчисления!$K$188*30+ROW()-1))</f>
        <v>2.9</v>
      </c>
      <c r="J5" s="220">
        <f ca="1">IF(Изчисления!$K$196=1,$E$21,INDIRECT("D"&amp;Изчисления!$K$188*30+ROW()-1))</f>
        <v>2.9</v>
      </c>
      <c r="K5" s="220">
        <f ca="1">IF(Изчисления!$K$196=1,$E$21,INDIRECT("D"&amp;Изчисления!$K$188*30+ROW()-1))</f>
        <v>2.9</v>
      </c>
      <c r="L5" s="220">
        <f ca="1">IF(Изчисления!$K$196=1,$E$21,INDIRECT("D"&amp;Изчисления!$K$188*30+ROW()-1))</f>
        <v>2.9</v>
      </c>
      <c r="M5" s="220">
        <f ca="1">IF(Изчисления!$K$196=1,$E$21,INDIRECT("D"&amp;Изчисления!$K$188*30+ROW()-1))</f>
        <v>2.9</v>
      </c>
      <c r="N5" s="220">
        <f ca="1">IF(Изчисления!$K$196=1,$E$21,INDIRECT("D"&amp;Изчисления!$K$188*30+ROW()-1))</f>
        <v>2.9</v>
      </c>
      <c r="O5" s="220">
        <f ca="1">IF(Изчисления!$K$196=1,$E$21,INDIRECT("D"&amp;Изчисления!$K$188*30+ROW()-1))</f>
        <v>2.9</v>
      </c>
      <c r="P5" s="220">
        <f ca="1">IF(Изчисления!$K$196=1,$E$21,INDIRECT("D"&amp;Изчисления!$K$188*30+ROW()-1))</f>
        <v>2.9</v>
      </c>
      <c r="Q5" s="220">
        <f ca="1">IF(Изчисления!$K$196=1,$E$21,INDIRECT("D"&amp;Изчисления!$K$188*30+ROW()-1))</f>
        <v>2.9</v>
      </c>
      <c r="R5" s="220">
        <f ca="1">IF(Изчисления!$K$196=1,$E$21,INDIRECT("D"&amp;Изчисления!$K$188*30+ROW()-1))</f>
        <v>2.9</v>
      </c>
      <c r="S5" s="220">
        <f ca="1">IF(Изчисления!$K$196=1,$E$21,INDIRECT("D"&amp;Изчисления!$K$188*30+ROW()-1))</f>
        <v>2.9</v>
      </c>
      <c r="T5" s="220">
        <f ca="1">IF(Изчисления!$K$196=1,$E$21,INDIRECT("D"&amp;Изчисления!$K$188*30+ROW()-1))</f>
        <v>2.9</v>
      </c>
      <c r="U5" s="220">
        <f ca="1">IF(Изчисления!$K$196=1,$E$21,INDIRECT("D"&amp;Изчисления!$K$188*30+ROW()-1))</f>
        <v>2.9</v>
      </c>
      <c r="V5" s="220">
        <f ca="1">IF(Изчисления!$K$196=1,$E$21,INDIRECT("D"&amp;Изчисления!$K$188*30+ROW()-1))</f>
        <v>2.9</v>
      </c>
      <c r="W5" s="220">
        <f ca="1">IF(Изчисления!$K$196=1,$E$21,INDIRECT("D"&amp;Изчисления!$K$188*30+ROW()-1))</f>
        <v>2.9</v>
      </c>
      <c r="X5" s="220">
        <f ca="1">IF(Изчисления!$K$196=1,$E$21,INDIRECT("D"&amp;Изчисления!$K$188*30+ROW()-1))</f>
        <v>2.9</v>
      </c>
      <c r="Y5" s="220">
        <f ca="1">IF(Изчисления!$K$196=1,$E$21,INDIRECT("D"&amp;Изчисления!$K$188*30+ROW()-1))</f>
        <v>2.9</v>
      </c>
      <c r="Z5" s="220">
        <f ca="1">IF(Изчисления!$K$196=1,$E$21,INDIRECT("D"&amp;Изчисления!$K$188*30+ROW()-1))</f>
        <v>2.9</v>
      </c>
      <c r="AA5" s="220">
        <f ca="1">IF(Изчисления!$K$196=1,$E$21,INDIRECT("D"&amp;Изчисления!$K$188*30+ROW()-1))</f>
        <v>2.9</v>
      </c>
      <c r="AB5" s="222" t="s">
        <v>878</v>
      </c>
      <c r="AC5" s="223" t="s">
        <v>947</v>
      </c>
      <c r="AD5" s="220">
        <f ca="1">INDIRECT("ad"&amp;Изчисления!$K$188*30+ROW()-1)</f>
        <v>43</v>
      </c>
      <c r="AE5" s="220">
        <f ca="1">INDIRECT("ae"&amp;Изчисления!$K$188*30+ROW()-1)</f>
        <v>64.900000000000006</v>
      </c>
      <c r="AF5" s="220">
        <f ca="1">INDIRECT("af"&amp;Изчисления!$K$188*30+ROW()-1)</f>
        <v>74.900000000000006</v>
      </c>
      <c r="AG5" s="220">
        <f ca="1">INDIRECT("ag"&amp;Изчисления!$K$188*30+ROW()-1)</f>
        <v>92.4</v>
      </c>
      <c r="AH5" s="220">
        <f ca="1">INDIRECT("ah"&amp;Изчисления!$K$188*30+ROW()-1)</f>
        <v>75.099999999999994</v>
      </c>
      <c r="AI5" s="220">
        <f ca="1">INDIRECT("ai"&amp;Изчисления!$K$188*30+ROW()-1)</f>
        <v>49.6</v>
      </c>
      <c r="AJ5" s="220">
        <f ca="1">INDIRECT("aj"&amp;Изчисления!$K$188*30+ROW()-1)</f>
        <v>38.299999999999997</v>
      </c>
    </row>
    <row r="6" spans="1:36" ht="16.2" x14ac:dyDescent="0.35">
      <c r="A6" s="218" t="s">
        <v>923</v>
      </c>
      <c r="B6" s="217" t="s">
        <v>875</v>
      </c>
      <c r="C6" s="219" t="s">
        <v>946</v>
      </c>
      <c r="D6" s="220">
        <f ca="1">IF(Изчисления!$K$196=1,$F$21,INDIRECT("D"&amp;Изчисления!$K$188*30+ROW()-1))</f>
        <v>5.7</v>
      </c>
      <c r="E6" s="220">
        <f ca="1">IF(Изчисления!$K$196=1,$F$21,INDIRECT("D"&amp;Изчисления!$K$188*30+ROW()-1))</f>
        <v>5.7</v>
      </c>
      <c r="F6" s="220">
        <f ca="1">IF(Изчисления!$K$196=1,$F$21,INDIRECT("D"&amp;Изчисления!$K$188*30+ROW()-1))</f>
        <v>5.7</v>
      </c>
      <c r="G6" s="220">
        <f ca="1">IF(Изчисления!$K$196=1,$F$21,INDIRECT("D"&amp;Изчисления!$K$188*30+ROW()-1))</f>
        <v>5.7</v>
      </c>
      <c r="H6" s="220">
        <f ca="1">IF(Изчисления!$K$196=1,$F$21,INDIRECT("D"&amp;Изчисления!$K$188*30+ROW()-1))</f>
        <v>5.7</v>
      </c>
      <c r="I6" s="220">
        <f ca="1">IF(Изчисления!$K$196=1,$F$21,INDIRECT("D"&amp;Изчисления!$K$188*30+ROW()-1))</f>
        <v>5.7</v>
      </c>
      <c r="J6" s="220">
        <f ca="1">IF(Изчисления!$K$196=1,$F$21,INDIRECT("D"&amp;Изчисления!$K$188*30+ROW()-1))</f>
        <v>5.7</v>
      </c>
      <c r="K6" s="220">
        <f ca="1">IF(Изчисления!$K$196=1,$F$21,INDIRECT("D"&amp;Изчисления!$K$188*30+ROW()-1))</f>
        <v>5.7</v>
      </c>
      <c r="L6" s="220">
        <f ca="1">IF(Изчисления!$K$196=1,$F$21,INDIRECT("D"&amp;Изчисления!$K$188*30+ROW()-1))</f>
        <v>5.7</v>
      </c>
      <c r="M6" s="220">
        <f ca="1">IF(Изчисления!$K$196=1,$F$21,INDIRECT("D"&amp;Изчисления!$K$188*30+ROW()-1))</f>
        <v>5.7</v>
      </c>
      <c r="N6" s="220">
        <f ca="1">IF(Изчисления!$K$196=1,$F$21,INDIRECT("D"&amp;Изчисления!$K$188*30+ROW()-1))</f>
        <v>5.7</v>
      </c>
      <c r="O6" s="220">
        <f ca="1">IF(Изчисления!$K$196=1,$F$21,INDIRECT("D"&amp;Изчисления!$K$188*30+ROW()-1))</f>
        <v>5.7</v>
      </c>
      <c r="P6" s="220">
        <f ca="1">IF(Изчисления!$K$196=1,$F$21,INDIRECT("D"&amp;Изчисления!$K$188*30+ROW()-1))</f>
        <v>5.7</v>
      </c>
      <c r="Q6" s="220">
        <f ca="1">IF(Изчисления!$K$196=1,$F$21,INDIRECT("D"&amp;Изчисления!$K$188*30+ROW()-1))</f>
        <v>5.7</v>
      </c>
      <c r="R6" s="220">
        <f ca="1">IF(Изчисления!$K$196=1,$F$21,INDIRECT("D"&amp;Изчисления!$K$188*30+ROW()-1))</f>
        <v>5.7</v>
      </c>
      <c r="S6" s="220">
        <f ca="1">IF(Изчисления!$K$196=1,$F$21,INDIRECT("D"&amp;Изчисления!$K$188*30+ROW()-1))</f>
        <v>5.7</v>
      </c>
      <c r="T6" s="220">
        <f ca="1">IF(Изчисления!$K$196=1,$F$21,INDIRECT("D"&amp;Изчисления!$K$188*30+ROW()-1))</f>
        <v>5.7</v>
      </c>
      <c r="U6" s="220">
        <f ca="1">IF(Изчисления!$K$196=1,$F$21,INDIRECT("D"&amp;Изчисления!$K$188*30+ROW()-1))</f>
        <v>5.7</v>
      </c>
      <c r="V6" s="220">
        <f ca="1">IF(Изчисления!$K$196=1,$F$21,INDIRECT("D"&amp;Изчисления!$K$188*30+ROW()-1))</f>
        <v>5.7</v>
      </c>
      <c r="W6" s="220">
        <f ca="1">IF(Изчисления!$K$196=1,$F$21,INDIRECT("D"&amp;Изчисления!$K$188*30+ROW()-1))</f>
        <v>5.7</v>
      </c>
      <c r="X6" s="220">
        <f ca="1">IF(Изчисления!$K$196=1,$F$21,INDIRECT("D"&amp;Изчисления!$K$188*30+ROW()-1))</f>
        <v>5.7</v>
      </c>
      <c r="Y6" s="220">
        <f ca="1">IF(Изчисления!$K$196=1,$F$21,INDIRECT("D"&amp;Изчисления!$K$188*30+ROW()-1))</f>
        <v>5.7</v>
      </c>
      <c r="Z6" s="220">
        <f ca="1">IF(Изчисления!$K$196=1,$F$21,INDIRECT("D"&amp;Изчисления!$K$188*30+ROW()-1))</f>
        <v>5.7</v>
      </c>
      <c r="AA6" s="220">
        <f ca="1">IF(Изчисления!$K$196=1,$F$21,INDIRECT("D"&amp;Изчисления!$K$188*30+ROW()-1))</f>
        <v>5.7</v>
      </c>
      <c r="AB6" s="222" t="s">
        <v>879</v>
      </c>
      <c r="AC6" s="223" t="s">
        <v>947</v>
      </c>
      <c r="AD6" s="220">
        <f ca="1">INDIRECT("ad"&amp;Изчисления!$K$188*30+ROW()-1)</f>
        <v>77.3</v>
      </c>
      <c r="AE6" s="220">
        <f ca="1">INDIRECT("ae"&amp;Изчисления!$K$188*30+ROW()-1)</f>
        <v>105.8</v>
      </c>
      <c r="AF6" s="220">
        <f ca="1">INDIRECT("af"&amp;Изчисления!$K$188*30+ROW()-1)</f>
        <v>97.1</v>
      </c>
      <c r="AG6" s="220">
        <f ca="1">INDIRECT("ag"&amp;Изчисления!$K$188*30+ROW()-1)</f>
        <v>91.5</v>
      </c>
      <c r="AH6" s="220">
        <f ca="1">INDIRECT("ah"&amp;Изчисления!$K$188*30+ROW()-1)</f>
        <v>117.4</v>
      </c>
      <c r="AI6" s="220">
        <f ca="1">INDIRECT("ai"&amp;Изчисления!$K$188*30+ROW()-1)</f>
        <v>87.7</v>
      </c>
      <c r="AJ6" s="220">
        <f ca="1">INDIRECT("aj"&amp;Изчисления!$K$188*30+ROW()-1)</f>
        <v>70.8</v>
      </c>
    </row>
    <row r="7" spans="1:36" ht="16.2" x14ac:dyDescent="0.35">
      <c r="A7" s="218" t="s">
        <v>924</v>
      </c>
      <c r="B7" s="217" t="s">
        <v>875</v>
      </c>
      <c r="C7" s="219" t="s">
        <v>946</v>
      </c>
      <c r="D7" s="220">
        <f ca="1">IF(Изчисления!$K$196=1,$G$21,INDIRECT("D"&amp;Изчисления!$K$188*30+ROW()-1))</f>
        <v>10.9</v>
      </c>
      <c r="E7" s="220">
        <f ca="1">IF(Изчисления!$K$196=1,$G$21,INDIRECT("D"&amp;Изчисления!$K$188*30+ROW()-1))</f>
        <v>10.9</v>
      </c>
      <c r="F7" s="220">
        <f ca="1">IF(Изчисления!$K$196=1,$G$21,INDIRECT("D"&amp;Изчисления!$K$188*30+ROW()-1))</f>
        <v>10.9</v>
      </c>
      <c r="G7" s="220">
        <f ca="1">IF(Изчисления!$K$196=1,$G$21,INDIRECT("D"&amp;Изчисления!$K$188*30+ROW()-1))</f>
        <v>10.9</v>
      </c>
      <c r="H7" s="220">
        <f ca="1">IF(Изчисления!$K$196=1,$G$21,INDIRECT("D"&amp;Изчисления!$K$188*30+ROW()-1))</f>
        <v>10.9</v>
      </c>
      <c r="I7" s="220">
        <f ca="1">IF(Изчисления!$K$196=1,$G$21,INDIRECT("D"&amp;Изчисления!$K$188*30+ROW()-1))</f>
        <v>10.9</v>
      </c>
      <c r="J7" s="220">
        <f ca="1">IF(Изчисления!$K$196=1,$G$21,INDIRECT("D"&amp;Изчисления!$K$188*30+ROW()-1))</f>
        <v>10.9</v>
      </c>
      <c r="K7" s="220">
        <f ca="1">IF(Изчисления!$K$196=1,$G$21,INDIRECT("D"&amp;Изчисления!$K$188*30+ROW()-1))</f>
        <v>10.9</v>
      </c>
      <c r="L7" s="220">
        <f ca="1">IF(Изчисления!$K$196=1,$G$21,INDIRECT("D"&amp;Изчисления!$K$188*30+ROW()-1))</f>
        <v>10.9</v>
      </c>
      <c r="M7" s="220">
        <f ca="1">IF(Изчисления!$K$196=1,$G$21,INDIRECT("D"&amp;Изчисления!$K$188*30+ROW()-1))</f>
        <v>10.9</v>
      </c>
      <c r="N7" s="220">
        <f ca="1">IF(Изчисления!$K$196=1,$G$21,INDIRECT("D"&amp;Изчисления!$K$188*30+ROW()-1))</f>
        <v>10.9</v>
      </c>
      <c r="O7" s="220">
        <f ca="1">IF(Изчисления!$K$196=1,$G$21,INDIRECT("D"&amp;Изчисления!$K$188*30+ROW()-1))</f>
        <v>10.9</v>
      </c>
      <c r="P7" s="220">
        <f ca="1">IF(Изчисления!$K$196=1,$G$21,INDIRECT("D"&amp;Изчисления!$K$188*30+ROW()-1))</f>
        <v>10.9</v>
      </c>
      <c r="Q7" s="220">
        <f ca="1">IF(Изчисления!$K$196=1,$G$21,INDIRECT("D"&amp;Изчисления!$K$188*30+ROW()-1))</f>
        <v>10.9</v>
      </c>
      <c r="R7" s="220">
        <f ca="1">IF(Изчисления!$K$196=1,$G$21,INDIRECT("D"&amp;Изчисления!$K$188*30+ROW()-1))</f>
        <v>10.9</v>
      </c>
      <c r="S7" s="220">
        <f ca="1">IF(Изчисления!$K$196=1,$G$21,INDIRECT("D"&amp;Изчисления!$K$188*30+ROW()-1))</f>
        <v>10.9</v>
      </c>
      <c r="T7" s="220">
        <f ca="1">IF(Изчисления!$K$196=1,$G$21,INDIRECT("D"&amp;Изчисления!$K$188*30+ROW()-1))</f>
        <v>10.9</v>
      </c>
      <c r="U7" s="220">
        <f ca="1">IF(Изчисления!$K$196=1,$G$21,INDIRECT("D"&amp;Изчисления!$K$188*30+ROW()-1))</f>
        <v>10.9</v>
      </c>
      <c r="V7" s="220">
        <f ca="1">IF(Изчисления!$K$196=1,$G$21,INDIRECT("D"&amp;Изчисления!$K$188*30+ROW()-1))</f>
        <v>10.9</v>
      </c>
      <c r="W7" s="220">
        <f ca="1">IF(Изчисления!$K$196=1,$G$21,INDIRECT("D"&amp;Изчисления!$K$188*30+ROW()-1))</f>
        <v>10.9</v>
      </c>
      <c r="X7" s="220">
        <f ca="1">IF(Изчисления!$K$196=1,$G$21,INDIRECT("D"&amp;Изчисления!$K$188*30+ROW()-1))</f>
        <v>10.9</v>
      </c>
      <c r="Y7" s="220">
        <f ca="1">IF(Изчисления!$K$196=1,$G$21,INDIRECT("D"&amp;Изчисления!$K$188*30+ROW()-1))</f>
        <v>10.9</v>
      </c>
      <c r="Z7" s="220">
        <f ca="1">IF(Изчисления!$K$196=1,$G$21,INDIRECT("D"&amp;Изчисления!$K$188*30+ROW()-1))</f>
        <v>10.9</v>
      </c>
      <c r="AA7" s="220">
        <f ca="1">IF(Изчисления!$K$196=1,$G$21,INDIRECT("D"&amp;Изчисления!$K$188*30+ROW()-1))</f>
        <v>10.9</v>
      </c>
      <c r="AB7" s="222" t="s">
        <v>880</v>
      </c>
      <c r="AC7" s="223" t="s">
        <v>947</v>
      </c>
      <c r="AD7" s="220">
        <f ca="1">INDIRECT("ad"&amp;Изчисления!$K$188*30+ROW()-1)</f>
        <v>43</v>
      </c>
      <c r="AE7" s="220">
        <f ca="1">INDIRECT("ae"&amp;Изчисления!$K$188*30+ROW()-1)</f>
        <v>64.900000000000006</v>
      </c>
      <c r="AF7" s="220">
        <f ca="1">INDIRECT("af"&amp;Изчисления!$K$188*30+ROW()-1)</f>
        <v>74.900000000000006</v>
      </c>
      <c r="AG7" s="220">
        <f ca="1">INDIRECT("ag"&amp;Изчисления!$K$188*30+ROW()-1)</f>
        <v>92.4</v>
      </c>
      <c r="AH7" s="220">
        <f ca="1">INDIRECT("ah"&amp;Изчисления!$K$188*30+ROW()-1)</f>
        <v>75.099999999999994</v>
      </c>
      <c r="AI7" s="220">
        <f ca="1">INDIRECT("ai"&amp;Изчисления!$K$188*30+ROW()-1)</f>
        <v>49.6</v>
      </c>
      <c r="AJ7" s="220">
        <f ca="1">INDIRECT("aj"&amp;Изчисления!$K$188*30+ROW()-1)</f>
        <v>38.299999999999997</v>
      </c>
    </row>
    <row r="8" spans="1:36" ht="16.2" x14ac:dyDescent="0.35">
      <c r="A8" s="976" t="s">
        <v>169</v>
      </c>
      <c r="B8" s="217" t="s">
        <v>875</v>
      </c>
      <c r="C8" s="219" t="s">
        <v>946</v>
      </c>
      <c r="D8" s="220">
        <f ca="1">INDIRECT("D"&amp;Изчисления!$K$188*30+ROW()-1)</f>
        <v>13.3</v>
      </c>
      <c r="E8" s="220">
        <f ca="1">INDIRECT("E"&amp;Изчисления!$K$188*30+ROW()-1)</f>
        <v>13.1</v>
      </c>
      <c r="F8" s="220">
        <f ca="1">INDIRECT("f"&amp;Изчисления!$K$188*30+ROW()-1)</f>
        <v>12.9</v>
      </c>
      <c r="G8" s="220">
        <f ca="1">INDIRECT("g"&amp;Изчисления!$K$188*30+ROW()-1)</f>
        <v>12.7</v>
      </c>
      <c r="H8" s="220">
        <f ca="1">INDIRECT("h"&amp;Изчисления!$K$188*30+ROW()-1)</f>
        <v>12.5</v>
      </c>
      <c r="I8" s="220">
        <f ca="1">INDIRECT("i"&amp;Изчисления!$K$188*30+ROW()-1)</f>
        <v>13.4</v>
      </c>
      <c r="J8" s="220">
        <f ca="1">INDIRECT("j"&amp;Изчисления!$K$188*30+ROW()-1)</f>
        <v>14.3</v>
      </c>
      <c r="K8" s="220">
        <f ca="1">INDIRECT("k"&amp;Изчисления!$K$188*30+ROW()-1)</f>
        <v>15.2</v>
      </c>
      <c r="L8" s="220">
        <f ca="1">INDIRECT("l"&amp;Изчисления!$K$188*30+ROW()-1)</f>
        <v>16.100000000000001</v>
      </c>
      <c r="M8" s="220">
        <f ca="1">INDIRECT("m"&amp;Изчисления!$K$188*30+ROW()-1)</f>
        <v>17.2</v>
      </c>
      <c r="N8" s="220">
        <f ca="1">INDIRECT("n"&amp;Изчисления!$K$188*30+ROW()-1)</f>
        <v>18.2</v>
      </c>
      <c r="O8" s="220">
        <f ca="1">INDIRECT("o"&amp;Изчисления!$K$188*30+ROW()-1)</f>
        <v>18.100000000000001</v>
      </c>
      <c r="P8" s="220">
        <f ca="1">INDIRECT("p"&amp;Изчисления!$K$188*30+ROW()-1)</f>
        <v>18.100000000000001</v>
      </c>
      <c r="Q8" s="220">
        <f ca="1">INDIRECT("q"&amp;Изчисления!$K$188*30+ROW()-1)</f>
        <v>18.100000000000001</v>
      </c>
      <c r="R8" s="220">
        <f ca="1">INDIRECT("r"&amp;Изчисления!$K$188*30+ROW()-1)</f>
        <v>17.8</v>
      </c>
      <c r="S8" s="220">
        <f ca="1">INDIRECT("s"&amp;Изчисления!$K$188*30+ROW()-1)</f>
        <v>17.5</v>
      </c>
      <c r="T8" s="220">
        <f ca="1">INDIRECT("t"&amp;Изчисления!$K$188*30+ROW()-1)</f>
        <v>17.2</v>
      </c>
      <c r="U8" s="220">
        <f ca="1">INDIRECT("u"&amp;Изчисления!$K$188*30+ROW()-1)</f>
        <v>16.600000000000001</v>
      </c>
      <c r="V8" s="220">
        <f ca="1">INDIRECT("v"&amp;Изчисления!$K$188*30+ROW()-1)</f>
        <v>15.9</v>
      </c>
      <c r="W8" s="220">
        <f ca="1">INDIRECT("w"&amp;Изчисления!$K$188*30+ROW()-1)</f>
        <v>15.3</v>
      </c>
      <c r="X8" s="220">
        <f ca="1">INDIRECT("x"&amp;Изчисления!$K$188*30+ROW()-1)</f>
        <v>14.8</v>
      </c>
      <c r="Y8" s="220">
        <f ca="1">INDIRECT("y"&amp;Изчисления!$K$188*30+ROW()-1)</f>
        <v>14.3</v>
      </c>
      <c r="Z8" s="220">
        <f ca="1">INDIRECT("z"&amp;Изчисления!$K$188*30+ROW()-1)</f>
        <v>13.9</v>
      </c>
      <c r="AA8" s="220">
        <f ca="1">INDIRECT("aa"&amp;Изчисления!$K$188*30+ROW()-1)</f>
        <v>13.6</v>
      </c>
      <c r="AB8" s="222" t="s">
        <v>881</v>
      </c>
      <c r="AC8" s="223" t="s">
        <v>947</v>
      </c>
      <c r="AD8" s="220">
        <f ca="1">INDIRECT("ad"&amp;Изчисления!$K$188*30+ROW()-1)</f>
        <v>53.5</v>
      </c>
      <c r="AE8" s="220">
        <f ca="1">INDIRECT("ae"&amp;Изчисления!$K$188*30+ROW()-1)</f>
        <v>88.5</v>
      </c>
      <c r="AF8" s="220">
        <f ca="1">INDIRECT("af"&amp;Изчисления!$K$188*30+ROW()-1)</f>
        <v>118.7</v>
      </c>
      <c r="AG8" s="220">
        <f ca="1">INDIRECT("ag"&amp;Изчисления!$K$188*30+ROW()-1)</f>
        <v>116.4</v>
      </c>
      <c r="AH8" s="220">
        <f ca="1">INDIRECT("ah"&amp;Изчисления!$K$188*30+ROW()-1)</f>
        <v>106</v>
      </c>
      <c r="AI8" s="220">
        <f ca="1">INDIRECT("ai"&amp;Изчисления!$K$188*30+ROW()-1)</f>
        <v>62.8</v>
      </c>
      <c r="AJ8" s="220">
        <f ca="1">INDIRECT("aj"&amp;Изчисления!$K$188*30+ROW()-1)</f>
        <v>46.3</v>
      </c>
    </row>
    <row r="9" spans="1:36" ht="15.6" x14ac:dyDescent="0.35">
      <c r="A9" s="976"/>
      <c r="B9" s="217" t="s">
        <v>876</v>
      </c>
      <c r="C9" s="219" t="s">
        <v>1</v>
      </c>
      <c r="D9" s="220">
        <f ca="1">INDIRECT("D"&amp;Изчисления!$K$188*30+ROW()-1)</f>
        <v>78</v>
      </c>
      <c r="E9" s="220">
        <f ca="1">INDIRECT("E"&amp;Изчисления!$K$188*30+ROW()-1)</f>
        <v>77</v>
      </c>
      <c r="F9" s="220">
        <f ca="1">INDIRECT("f"&amp;Изчисления!$K$188*30+ROW()-1)</f>
        <v>79</v>
      </c>
      <c r="G9" s="220">
        <f ca="1">INDIRECT("g"&amp;Изчисления!$K$188*30+ROW()-1)</f>
        <v>80</v>
      </c>
      <c r="H9" s="220">
        <f ca="1">INDIRECT("h"&amp;Изчисления!$K$188*30+ROW()-1)</f>
        <v>81</v>
      </c>
      <c r="I9" s="220">
        <f ca="1">INDIRECT("i"&amp;Изчисления!$K$188*30+ROW()-1)</f>
        <v>79</v>
      </c>
      <c r="J9" s="220">
        <f ca="1">INDIRECT("j"&amp;Изчисления!$K$188*30+ROW()-1)</f>
        <v>76</v>
      </c>
      <c r="K9" s="220">
        <f ca="1">INDIRECT("k"&amp;Изчисления!$K$188*30+ROW()-1)</f>
        <v>74</v>
      </c>
      <c r="L9" s="220">
        <f ca="1">INDIRECT("l"&amp;Изчисления!$K$188*30+ROW()-1)</f>
        <v>71</v>
      </c>
      <c r="M9" s="220">
        <f ca="1">INDIRECT("m"&amp;Изчисления!$K$188*30+ROW()-1)</f>
        <v>68</v>
      </c>
      <c r="N9" s="220">
        <f ca="1">INDIRECT("n"&amp;Изчисления!$K$188*30+ROW()-1)</f>
        <v>65</v>
      </c>
      <c r="O9" s="220">
        <f ca="1">INDIRECT("o"&amp;Изчисления!$K$188*30+ROW()-1)</f>
        <v>66</v>
      </c>
      <c r="P9" s="220">
        <f ca="1">INDIRECT("p"&amp;Изчисления!$K$188*30+ROW()-1)</f>
        <v>67</v>
      </c>
      <c r="Q9" s="220">
        <f ca="1">INDIRECT("q"&amp;Изчисления!$K$188*30+ROW()-1)</f>
        <v>68</v>
      </c>
      <c r="R9" s="220">
        <f ca="1">INDIRECT("r"&amp;Изчисления!$K$188*30+ROW()-1)</f>
        <v>69</v>
      </c>
      <c r="S9" s="220">
        <f ca="1">INDIRECT("s"&amp;Изчисления!$K$188*30+ROW()-1)</f>
        <v>69</v>
      </c>
      <c r="T9" s="220">
        <f ca="1">INDIRECT("t"&amp;Изчисления!$K$188*30+ROW()-1)</f>
        <v>70</v>
      </c>
      <c r="U9" s="220">
        <f ca="1">INDIRECT("u"&amp;Изчисления!$K$188*30+ROW()-1)</f>
        <v>73</v>
      </c>
      <c r="V9" s="220">
        <f ca="1">INDIRECT("v"&amp;Изчисления!$K$188*30+ROW()-1)</f>
        <v>75</v>
      </c>
      <c r="W9" s="220">
        <f ca="1">INDIRECT("w"&amp;Изчисления!$K$188*30+ROW()-1)</f>
        <v>78</v>
      </c>
      <c r="X9" s="220">
        <f ca="1">INDIRECT("x"&amp;Изчисления!$K$188*30+ROW()-1)</f>
        <v>78</v>
      </c>
      <c r="Y9" s="220">
        <f ca="1">INDIRECT("y"&amp;Изчисления!$K$188*30+ROW()-1)</f>
        <v>78</v>
      </c>
      <c r="Z9" s="220">
        <f ca="1">INDIRECT("z"&amp;Изчисления!$K$188*30+ROW()-1)</f>
        <v>77</v>
      </c>
      <c r="AA9" s="220">
        <f ca="1">INDIRECT("aa"&amp;Изчисления!$K$188*30+ROW()-1)</f>
        <v>78</v>
      </c>
      <c r="AB9" s="224"/>
      <c r="AC9" s="444" t="s">
        <v>340</v>
      </c>
      <c r="AD9" s="220">
        <f ca="1">INDIRECT("ad"&amp;Изчисления!$K$188*30+ROW()-1)</f>
        <v>2.2000000000000002</v>
      </c>
      <c r="AE9" s="220">
        <f ca="1">INDIRECT("ae"&amp;Изчисления!$K$188*30+ROW()-1)</f>
        <v>2.9</v>
      </c>
      <c r="AF9" s="220">
        <f ca="1">INDIRECT("af"&amp;Изчисления!$K$188*30+ROW()-1)</f>
        <v>5.7</v>
      </c>
      <c r="AG9" s="220">
        <f ca="1">INDIRECT("ag"&amp;Изчисления!$K$188*30+ROW()-1)</f>
        <v>10.9</v>
      </c>
      <c r="AH9" s="220">
        <f ca="1">INDIRECT("ah"&amp;Изчисления!$K$188*30+ROW()-1)</f>
        <v>14.5</v>
      </c>
      <c r="AI9" s="220">
        <f ca="1">INDIRECT("ai"&amp;Изчисления!$K$188*30+ROW()-1)</f>
        <v>9.4</v>
      </c>
      <c r="AJ9" s="220">
        <f ca="1">INDIRECT("aj"&amp;Изчисления!$K$188*30+ROW()-1)</f>
        <v>4.5999999999999996</v>
      </c>
    </row>
    <row r="10" spans="1:36" ht="15.6" x14ac:dyDescent="0.35">
      <c r="A10" s="976" t="s">
        <v>170</v>
      </c>
      <c r="B10" s="217" t="s">
        <v>875</v>
      </c>
      <c r="C10" s="219" t="s">
        <v>946</v>
      </c>
      <c r="D10" s="220">
        <f ca="1">INDIRECT("D"&amp;Изчисления!$K$188*30+ROW()-1)</f>
        <v>16</v>
      </c>
      <c r="E10" s="220">
        <f ca="1">INDIRECT("E"&amp;Изчисления!$K$188*30+ROW()-1)</f>
        <v>16.8</v>
      </c>
      <c r="F10" s="220">
        <f ca="1">INDIRECT("f"&amp;Изчисления!$K$188*30+ROW()-1)</f>
        <v>15.8</v>
      </c>
      <c r="G10" s="220">
        <f ca="1">INDIRECT("g"&amp;Изчисления!$K$188*30+ROW()-1)</f>
        <v>15.3</v>
      </c>
      <c r="H10" s="220">
        <f ca="1">INDIRECT("h"&amp;Изчисления!$K$188*30+ROW()-1)</f>
        <v>16.100000000000001</v>
      </c>
      <c r="I10" s="220">
        <f ca="1">INDIRECT("i"&amp;Изчисления!$K$188*30+ROW()-1)</f>
        <v>15.9</v>
      </c>
      <c r="J10" s="220">
        <f ca="1">INDIRECT("j"&amp;Изчисления!$K$188*30+ROW()-1)</f>
        <v>17.8</v>
      </c>
      <c r="K10" s="220">
        <f ca="1">INDIRECT("k"&amp;Изчисления!$K$188*30+ROW()-1)</f>
        <v>19</v>
      </c>
      <c r="L10" s="220">
        <f ca="1">INDIRECT("l"&amp;Изчисления!$K$188*30+ROW()-1)</f>
        <v>21.3</v>
      </c>
      <c r="M10" s="220">
        <f ca="1">INDIRECT("m"&amp;Изчисления!$K$188*30+ROW()-1)</f>
        <v>22.5</v>
      </c>
      <c r="N10" s="220">
        <f ca="1">INDIRECT("n"&amp;Изчисления!$K$188*30+ROW()-1)</f>
        <v>22.3</v>
      </c>
      <c r="O10" s="220">
        <f ca="1">INDIRECT("o"&amp;Изчисления!$K$188*30+ROW()-1)</f>
        <v>23.8</v>
      </c>
      <c r="P10" s="220">
        <f ca="1">INDIRECT("p"&amp;Изчисления!$K$188*30+ROW()-1)</f>
        <v>23.9</v>
      </c>
      <c r="Q10" s="220">
        <f ca="1">INDIRECT("q"&amp;Изчисления!$K$188*30+ROW()-1)</f>
        <v>23.3</v>
      </c>
      <c r="R10" s="220">
        <f ca="1">INDIRECT("r"&amp;Изчисления!$K$188*30+ROW()-1)</f>
        <v>24.1</v>
      </c>
      <c r="S10" s="220">
        <f ca="1">INDIRECT("s"&amp;Изчисления!$K$188*30+ROW()-1)</f>
        <v>23.8</v>
      </c>
      <c r="T10" s="220">
        <f ca="1">INDIRECT("t"&amp;Изчисления!$K$188*30+ROW()-1)</f>
        <v>22.3</v>
      </c>
      <c r="U10" s="220">
        <f ca="1">INDIRECT("u"&amp;Изчисления!$K$188*30+ROW()-1)</f>
        <v>22.2</v>
      </c>
      <c r="V10" s="220">
        <f ca="1">INDIRECT("v"&amp;Изчисления!$K$188*30+ROW()-1)</f>
        <v>20.9</v>
      </c>
      <c r="W10" s="220">
        <f ca="1">INDIRECT("w"&amp;Изчисления!$K$188*30+ROW()-1)</f>
        <v>19.5</v>
      </c>
      <c r="X10" s="220">
        <f ca="1">INDIRECT("x"&amp;Изчисления!$K$188*30+ROW()-1)</f>
        <v>17.8</v>
      </c>
      <c r="Y10" s="220">
        <f ca="1">INDIRECT("y"&amp;Изчисления!$K$188*30+ROW()-1)</f>
        <v>17.600000000000001</v>
      </c>
      <c r="Z10" s="220">
        <f ca="1">INDIRECT("z"&amp;Изчисления!$K$188*30+ROW()-1)</f>
        <v>17.399999999999999</v>
      </c>
      <c r="AA10" s="220">
        <f ca="1">INDIRECT("aa"&amp;Изчисления!$K$188*30+ROW()-1)</f>
        <v>16.399999999999999</v>
      </c>
      <c r="AB10" s="981" t="s">
        <v>853</v>
      </c>
      <c r="AC10" s="982"/>
      <c r="AD10" s="982"/>
      <c r="AE10" s="982"/>
      <c r="AF10" s="982"/>
      <c r="AG10" s="982"/>
      <c r="AH10" s="982"/>
      <c r="AI10" s="982"/>
      <c r="AJ10" s="982"/>
    </row>
    <row r="11" spans="1:36" ht="16.2" x14ac:dyDescent="0.35">
      <c r="A11" s="976"/>
      <c r="B11" s="217" t="s">
        <v>876</v>
      </c>
      <c r="C11" s="219" t="s">
        <v>1</v>
      </c>
      <c r="D11" s="220">
        <f ca="1">INDIRECT("D"&amp;Изчисления!$K$188*30+ROW()-1)</f>
        <v>89</v>
      </c>
      <c r="E11" s="220">
        <f ca="1">INDIRECT("E"&amp;Изчисления!$K$188*30+ROW()-1)</f>
        <v>89</v>
      </c>
      <c r="F11" s="220">
        <f ca="1">INDIRECT("f"&amp;Изчисления!$K$188*30+ROW()-1)</f>
        <v>90</v>
      </c>
      <c r="G11" s="220">
        <f ca="1">INDIRECT("g"&amp;Изчисления!$K$188*30+ROW()-1)</f>
        <v>91</v>
      </c>
      <c r="H11" s="220">
        <f ca="1">INDIRECT("h"&amp;Изчисления!$K$188*30+ROW()-1)</f>
        <v>88</v>
      </c>
      <c r="I11" s="220">
        <f ca="1">INDIRECT("i"&amp;Изчисления!$K$188*30+ROW()-1)</f>
        <v>89</v>
      </c>
      <c r="J11" s="220">
        <f ca="1">INDIRECT("j"&amp;Изчисления!$K$188*30+ROW()-1)</f>
        <v>83</v>
      </c>
      <c r="K11" s="220">
        <f ca="1">INDIRECT("k"&amp;Изчисления!$K$188*30+ROW()-1)</f>
        <v>79</v>
      </c>
      <c r="L11" s="220">
        <f ca="1">INDIRECT("l"&amp;Изчисления!$K$188*30+ROW()-1)</f>
        <v>69</v>
      </c>
      <c r="M11" s="220">
        <f ca="1">INDIRECT("m"&amp;Изчисления!$K$188*30+ROW()-1)</f>
        <v>65</v>
      </c>
      <c r="N11" s="220">
        <f ca="1">INDIRECT("n"&amp;Изчисления!$K$188*30+ROW()-1)</f>
        <v>71</v>
      </c>
      <c r="O11" s="220">
        <f ca="1">INDIRECT("o"&amp;Изчисления!$K$188*30+ROW()-1)</f>
        <v>59</v>
      </c>
      <c r="P11" s="220">
        <f ca="1">INDIRECT("p"&amp;Изчисления!$K$188*30+ROW()-1)</f>
        <v>60</v>
      </c>
      <c r="Q11" s="220">
        <f ca="1">INDIRECT("q"&amp;Изчисления!$K$188*30+ROW()-1)</f>
        <v>70</v>
      </c>
      <c r="R11" s="220">
        <f ca="1">INDIRECT("r"&amp;Изчисления!$K$188*30+ROW()-1)</f>
        <v>59</v>
      </c>
      <c r="S11" s="220">
        <f ca="1">INDIRECT("s"&amp;Изчисления!$K$188*30+ROW()-1)</f>
        <v>59</v>
      </c>
      <c r="T11" s="220">
        <f ca="1">INDIRECT("t"&amp;Изчисления!$K$188*30+ROW()-1)</f>
        <v>73</v>
      </c>
      <c r="U11" s="220">
        <f ca="1">INDIRECT("u"&amp;Изчисления!$K$188*30+ROW()-1)</f>
        <v>65</v>
      </c>
      <c r="V11" s="220">
        <f ca="1">INDIRECT("v"&amp;Изчисления!$K$188*30+ROW()-1)</f>
        <v>72</v>
      </c>
      <c r="W11" s="220">
        <f ca="1">INDIRECT("w"&amp;Изчисления!$K$188*30+ROW()-1)</f>
        <v>82</v>
      </c>
      <c r="X11" s="220">
        <f ca="1">INDIRECT("x"&amp;Изчисления!$K$188*30+ROW()-1)</f>
        <v>86</v>
      </c>
      <c r="Y11" s="220">
        <f ca="1">INDIRECT("y"&amp;Изчисления!$K$188*30+ROW()-1)</f>
        <v>87</v>
      </c>
      <c r="Z11" s="220">
        <f ca="1">INDIRECT("z"&amp;Изчисления!$K$188*30+ROW()-1)</f>
        <v>89</v>
      </c>
      <c r="AA11" s="220">
        <f ca="1">INDIRECT("aa"&amp;Изчисления!$K$188*30+ROW()-1)</f>
        <v>88</v>
      </c>
      <c r="AB11" s="222" t="s">
        <v>877</v>
      </c>
      <c r="AC11" s="223" t="s">
        <v>947</v>
      </c>
      <c r="AD11" s="220">
        <f ca="1">INDIRECT("ad"&amp;Изчисления!$K$188*30+ROW()-1)</f>
        <v>79.3</v>
      </c>
      <c r="AE11" s="220">
        <f ca="1">INDIRECT("ae"&amp;Изчисления!$K$188*30+ROW()-1)</f>
        <v>85.4</v>
      </c>
      <c r="AF11" s="220">
        <f ca="1">INDIRECT("af"&amp;Изчисления!$K$188*30+ROW()-1)</f>
        <v>84.2</v>
      </c>
      <c r="AG11" s="220">
        <f ca="1">INDIRECT("ag"&amp;Изчисления!$K$188*30+ROW()-1)</f>
        <v>75.599999999999994</v>
      </c>
      <c r="AH11" s="220">
        <f ca="1">INDIRECT("ah"&amp;Изчисления!$K$188*30+ROW()-1)</f>
        <v>60.6</v>
      </c>
      <c r="AI11" s="224"/>
      <c r="AJ11" s="224"/>
    </row>
    <row r="12" spans="1:36" ht="16.2" x14ac:dyDescent="0.35">
      <c r="A12" s="976" t="s">
        <v>171</v>
      </c>
      <c r="B12" s="217" t="s">
        <v>875</v>
      </c>
      <c r="C12" s="219" t="s">
        <v>946</v>
      </c>
      <c r="D12" s="220">
        <f ca="1">INDIRECT("D"&amp;Изчисления!$K$188*30+ROW()-1)</f>
        <v>18.8</v>
      </c>
      <c r="E12" s="220">
        <f ca="1">INDIRECT("E"&amp;Изчисления!$K$188*30+ROW()-1)</f>
        <v>19.8</v>
      </c>
      <c r="F12" s="220">
        <f ca="1">INDIRECT("f"&amp;Изчисления!$K$188*30+ROW()-1)</f>
        <v>18.5</v>
      </c>
      <c r="G12" s="220">
        <f ca="1">INDIRECT("g"&amp;Изчисления!$K$188*30+ROW()-1)</f>
        <v>18.2</v>
      </c>
      <c r="H12" s="220">
        <f ca="1">INDIRECT("h"&amp;Изчисления!$K$188*30+ROW()-1)</f>
        <v>19.2</v>
      </c>
      <c r="I12" s="220">
        <f ca="1">INDIRECT("i"&amp;Изчисления!$K$188*30+ROW()-1)</f>
        <v>18.5</v>
      </c>
      <c r="J12" s="220">
        <f ca="1">INDIRECT("j"&amp;Изчисления!$K$188*30+ROW()-1)</f>
        <v>20.5</v>
      </c>
      <c r="K12" s="220">
        <f ca="1">INDIRECT("k"&amp;Изчисления!$K$188*30+ROW()-1)</f>
        <v>22</v>
      </c>
      <c r="L12" s="220">
        <f ca="1">INDIRECT("l"&amp;Изчисления!$K$188*30+ROW()-1)</f>
        <v>24.1</v>
      </c>
      <c r="M12" s="220">
        <f ca="1">INDIRECT("m"&amp;Изчисления!$K$188*30+ROW()-1)</f>
        <v>25.5</v>
      </c>
      <c r="N12" s="220">
        <f ca="1">INDIRECT("n"&amp;Изчисления!$K$188*30+ROW()-1)</f>
        <v>25.9</v>
      </c>
      <c r="O12" s="220">
        <f ca="1">INDIRECT("o"&amp;Изчисления!$K$188*30+ROW()-1)</f>
        <v>26.6</v>
      </c>
      <c r="P12" s="220">
        <f ca="1">INDIRECT("p"&amp;Изчисления!$K$188*30+ROW()-1)</f>
        <v>26.8</v>
      </c>
      <c r="Q12" s="220">
        <f ca="1">INDIRECT("q"&amp;Изчисления!$K$188*30+ROW()-1)</f>
        <v>26.5</v>
      </c>
      <c r="R12" s="220">
        <f ca="1">INDIRECT("r"&amp;Изчисления!$K$188*30+ROW()-1)</f>
        <v>26.8</v>
      </c>
      <c r="S12" s="220">
        <f ca="1">INDIRECT("s"&amp;Изчисления!$K$188*30+ROW()-1)</f>
        <v>26.5</v>
      </c>
      <c r="T12" s="220">
        <f ca="1">INDIRECT("t"&amp;Изчисления!$K$188*30+ROW()-1)</f>
        <v>25.7</v>
      </c>
      <c r="U12" s="220">
        <f ca="1">INDIRECT("u"&amp;Изчисления!$K$188*30+ROW()-1)</f>
        <v>25.1</v>
      </c>
      <c r="V12" s="220">
        <f ca="1">INDIRECT("v"&amp;Изчисления!$K$188*30+ROW()-1)</f>
        <v>24</v>
      </c>
      <c r="W12" s="220">
        <f ca="1">INDIRECT("w"&amp;Изчисления!$K$188*30+ROW()-1)</f>
        <v>22.9</v>
      </c>
      <c r="X12" s="220">
        <f ca="1">INDIRECT("x"&amp;Изчисления!$K$188*30+ROW()-1)</f>
        <v>21.1</v>
      </c>
      <c r="Y12" s="220">
        <f ca="1">INDIRECT("y"&amp;Изчисления!$K$188*30+ROW()-1)</f>
        <v>20.2</v>
      </c>
      <c r="Z12" s="220">
        <f ca="1">INDIRECT("z"&amp;Изчисления!$K$188*30+ROW()-1)</f>
        <v>20.8</v>
      </c>
      <c r="AA12" s="220">
        <f ca="1">INDIRECT("aa"&amp;Изчисления!$K$188*30+ROW()-1)</f>
        <v>19.100000000000001</v>
      </c>
      <c r="AB12" s="222" t="s">
        <v>878</v>
      </c>
      <c r="AC12" s="223" t="s">
        <v>947</v>
      </c>
      <c r="AD12" s="220">
        <f ca="1">INDIRECT("ad"&amp;Изчисления!$K$188*30+ROW()-1)</f>
        <v>115.5</v>
      </c>
      <c r="AE12" s="220">
        <f ca="1">INDIRECT("ae"&amp;Изчисления!$K$188*30+ROW()-1)</f>
        <v>129.30000000000001</v>
      </c>
      <c r="AF12" s="220">
        <f ca="1">INDIRECT("af"&amp;Изчисления!$K$188*30+ROW()-1)</f>
        <v>133.9</v>
      </c>
      <c r="AG12" s="220">
        <f ca="1">INDIRECT("ag"&amp;Изчисления!$K$188*30+ROW()-1)</f>
        <v>134.30000000000001</v>
      </c>
      <c r="AH12" s="220">
        <f ca="1">INDIRECT("ah"&amp;Изчисления!$K$188*30+ROW()-1)</f>
        <v>113.3</v>
      </c>
      <c r="AI12" s="224"/>
      <c r="AJ12" s="224"/>
    </row>
    <row r="13" spans="1:36" ht="16.2" x14ac:dyDescent="0.35">
      <c r="A13" s="976"/>
      <c r="B13" s="217" t="s">
        <v>876</v>
      </c>
      <c r="C13" s="219" t="s">
        <v>1</v>
      </c>
      <c r="D13" s="220">
        <f ca="1">INDIRECT("D"&amp;Изчисления!$K$188*30+ROW()-1)</f>
        <v>87</v>
      </c>
      <c r="E13" s="220">
        <f ca="1">INDIRECT("E"&amp;Изчисления!$K$188*30+ROW()-1)</f>
        <v>82</v>
      </c>
      <c r="F13" s="220">
        <f ca="1">INDIRECT("f"&amp;Изчисления!$K$188*30+ROW()-1)</f>
        <v>89</v>
      </c>
      <c r="G13" s="220">
        <f ca="1">INDIRECT("g"&amp;Изчисления!$K$188*30+ROW()-1)</f>
        <v>89</v>
      </c>
      <c r="H13" s="220">
        <f ca="1">INDIRECT("h"&amp;Изчисления!$K$188*30+ROW()-1)</f>
        <v>83</v>
      </c>
      <c r="I13" s="220">
        <f ca="1">INDIRECT("i"&amp;Изчисления!$K$188*30+ROW()-1)</f>
        <v>88</v>
      </c>
      <c r="J13" s="220">
        <f ca="1">INDIRECT("j"&amp;Изчисления!$K$188*30+ROW()-1)</f>
        <v>81</v>
      </c>
      <c r="K13" s="220">
        <f ca="1">INDIRECT("k"&amp;Изчисления!$K$188*30+ROW()-1)</f>
        <v>77</v>
      </c>
      <c r="L13" s="220">
        <f ca="1">INDIRECT("l"&amp;Изчисления!$K$188*30+ROW()-1)</f>
        <v>68</v>
      </c>
      <c r="M13" s="220">
        <f ca="1">INDIRECT("m"&amp;Изчисления!$K$188*30+ROW()-1)</f>
        <v>61</v>
      </c>
      <c r="N13" s="220">
        <f ca="1">INDIRECT("n"&amp;Изчисления!$K$188*30+ROW()-1)</f>
        <v>65</v>
      </c>
      <c r="O13" s="220">
        <f ca="1">INDIRECT("o"&amp;Изчисления!$K$188*30+ROW()-1)</f>
        <v>55</v>
      </c>
      <c r="P13" s="220">
        <f ca="1">INDIRECT("p"&amp;Изчисления!$K$188*30+ROW()-1)</f>
        <v>56</v>
      </c>
      <c r="Q13" s="220">
        <f ca="1">INDIRECT("q"&amp;Изчисления!$K$188*30+ROW()-1)</f>
        <v>65</v>
      </c>
      <c r="R13" s="220">
        <f ca="1">INDIRECT("r"&amp;Изчисления!$K$188*30+ROW()-1)</f>
        <v>55</v>
      </c>
      <c r="S13" s="220">
        <f ca="1">INDIRECT("s"&amp;Изчисления!$K$188*30+ROW()-1)</f>
        <v>57</v>
      </c>
      <c r="T13" s="220">
        <f ca="1">INDIRECT("t"&amp;Изчисления!$K$188*30+ROW()-1)</f>
        <v>67</v>
      </c>
      <c r="U13" s="220">
        <f ca="1">INDIRECT("u"&amp;Изчисления!$K$188*30+ROW()-1)</f>
        <v>62</v>
      </c>
      <c r="V13" s="220">
        <f ca="1">INDIRECT("v"&amp;Изчисления!$K$188*30+ROW()-1)</f>
        <v>66</v>
      </c>
      <c r="W13" s="220">
        <f ca="1">INDIRECT("w"&amp;Изчисления!$K$188*30+ROW()-1)</f>
        <v>74</v>
      </c>
      <c r="X13" s="220">
        <f ca="1">INDIRECT("x"&amp;Изчисления!$K$188*30+ROW()-1)</f>
        <v>80</v>
      </c>
      <c r="Y13" s="220">
        <f ca="1">INDIRECT("y"&amp;Изчисления!$K$188*30+ROW()-1)</f>
        <v>84</v>
      </c>
      <c r="Z13" s="220">
        <f ca="1">INDIRECT("z"&amp;Изчисления!$K$188*30+ROW()-1)</f>
        <v>81</v>
      </c>
      <c r="AA13" s="220">
        <f ca="1">INDIRECT("aa"&amp;Изчисления!$K$188*30+ROW()-1)</f>
        <v>86</v>
      </c>
      <c r="AB13" s="222" t="s">
        <v>879</v>
      </c>
      <c r="AC13" s="223" t="s">
        <v>947</v>
      </c>
      <c r="AD13" s="220">
        <f ca="1">INDIRECT("ad"&amp;Изчисления!$K$188*30+ROW()-1)</f>
        <v>97.1</v>
      </c>
      <c r="AE13" s="220">
        <f ca="1">INDIRECT("ae"&amp;Изчисления!$K$188*30+ROW()-1)</f>
        <v>103.7</v>
      </c>
      <c r="AF13" s="220">
        <f ca="1">INDIRECT("af"&amp;Изчисления!$K$188*30+ROW()-1)</f>
        <v>112</v>
      </c>
      <c r="AG13" s="220">
        <f ca="1">INDIRECT("ag"&amp;Изчисления!$K$188*30+ROW()-1)</f>
        <v>136.80000000000001</v>
      </c>
      <c r="AH13" s="220">
        <f ca="1">INDIRECT("ah"&amp;Изчисления!$K$188*30+ROW()-1)</f>
        <v>148.19999999999999</v>
      </c>
      <c r="AI13" s="224"/>
      <c r="AJ13" s="224"/>
    </row>
    <row r="14" spans="1:36" ht="16.2" x14ac:dyDescent="0.35">
      <c r="A14" s="976" t="s">
        <v>172</v>
      </c>
      <c r="B14" s="217" t="s">
        <v>875</v>
      </c>
      <c r="C14" s="219" t="s">
        <v>946</v>
      </c>
      <c r="D14" s="220">
        <f ca="1">INDIRECT("D"&amp;Изчисления!$K$188*30+ROW()-1)</f>
        <v>19.100000000000001</v>
      </c>
      <c r="E14" s="220">
        <f ca="1">INDIRECT("E"&amp;Изчисления!$K$188*30+ROW()-1)</f>
        <v>18.8</v>
      </c>
      <c r="F14" s="220">
        <f ca="1">INDIRECT("f"&amp;Изчисления!$K$188*30+ROW()-1)</f>
        <v>18.5</v>
      </c>
      <c r="G14" s="220">
        <f ca="1">INDIRECT("g"&amp;Изчисления!$K$188*30+ROW()-1)</f>
        <v>18.3</v>
      </c>
      <c r="H14" s="220">
        <f ca="1">INDIRECT("h"&amp;Изчисления!$K$188*30+ROW()-1)</f>
        <v>18</v>
      </c>
      <c r="I14" s="220">
        <f ca="1">INDIRECT("i"&amp;Изчисления!$K$188*30+ROW()-1)</f>
        <v>18.7</v>
      </c>
      <c r="J14" s="220">
        <f ca="1">INDIRECT("j"&amp;Изчисления!$K$188*30+ROW()-1)</f>
        <v>19.5</v>
      </c>
      <c r="K14" s="220">
        <f ca="1">INDIRECT("k"&amp;Изчисления!$K$188*30+ROW()-1)</f>
        <v>20</v>
      </c>
      <c r="L14" s="220">
        <f ca="1">INDIRECT("l"&amp;Изчисления!$K$188*30+ROW()-1)</f>
        <v>21.5</v>
      </c>
      <c r="M14" s="220">
        <f ca="1">INDIRECT("m"&amp;Изчисления!$K$188*30+ROW()-1)</f>
        <v>22.9</v>
      </c>
      <c r="N14" s="220">
        <f ca="1">INDIRECT("n"&amp;Изчисления!$K$188*30+ROW()-1)</f>
        <v>24.3</v>
      </c>
      <c r="O14" s="220">
        <f ca="1">INDIRECT("o"&amp;Изчисления!$K$188*30+ROW()-1)</f>
        <v>24.6</v>
      </c>
      <c r="P14" s="220">
        <f ca="1">INDIRECT("p"&amp;Изчисления!$K$188*30+ROW()-1)</f>
        <v>24.9</v>
      </c>
      <c r="Q14" s="220">
        <f ca="1">INDIRECT("q"&amp;Изчисления!$K$188*30+ROW()-1)</f>
        <v>25.3</v>
      </c>
      <c r="R14" s="220">
        <f ca="1">INDIRECT("r"&amp;Изчисления!$K$188*30+ROW()-1)</f>
        <v>25.1</v>
      </c>
      <c r="S14" s="220">
        <f ca="1">INDIRECT("s"&amp;Изчисления!$K$188*30+ROW()-1)</f>
        <v>24.8</v>
      </c>
      <c r="T14" s="220">
        <f ca="1">INDIRECT("t"&amp;Изчисления!$K$188*30+ROW()-1)</f>
        <v>24.5</v>
      </c>
      <c r="U14" s="220">
        <f ca="1">INDIRECT("u"&amp;Изчисления!$K$188*30+ROW()-1)</f>
        <v>23.5</v>
      </c>
      <c r="V14" s="220">
        <f ca="1">INDIRECT("v"&amp;Изчисления!$K$188*30+ROW()-1)</f>
        <v>22.5</v>
      </c>
      <c r="W14" s="220">
        <f ca="1">INDIRECT("w"&amp;Изчисления!$K$188*30+ROW()-1)</f>
        <v>21.5</v>
      </c>
      <c r="X14" s="220">
        <f ca="1">INDIRECT("x"&amp;Изчисления!$K$188*30+ROW()-1)</f>
        <v>20.9</v>
      </c>
      <c r="Y14" s="220">
        <f ca="1">INDIRECT("y"&amp;Изчисления!$K$188*30+ROW()-1)</f>
        <v>20.3</v>
      </c>
      <c r="Z14" s="220">
        <f ca="1">INDIRECT("z"&amp;Изчисления!$K$188*30+ROW()-1)</f>
        <v>19.8</v>
      </c>
      <c r="AA14" s="220">
        <f ca="1">INDIRECT("aa"&amp;Изчисления!$K$188*30+ROW()-1)</f>
        <v>19.5</v>
      </c>
      <c r="AB14" s="222" t="s">
        <v>880</v>
      </c>
      <c r="AC14" s="223" t="s">
        <v>947</v>
      </c>
      <c r="AD14" s="220">
        <f ca="1">INDIRECT("ad"&amp;Изчисления!$K$188*30+ROW()-1)</f>
        <v>115.5</v>
      </c>
      <c r="AE14" s="220">
        <f ca="1">INDIRECT("ae"&amp;Изчисления!$K$188*30+ROW()-1)</f>
        <v>129.30000000000001</v>
      </c>
      <c r="AF14" s="220">
        <f ca="1">INDIRECT("af"&amp;Изчисления!$K$188*30+ROW()-1)</f>
        <v>133.9</v>
      </c>
      <c r="AG14" s="220">
        <f ca="1">INDIRECT("ag"&amp;Изчисления!$K$188*30+ROW()-1)</f>
        <v>134.30000000000001</v>
      </c>
      <c r="AH14" s="220">
        <f ca="1">INDIRECT("ah"&amp;Изчисления!$K$188*30+ROW()-1)</f>
        <v>113.3</v>
      </c>
      <c r="AI14" s="224"/>
      <c r="AJ14" s="224"/>
    </row>
    <row r="15" spans="1:36" ht="16.2" x14ac:dyDescent="0.35">
      <c r="A15" s="976"/>
      <c r="B15" s="217" t="s">
        <v>876</v>
      </c>
      <c r="C15" s="219" t="s">
        <v>1</v>
      </c>
      <c r="D15" s="220">
        <f ca="1">INDIRECT("D"&amp;Изчисления!$K$188*30+ROW()-1)</f>
        <v>87</v>
      </c>
      <c r="E15" s="220">
        <f ca="1">INDIRECT("E"&amp;Изчисления!$K$188*30+ROW()-1)</f>
        <v>87</v>
      </c>
      <c r="F15" s="220">
        <f ca="1">INDIRECT("f"&amp;Изчисления!$K$188*30+ROW()-1)</f>
        <v>89</v>
      </c>
      <c r="G15" s="220">
        <f ca="1">INDIRECT("g"&amp;Изчисления!$K$188*30+ROW()-1)</f>
        <v>89</v>
      </c>
      <c r="H15" s="220">
        <f ca="1">INDIRECT("h"&amp;Изчисления!$K$188*30+ROW()-1)</f>
        <v>90</v>
      </c>
      <c r="I15" s="220">
        <f ca="1">INDIRECT("i"&amp;Изчисления!$K$188*30+ROW()-1)</f>
        <v>89</v>
      </c>
      <c r="J15" s="220">
        <f ca="1">INDIRECT("j"&amp;Изчисления!$K$188*30+ROW()-1)</f>
        <v>87</v>
      </c>
      <c r="K15" s="220">
        <f ca="1">INDIRECT("k"&amp;Изчисления!$K$188*30+ROW()-1)</f>
        <v>85</v>
      </c>
      <c r="L15" s="220">
        <f ca="1">INDIRECT("l"&amp;Изчисления!$K$188*30+ROW()-1)</f>
        <v>81</v>
      </c>
      <c r="M15" s="220">
        <f ca="1">INDIRECT("m"&amp;Изчисления!$K$188*30+ROW()-1)</f>
        <v>77</v>
      </c>
      <c r="N15" s="220">
        <f ca="1">INDIRECT("n"&amp;Изчисления!$K$188*30+ROW()-1)</f>
        <v>73</v>
      </c>
      <c r="O15" s="220">
        <f ca="1">INDIRECT("o"&amp;Изчисления!$K$188*30+ROW()-1)</f>
        <v>72</v>
      </c>
      <c r="P15" s="220">
        <f ca="1">INDIRECT("p"&amp;Изчисления!$K$188*30+ROW()-1)</f>
        <v>71</v>
      </c>
      <c r="Q15" s="220">
        <f ca="1">INDIRECT("q"&amp;Изчисления!$K$188*30+ROW()-1)</f>
        <v>68</v>
      </c>
      <c r="R15" s="220">
        <f ca="1">INDIRECT("r"&amp;Изчисления!$K$188*30+ROW()-1)</f>
        <v>70</v>
      </c>
      <c r="S15" s="220">
        <f ca="1">INDIRECT("s"&amp;Изчисления!$K$188*30+ROW()-1)</f>
        <v>71</v>
      </c>
      <c r="T15" s="220">
        <f ca="1">INDIRECT("t"&amp;Изчисления!$K$188*30+ROW()-1)</f>
        <v>72</v>
      </c>
      <c r="U15" s="220">
        <f ca="1">INDIRECT("u"&amp;Изчисления!$K$188*30+ROW()-1)</f>
        <v>75</v>
      </c>
      <c r="V15" s="220">
        <f ca="1">INDIRECT("v"&amp;Изчисления!$K$188*30+ROW()-1)</f>
        <v>78</v>
      </c>
      <c r="W15" s="220">
        <f ca="1">INDIRECT("w"&amp;Изчисления!$K$188*30+ROW()-1)</f>
        <v>81</v>
      </c>
      <c r="X15" s="220">
        <f ca="1">INDIRECT("x"&amp;Изчисления!$K$188*30+ROW()-1)</f>
        <v>83</v>
      </c>
      <c r="Y15" s="220">
        <f ca="1">INDIRECT("y"&amp;Изчисления!$K$188*30+ROW()-1)</f>
        <v>85</v>
      </c>
      <c r="Z15" s="220">
        <f ca="1">INDIRECT("z"&amp;Изчисления!$K$188*30+ROW()-1)</f>
        <v>86</v>
      </c>
      <c r="AA15" s="220">
        <f ca="1">INDIRECT("aa"&amp;Изчисления!$K$188*30+ROW()-1)</f>
        <v>87</v>
      </c>
      <c r="AB15" s="222" t="s">
        <v>881</v>
      </c>
      <c r="AC15" s="223" t="s">
        <v>947</v>
      </c>
      <c r="AD15" s="220">
        <f ca="1">INDIRECT("ad"&amp;Изчисления!$K$188*30+ROW()-1)</f>
        <v>206.9</v>
      </c>
      <c r="AE15" s="220">
        <f ca="1">INDIRECT("ae"&amp;Изчисления!$K$188*30+ROW()-1)</f>
        <v>231.2</v>
      </c>
      <c r="AF15" s="220">
        <f ca="1">INDIRECT("af"&amp;Изчисления!$K$188*30+ROW()-1)</f>
        <v>239.9</v>
      </c>
      <c r="AG15" s="220">
        <f ca="1">INDIRECT("ag"&amp;Изчисления!$K$188*30+ROW()-1)</f>
        <v>233</v>
      </c>
      <c r="AH15" s="220">
        <f ca="1">INDIRECT("ah"&amp;Изчисления!$K$188*30+ROW()-1)</f>
        <v>178.7</v>
      </c>
      <c r="AI15" s="224"/>
      <c r="AJ15" s="224"/>
    </row>
    <row r="16" spans="1:36" ht="15.6" x14ac:dyDescent="0.35">
      <c r="A16" s="976" t="s">
        <v>173</v>
      </c>
      <c r="B16" s="217" t="s">
        <v>875</v>
      </c>
      <c r="C16" s="219" t="s">
        <v>946</v>
      </c>
      <c r="D16" s="220">
        <f ca="1">INDIRECT("D"&amp;Изчисления!$K$188*30+ROW()-1)</f>
        <v>15.3</v>
      </c>
      <c r="E16" s="220">
        <f ca="1">INDIRECT("E"&amp;Изчисления!$K$188*30+ROW()-1)</f>
        <v>15.5</v>
      </c>
      <c r="F16" s="220">
        <f ca="1">INDIRECT("f"&amp;Изчисления!$K$188*30+ROW()-1)</f>
        <v>15.2</v>
      </c>
      <c r="G16" s="220">
        <f ca="1">INDIRECT("g"&amp;Изчисления!$K$188*30+ROW()-1)</f>
        <v>14.7</v>
      </c>
      <c r="H16" s="220">
        <f ca="1">INDIRECT("h"&amp;Изчисления!$K$188*30+ROW()-1)</f>
        <v>14.7</v>
      </c>
      <c r="I16" s="220">
        <f ca="1">INDIRECT("i"&amp;Изчисления!$K$188*30+ROW()-1)</f>
        <v>14.6</v>
      </c>
      <c r="J16" s="220">
        <f ca="1">INDIRECT("j"&amp;Изчисления!$K$188*30+ROW()-1)</f>
        <v>15.5</v>
      </c>
      <c r="K16" s="220">
        <f ca="1">INDIRECT("k"&amp;Изчисления!$K$188*30+ROW()-1)</f>
        <v>16.7</v>
      </c>
      <c r="L16" s="220">
        <f ca="1">INDIRECT("l"&amp;Изчисления!$K$188*30+ROW()-1)</f>
        <v>18.399999999999999</v>
      </c>
      <c r="M16" s="220">
        <f ca="1">INDIRECT("m"&amp;Изчисления!$K$188*30+ROW()-1)</f>
        <v>20.100000000000001</v>
      </c>
      <c r="N16" s="220">
        <f ca="1">INDIRECT("n"&amp;Изчисления!$K$188*30+ROW()-1)</f>
        <v>21.8</v>
      </c>
      <c r="O16" s="220">
        <f ca="1">INDIRECT("o"&amp;Изчисления!$K$188*30+ROW()-1)</f>
        <v>22</v>
      </c>
      <c r="P16" s="220">
        <f ca="1">INDIRECT("p"&amp;Изчисления!$K$188*30+ROW()-1)</f>
        <v>22.8</v>
      </c>
      <c r="Q16" s="220">
        <f ca="1">INDIRECT("q"&amp;Изчисления!$K$188*30+ROW()-1)</f>
        <v>23.1</v>
      </c>
      <c r="R16" s="220">
        <f ca="1">INDIRECT("r"&amp;Изчисления!$K$188*30+ROW()-1)</f>
        <v>22.7</v>
      </c>
      <c r="S16" s="220">
        <f ca="1">INDIRECT("s"&amp;Изчисления!$K$188*30+ROW()-1)</f>
        <v>22.2</v>
      </c>
      <c r="T16" s="220">
        <f ca="1">INDIRECT("t"&amp;Изчисления!$K$188*30+ROW()-1)</f>
        <v>21.3</v>
      </c>
      <c r="U16" s="220">
        <f ca="1">INDIRECT("u"&amp;Изчисления!$K$188*30+ROW()-1)</f>
        <v>20.5</v>
      </c>
      <c r="V16" s="220">
        <f ca="1">INDIRECT("v"&amp;Изчисления!$K$188*30+ROW()-1)</f>
        <v>19.2</v>
      </c>
      <c r="W16" s="220">
        <f ca="1">INDIRECT("w"&amp;Изчисления!$K$188*30+ROW()-1)</f>
        <v>17.899999999999999</v>
      </c>
      <c r="X16" s="220">
        <f ca="1">INDIRECT("x"&amp;Изчисления!$K$188*30+ROW()-1)</f>
        <v>17.3</v>
      </c>
      <c r="Y16" s="220">
        <f ca="1">INDIRECT("y"&amp;Изчисления!$K$188*30+ROW()-1)</f>
        <v>16.5</v>
      </c>
      <c r="Z16" s="220">
        <f ca="1">INDIRECT("z"&amp;Изчисления!$K$188*30+ROW()-1)</f>
        <v>16.5</v>
      </c>
      <c r="AA16" s="220">
        <f ca="1">INDIRECT("aa"&amp;Изчисления!$K$188*30+ROW()-1)</f>
        <v>15.7</v>
      </c>
      <c r="AB16" s="224"/>
      <c r="AC16" s="224"/>
      <c r="AD16" s="220">
        <f ca="1">INDIRECT("ad"&amp;Изчисления!$K$188*30+ROW()-1)</f>
        <v>16</v>
      </c>
      <c r="AE16" s="220">
        <f ca="1">INDIRECT("ae"&amp;Изчисления!$K$188*30+ROW()-1)</f>
        <v>20.6</v>
      </c>
      <c r="AF16" s="220">
        <f ca="1">INDIRECT("af"&amp;Изчисления!$K$188*30+ROW()-1)</f>
        <v>23.4</v>
      </c>
      <c r="AG16" s="220">
        <f ca="1">INDIRECT("ag"&amp;Изчисления!$K$188*30+ROW()-1)</f>
        <v>23.1</v>
      </c>
      <c r="AH16" s="220">
        <f ca="1">INDIRECT("ah"&amp;Изчисления!$K$188*30+ROW()-1)</f>
        <v>19.7</v>
      </c>
      <c r="AI16" s="224"/>
      <c r="AJ16" s="224"/>
    </row>
    <row r="17" spans="1:36" ht="15.6" x14ac:dyDescent="0.35">
      <c r="A17" s="976"/>
      <c r="B17" s="217" t="s">
        <v>876</v>
      </c>
      <c r="C17" s="219" t="s">
        <v>1</v>
      </c>
      <c r="D17" s="220">
        <f ca="1">INDIRECT("D"&amp;Изчисления!$K$188*30+ROW()-1)</f>
        <v>80</v>
      </c>
      <c r="E17" s="220">
        <f ca="1">INDIRECT("E"&amp;Изчисления!$K$188*30+ROW()-1)</f>
        <v>79</v>
      </c>
      <c r="F17" s="220">
        <f ca="1">INDIRECT("f"&amp;Изчисления!$K$188*30+ROW()-1)</f>
        <v>80</v>
      </c>
      <c r="G17" s="220">
        <f ca="1">INDIRECT("g"&amp;Изчисления!$K$188*30+ROW()-1)</f>
        <v>81</v>
      </c>
      <c r="H17" s="220">
        <f ca="1">INDIRECT("h"&amp;Изчисления!$K$188*30+ROW()-1)</f>
        <v>80</v>
      </c>
      <c r="I17" s="220">
        <f ca="1">INDIRECT("i"&amp;Изчисления!$K$188*30+ROW()-1)</f>
        <v>80</v>
      </c>
      <c r="J17" s="220">
        <f ca="1">INDIRECT("j"&amp;Изчисления!$K$188*30+ROW()-1)</f>
        <v>78</v>
      </c>
      <c r="K17" s="220">
        <f ca="1">INDIRECT("k"&amp;Изчисления!$K$188*30+ROW()-1)</f>
        <v>73</v>
      </c>
      <c r="L17" s="220">
        <f ca="1">INDIRECT("l"&amp;Изчисления!$K$188*30+ROW()-1)</f>
        <v>67</v>
      </c>
      <c r="M17" s="220">
        <f ca="1">INDIRECT("m"&amp;Изчисления!$K$188*30+ROW()-1)</f>
        <v>61</v>
      </c>
      <c r="N17" s="220">
        <f ca="1">INDIRECT("n"&amp;Изчисления!$K$188*30+ROW()-1)</f>
        <v>58</v>
      </c>
      <c r="O17" s="220">
        <f ca="1">INDIRECT("o"&amp;Изчисления!$K$188*30+ROW()-1)</f>
        <v>56</v>
      </c>
      <c r="P17" s="220">
        <f ca="1">INDIRECT("p"&amp;Изчисления!$K$188*30+ROW()-1)</f>
        <v>55</v>
      </c>
      <c r="Q17" s="220">
        <f ca="1">INDIRECT("q"&amp;Изчисления!$K$188*30+ROW()-1)</f>
        <v>56</v>
      </c>
      <c r="R17" s="220">
        <f ca="1">INDIRECT("r"&amp;Изчисления!$K$188*30+ROW()-1)</f>
        <v>55</v>
      </c>
      <c r="S17" s="220">
        <f ca="1">INDIRECT("s"&amp;Изчисления!$K$188*30+ROW()-1)</f>
        <v>58</v>
      </c>
      <c r="T17" s="220">
        <f ca="1">INDIRECT("t"&amp;Изчисления!$K$188*30+ROW()-1)</f>
        <v>63</v>
      </c>
      <c r="U17" s="220">
        <f ca="1">INDIRECT("u"&amp;Изчисления!$K$188*30+ROW()-1)</f>
        <v>64</v>
      </c>
      <c r="V17" s="220">
        <f ca="1">INDIRECT("v"&amp;Изчисления!$K$188*30+ROW()-1)</f>
        <v>68</v>
      </c>
      <c r="W17" s="220">
        <f ca="1">INDIRECT("w"&amp;Изчисления!$K$188*30+ROW()-1)</f>
        <v>73</v>
      </c>
      <c r="X17" s="220">
        <f ca="1">INDIRECT("x"&amp;Изчисления!$K$188*30+ROW()-1)</f>
        <v>74</v>
      </c>
      <c r="Y17" s="220">
        <f ca="1">INDIRECT("y"&amp;Изчисления!$K$188*30+ROW()-1)</f>
        <v>78</v>
      </c>
      <c r="Z17" s="220">
        <f ca="1">INDIRECT("z"&amp;Изчисления!$K$188*30+ROW()-1)</f>
        <v>77</v>
      </c>
      <c r="AA17" s="220">
        <f ca="1">INDIRECT("aa"&amp;Изчисления!$K$188*30+ROW()-1)</f>
        <v>79</v>
      </c>
      <c r="AB17" s="224"/>
      <c r="AC17" s="224"/>
      <c r="AD17" s="224"/>
      <c r="AE17" s="428">
        <f ca="1">INDIRECT("ae"&amp;Изчисления!$K$188*30+ROW()-1)</f>
        <v>5</v>
      </c>
      <c r="AF17" s="224" t="s">
        <v>740</v>
      </c>
      <c r="AG17" s="224"/>
      <c r="AH17" s="224"/>
      <c r="AI17" s="224"/>
      <c r="AJ17" s="224"/>
    </row>
    <row r="18" spans="1:36" ht="15.6" x14ac:dyDescent="0.35">
      <c r="A18" s="218" t="s">
        <v>174</v>
      </c>
      <c r="B18" s="217" t="s">
        <v>875</v>
      </c>
      <c r="C18" s="219" t="s">
        <v>946</v>
      </c>
      <c r="D18" s="220">
        <f ca="1">IF(Изчисления!$K$196=1,$M$21,INDIRECT("D"&amp;Изчисления!$K$188*30+ROW()-1))</f>
        <v>14.5</v>
      </c>
      <c r="E18" s="220">
        <f ca="1">IF(Изчисления!$K$196=1,$M$21,INDIRECT("D"&amp;Изчисления!$K$188*30+ROW()-1))</f>
        <v>14.5</v>
      </c>
      <c r="F18" s="220">
        <f ca="1">IF(Изчисления!$K$196=1,$M$21,INDIRECT("D"&amp;Изчисления!$K$188*30+ROW()-1))</f>
        <v>14.5</v>
      </c>
      <c r="G18" s="220">
        <f ca="1">IF(Изчисления!$K$196=1,$M$21,INDIRECT("D"&amp;Изчисления!$K$188*30+ROW()-1))</f>
        <v>14.5</v>
      </c>
      <c r="H18" s="220">
        <f ca="1">IF(Изчисления!$K$196=1,$M$21,INDIRECT("D"&amp;Изчисления!$K$188*30+ROW()-1))</f>
        <v>14.5</v>
      </c>
      <c r="I18" s="220">
        <f ca="1">IF(Изчисления!$K$196=1,$M$21,INDIRECT("D"&amp;Изчисления!$K$188*30+ROW()-1))</f>
        <v>14.5</v>
      </c>
      <c r="J18" s="220">
        <f ca="1">IF(Изчисления!$K$196=1,$M$21,INDIRECT("D"&amp;Изчисления!$K$188*30+ROW()-1))</f>
        <v>14.5</v>
      </c>
      <c r="K18" s="220">
        <f ca="1">IF(Изчисления!$K$196=1,$M$21,INDIRECT("D"&amp;Изчисления!$K$188*30+ROW()-1))</f>
        <v>14.5</v>
      </c>
      <c r="L18" s="220">
        <f ca="1">IF(Изчисления!$K$196=1,$M$21,INDIRECT("D"&amp;Изчисления!$K$188*30+ROW()-1))</f>
        <v>14.5</v>
      </c>
      <c r="M18" s="220">
        <f ca="1">IF(Изчисления!$K$196=1,$M$21,INDIRECT("D"&amp;Изчисления!$K$188*30+ROW()-1))</f>
        <v>14.5</v>
      </c>
      <c r="N18" s="220">
        <f ca="1">IF(Изчисления!$K$196=1,$M$21,INDIRECT("D"&amp;Изчисления!$K$188*30+ROW()-1))</f>
        <v>14.5</v>
      </c>
      <c r="O18" s="220">
        <f ca="1">IF(Изчисления!$K$196=1,$M$21,INDIRECT("D"&amp;Изчисления!$K$188*30+ROW()-1))</f>
        <v>14.5</v>
      </c>
      <c r="P18" s="220">
        <f ca="1">IF(Изчисления!$K$196=1,$M$21,INDIRECT("D"&amp;Изчисления!$K$188*30+ROW()-1))</f>
        <v>14.5</v>
      </c>
      <c r="Q18" s="220">
        <f ca="1">IF(Изчисления!$K$196=1,$M$21,INDIRECT("D"&amp;Изчисления!$K$188*30+ROW()-1))</f>
        <v>14.5</v>
      </c>
      <c r="R18" s="220">
        <f ca="1">IF(Изчисления!$K$196=1,$M$21,INDIRECT("D"&amp;Изчисления!$K$188*30+ROW()-1))</f>
        <v>14.5</v>
      </c>
      <c r="S18" s="220">
        <f ca="1">IF(Изчисления!$K$196=1,$M$21,INDIRECT("D"&amp;Изчисления!$K$188*30+ROW()-1))</f>
        <v>14.5</v>
      </c>
      <c r="T18" s="220">
        <f ca="1">IF(Изчисления!$K$196=1,$M$21,INDIRECT("D"&amp;Изчисления!$K$188*30+ROW()-1))</f>
        <v>14.5</v>
      </c>
      <c r="U18" s="220">
        <f ca="1">IF(Изчисления!$K$196=1,$M$21,INDIRECT("D"&amp;Изчисления!$K$188*30+ROW()-1))</f>
        <v>14.5</v>
      </c>
      <c r="V18" s="220">
        <f ca="1">IF(Изчисления!$K$196=1,$M$21,INDIRECT("D"&amp;Изчисления!$K$188*30+ROW()-1))</f>
        <v>14.5</v>
      </c>
      <c r="W18" s="220">
        <f ca="1">IF(Изчисления!$K$196=1,$M$21,INDIRECT("D"&amp;Изчисления!$K$188*30+ROW()-1))</f>
        <v>14.5</v>
      </c>
      <c r="X18" s="220">
        <f ca="1">IF(Изчисления!$K$196=1,$M$21,INDIRECT("D"&amp;Изчисления!$K$188*30+ROW()-1))</f>
        <v>14.5</v>
      </c>
      <c r="Y18" s="220">
        <f ca="1">IF(Изчисления!$K$196=1,$M$21,INDIRECT("D"&amp;Изчисления!$K$188*30+ROW()-1))</f>
        <v>14.5</v>
      </c>
      <c r="Z18" s="220">
        <f ca="1">IF(Изчисления!$K$196=1,$M$21,INDIRECT("D"&amp;Изчисления!$K$188*30+ROW()-1))</f>
        <v>14.5</v>
      </c>
      <c r="AA18" s="220">
        <f ca="1">IF(Изчисления!$K$196=1,$M$21,INDIRECT("D"&amp;Изчисления!$K$188*30+ROW()-1))</f>
        <v>14.5</v>
      </c>
      <c r="AB18" s="983" t="s">
        <v>854</v>
      </c>
      <c r="AC18" s="984"/>
      <c r="AD18" s="224"/>
      <c r="AE18" s="238" t="s">
        <v>851</v>
      </c>
      <c r="AF18" s="428">
        <f ca="1">INDIRECT("af"&amp;Изчисления!$K$188*30+ROW()-1)</f>
        <v>2.2000000000000002</v>
      </c>
      <c r="AG18" s="224" t="s">
        <v>852</v>
      </c>
      <c r="AH18" s="224"/>
      <c r="AI18" s="224"/>
      <c r="AJ18" s="224"/>
    </row>
    <row r="19" spans="1:36" ht="15.6" x14ac:dyDescent="0.35">
      <c r="A19" s="218" t="s">
        <v>175</v>
      </c>
      <c r="B19" s="217" t="s">
        <v>875</v>
      </c>
      <c r="C19" s="219" t="s">
        <v>946</v>
      </c>
      <c r="D19" s="220">
        <f ca="1">IF(Изчисления!$K$196=1,$N$21,INDIRECT("D"&amp;Изчисления!$K$188*30+ROW()-1))</f>
        <v>9.4</v>
      </c>
      <c r="E19" s="220">
        <f ca="1">IF(Изчисления!$K$196=1,$N$21,INDIRECT("D"&amp;Изчисления!$K$188*30+ROW()-1))</f>
        <v>9.4</v>
      </c>
      <c r="F19" s="220">
        <f ca="1">IF(Изчисления!$K$196=1,$N$21,INDIRECT("D"&amp;Изчисления!$K$188*30+ROW()-1))</f>
        <v>9.4</v>
      </c>
      <c r="G19" s="220">
        <f ca="1">IF(Изчисления!$K$196=1,$N$21,INDIRECT("D"&amp;Изчисления!$K$188*30+ROW()-1))</f>
        <v>9.4</v>
      </c>
      <c r="H19" s="220">
        <f ca="1">IF(Изчисления!$K$196=1,$N$21,INDIRECT("D"&amp;Изчисления!$K$188*30+ROW()-1))</f>
        <v>9.4</v>
      </c>
      <c r="I19" s="220">
        <f ca="1">IF(Изчисления!$K$196=1,$N$21,INDIRECT("D"&amp;Изчисления!$K$188*30+ROW()-1))</f>
        <v>9.4</v>
      </c>
      <c r="J19" s="220">
        <f ca="1">IF(Изчисления!$K$196=1,$N$21,INDIRECT("D"&amp;Изчисления!$K$188*30+ROW()-1))</f>
        <v>9.4</v>
      </c>
      <c r="K19" s="220">
        <f ca="1">IF(Изчисления!$K$196=1,$N$21,INDIRECT("D"&amp;Изчисления!$K$188*30+ROW()-1))</f>
        <v>9.4</v>
      </c>
      <c r="L19" s="220">
        <f ca="1">IF(Изчисления!$K$196=1,$N$21,INDIRECT("D"&amp;Изчисления!$K$188*30+ROW()-1))</f>
        <v>9.4</v>
      </c>
      <c r="M19" s="220">
        <f ca="1">IF(Изчисления!$K$196=1,$N$21,INDIRECT("D"&amp;Изчисления!$K$188*30+ROW()-1))</f>
        <v>9.4</v>
      </c>
      <c r="N19" s="220">
        <f ca="1">IF(Изчисления!$K$196=1,$N$21,INDIRECT("D"&amp;Изчисления!$K$188*30+ROW()-1))</f>
        <v>9.4</v>
      </c>
      <c r="O19" s="220">
        <f ca="1">IF(Изчисления!$K$196=1,$N$21,INDIRECT("D"&amp;Изчисления!$K$188*30+ROW()-1))</f>
        <v>9.4</v>
      </c>
      <c r="P19" s="220">
        <f ca="1">IF(Изчисления!$K$196=1,$N$21,INDIRECT("D"&amp;Изчисления!$K$188*30+ROW()-1))</f>
        <v>9.4</v>
      </c>
      <c r="Q19" s="220">
        <f ca="1">IF(Изчисления!$K$196=1,$N$21,INDIRECT("D"&amp;Изчисления!$K$188*30+ROW()-1))</f>
        <v>9.4</v>
      </c>
      <c r="R19" s="220">
        <f ca="1">IF(Изчисления!$K$196=1,$N$21,INDIRECT("D"&amp;Изчисления!$K$188*30+ROW()-1))</f>
        <v>9.4</v>
      </c>
      <c r="S19" s="220">
        <f ca="1">IF(Изчисления!$K$196=1,$N$21,INDIRECT("D"&amp;Изчисления!$K$188*30+ROW()-1))</f>
        <v>9.4</v>
      </c>
      <c r="T19" s="220">
        <f ca="1">IF(Изчисления!$K$196=1,$N$21,INDIRECT("D"&amp;Изчисления!$K$188*30+ROW()-1))</f>
        <v>9.4</v>
      </c>
      <c r="U19" s="220">
        <f ca="1">IF(Изчисления!$K$196=1,$N$21,INDIRECT("D"&amp;Изчисления!$K$188*30+ROW()-1))</f>
        <v>9.4</v>
      </c>
      <c r="V19" s="220">
        <f ca="1">IF(Изчисления!$K$196=1,$N$21,INDIRECT("D"&amp;Изчисления!$K$188*30+ROW()-1))</f>
        <v>9.4</v>
      </c>
      <c r="W19" s="220">
        <f ca="1">IF(Изчисления!$K$196=1,$N$21,INDIRECT("D"&amp;Изчисления!$K$188*30+ROW()-1))</f>
        <v>9.4</v>
      </c>
      <c r="X19" s="220">
        <f ca="1">IF(Изчисления!$K$196=1,$N$21,INDIRECT("D"&amp;Изчисления!$K$188*30+ROW()-1))</f>
        <v>9.4</v>
      </c>
      <c r="Y19" s="220">
        <f ca="1">IF(Изчисления!$K$196=1,$N$21,INDIRECT("D"&amp;Изчисления!$K$188*30+ROW()-1))</f>
        <v>9.4</v>
      </c>
      <c r="Z19" s="220">
        <f ca="1">IF(Изчисления!$K$196=1,$N$21,INDIRECT("D"&amp;Изчисления!$K$188*30+ROW()-1))</f>
        <v>9.4</v>
      </c>
      <c r="AA19" s="220">
        <f ca="1">IF(Изчисления!$K$196=1,$N$21,INDIRECT("D"&amp;Изчисления!$K$188*30+ROW()-1))</f>
        <v>9.4</v>
      </c>
      <c r="AB19" s="229">
        <f ca="1">INDIRECT("ab"&amp;Изчисления!$K$188*30+ROW()-1)</f>
        <v>2300</v>
      </c>
      <c r="AC19" s="230"/>
      <c r="AD19" s="224"/>
      <c r="AE19" s="428">
        <f ca="1">INDIRECT("ae"&amp;Изчисления!$K$188*30+ROW()-1)</f>
        <v>25</v>
      </c>
      <c r="AF19" s="224" t="s">
        <v>478</v>
      </c>
      <c r="AG19" s="224"/>
      <c r="AH19" s="224"/>
      <c r="AI19" s="224"/>
      <c r="AJ19" s="224"/>
    </row>
    <row r="20" spans="1:36" ht="15.6" x14ac:dyDescent="0.35">
      <c r="A20" s="218" t="s">
        <v>176</v>
      </c>
      <c r="B20" s="217" t="s">
        <v>875</v>
      </c>
      <c r="C20" s="219" t="s">
        <v>946</v>
      </c>
      <c r="D20" s="220">
        <f ca="1">IF(Изчисления!$K$196=1,$O$21,INDIRECT("D"&amp;Изчисления!$K$188*30+ROW()-1))</f>
        <v>4.5999999999999996</v>
      </c>
      <c r="E20" s="220">
        <f ca="1">IF(Изчисления!$K$196=1,$O$21,INDIRECT("D"&amp;Изчисления!$K$188*30+ROW()-1))</f>
        <v>4.5999999999999996</v>
      </c>
      <c r="F20" s="220">
        <f ca="1">IF(Изчисления!$K$196=1,$O$21,INDIRECT("D"&amp;Изчисления!$K$188*30+ROW()-1))</f>
        <v>4.5999999999999996</v>
      </c>
      <c r="G20" s="220">
        <f ca="1">IF(Изчисления!$K$196=1,$O$21,INDIRECT("D"&amp;Изчисления!$K$188*30+ROW()-1))</f>
        <v>4.5999999999999996</v>
      </c>
      <c r="H20" s="220">
        <f ca="1">IF(Изчисления!$K$196=1,$O$21,INDIRECT("D"&amp;Изчисления!$K$188*30+ROW()-1))</f>
        <v>4.5999999999999996</v>
      </c>
      <c r="I20" s="220">
        <f ca="1">IF(Изчисления!$K$196=1,$O$21,INDIRECT("D"&amp;Изчисления!$K$188*30+ROW()-1))</f>
        <v>4.5999999999999996</v>
      </c>
      <c r="J20" s="220">
        <f ca="1">IF(Изчисления!$K$196=1,$O$21,INDIRECT("D"&amp;Изчисления!$K$188*30+ROW()-1))</f>
        <v>4.5999999999999996</v>
      </c>
      <c r="K20" s="220">
        <f ca="1">IF(Изчисления!$K$196=1,$O$21,INDIRECT("D"&amp;Изчисления!$K$188*30+ROW()-1))</f>
        <v>4.5999999999999996</v>
      </c>
      <c r="L20" s="220">
        <f ca="1">IF(Изчисления!$K$196=1,$O$21,INDIRECT("D"&amp;Изчисления!$K$188*30+ROW()-1))</f>
        <v>4.5999999999999996</v>
      </c>
      <c r="M20" s="220">
        <f ca="1">IF(Изчисления!$K$196=1,$O$21,INDIRECT("D"&amp;Изчисления!$K$188*30+ROW()-1))</f>
        <v>4.5999999999999996</v>
      </c>
      <c r="N20" s="220">
        <f ca="1">IF(Изчисления!$K$196=1,$O$21,INDIRECT("D"&amp;Изчисления!$K$188*30+ROW()-1))</f>
        <v>4.5999999999999996</v>
      </c>
      <c r="O20" s="220">
        <f ca="1">IF(Изчисления!$K$196=1,$O$21,INDIRECT("D"&amp;Изчисления!$K$188*30+ROW()-1))</f>
        <v>4.5999999999999996</v>
      </c>
      <c r="P20" s="220">
        <f ca="1">IF(Изчисления!$K$196=1,$O$21,INDIRECT("D"&amp;Изчисления!$K$188*30+ROW()-1))</f>
        <v>4.5999999999999996</v>
      </c>
      <c r="Q20" s="220">
        <f ca="1">IF(Изчисления!$K$196=1,$O$21,INDIRECT("D"&amp;Изчисления!$K$188*30+ROW()-1))</f>
        <v>4.5999999999999996</v>
      </c>
      <c r="R20" s="220">
        <f ca="1">IF(Изчисления!$K$196=1,$O$21,INDIRECT("D"&amp;Изчисления!$K$188*30+ROW()-1))</f>
        <v>4.5999999999999996</v>
      </c>
      <c r="S20" s="220">
        <f ca="1">IF(Изчисления!$K$196=1,$O$21,INDIRECT("D"&amp;Изчисления!$K$188*30+ROW()-1))</f>
        <v>4.5999999999999996</v>
      </c>
      <c r="T20" s="220">
        <f ca="1">IF(Изчисления!$K$196=1,$O$21,INDIRECT("D"&amp;Изчисления!$K$188*30+ROW()-1))</f>
        <v>4.5999999999999996</v>
      </c>
      <c r="U20" s="220">
        <f ca="1">IF(Изчисления!$K$196=1,$O$21,INDIRECT("D"&amp;Изчисления!$K$188*30+ROW()-1))</f>
        <v>4.5999999999999996</v>
      </c>
      <c r="V20" s="220">
        <f ca="1">IF(Изчисления!$K$196=1,$O$21,INDIRECT("D"&amp;Изчисления!$K$188*30+ROW()-1))</f>
        <v>4.5999999999999996</v>
      </c>
      <c r="W20" s="220">
        <f ca="1">IF(Изчисления!$K$196=1,$O$21,INDIRECT("D"&amp;Изчисления!$K$188*30+ROW()-1))</f>
        <v>4.5999999999999996</v>
      </c>
      <c r="X20" s="220">
        <f ca="1">IF(Изчисления!$K$196=1,$O$21,INDIRECT("D"&amp;Изчисления!$K$188*30+ROW()-1))</f>
        <v>4.5999999999999996</v>
      </c>
      <c r="Y20" s="220">
        <f ca="1">IF(Изчисления!$K$196=1,$O$21,INDIRECT("D"&amp;Изчисления!$K$188*30+ROW()-1))</f>
        <v>4.5999999999999996</v>
      </c>
      <c r="Z20" s="220">
        <f ca="1">IF(Изчисления!$K$196=1,$O$21,INDIRECT("D"&amp;Изчисления!$K$188*30+ROW()-1))</f>
        <v>4.5999999999999996</v>
      </c>
      <c r="AA20" s="220">
        <f ca="1">IF(Изчисления!$K$196=1,$O$21,INDIRECT("D"&amp;Изчисления!$K$188*30+ROW()-1))</f>
        <v>4.5999999999999996</v>
      </c>
      <c r="AB20" s="224"/>
      <c r="AC20" s="224"/>
      <c r="AD20" s="224"/>
      <c r="AE20" s="428">
        <f ca="1">INDIRECT("ae"&amp;Изчисления!$K$188*30+ROW()-1)</f>
        <v>19</v>
      </c>
      <c r="AF20" s="224" t="s">
        <v>472</v>
      </c>
      <c r="AG20" s="224"/>
      <c r="AH20" s="224"/>
      <c r="AI20" s="224"/>
      <c r="AJ20" s="224"/>
    </row>
    <row r="21" spans="1:36" x14ac:dyDescent="0.25">
      <c r="A21" s="487" t="s">
        <v>1096</v>
      </c>
      <c r="C21" s="488" t="s">
        <v>12</v>
      </c>
      <c r="D21" s="220">
        <f ca="1">INDIRECT("D"&amp;Изчисления!$K$188*30+ROW()-1)</f>
        <v>2.2000000000000002</v>
      </c>
      <c r="E21" s="220">
        <f ca="1">INDIRECT("E"&amp;Изчисления!$K$188*30+ROW()-1)</f>
        <v>2.9</v>
      </c>
      <c r="F21" s="220">
        <f ca="1">INDIRECT("f"&amp;Изчисления!$K$188*30+ROW()-1)</f>
        <v>5.7</v>
      </c>
      <c r="G21" s="220">
        <f ca="1">INDIRECT("g"&amp;Изчисления!$K$188*30+ROW()-1)</f>
        <v>10.9</v>
      </c>
      <c r="H21" s="220">
        <f ca="1">INDIRECT("h"&amp;Изчисления!$K$188*30+ROW()-1)</f>
        <v>16</v>
      </c>
      <c r="I21" s="220">
        <f ca="1">INDIRECT("i"&amp;Изчисления!$K$188*30+ROW()-1)</f>
        <v>20.6</v>
      </c>
      <c r="J21" s="220">
        <f ca="1">INDIRECT("j"&amp;Изчисления!$K$188*30+ROW()-1)</f>
        <v>23.4</v>
      </c>
      <c r="K21" s="220">
        <f ca="1">INDIRECT("k"&amp;Изчисления!$K$188*30+ROW()-1)</f>
        <v>23.1</v>
      </c>
      <c r="L21" s="220">
        <f ca="1">INDIRECT("l"&amp;Изчисления!$K$188*30+ROW()-1)</f>
        <v>19.7</v>
      </c>
      <c r="M21" s="220">
        <f ca="1">INDIRECT("m"&amp;Изчисления!$K$188*30+ROW()-1)</f>
        <v>14.5</v>
      </c>
      <c r="N21" s="220">
        <f ca="1">INDIRECT("n"&amp;Изчисления!$K$188*30+ROW()-1)</f>
        <v>9.4</v>
      </c>
      <c r="O21" s="220">
        <f ca="1">INDIRECT("o"&amp;Изчисления!$K$188*30+ROW()-1)</f>
        <v>4.5999999999999996</v>
      </c>
      <c r="P21" s="220"/>
      <c r="Q21" s="224"/>
      <c r="R21" s="224"/>
      <c r="S21" s="224"/>
      <c r="T21" s="224"/>
      <c r="U21" s="224"/>
      <c r="V21" s="224"/>
      <c r="W21" s="224"/>
      <c r="X21" s="220" t="str">
        <f ca="1">INDIRECT("x"&amp;Изчисления!$K$188*30+ROW()-1)</f>
        <v>HT</v>
      </c>
      <c r="Y21" s="220">
        <f ca="1">INDIRECT("y"&amp;Изчисления!$K$188*30+ROW()-1)</f>
        <v>1.28</v>
      </c>
      <c r="Z21" s="220">
        <f ca="1">INDIRECT("z"&amp;Изчисления!$K$188*30+ROW()-1)</f>
        <v>2.12</v>
      </c>
      <c r="AA21" s="220">
        <f ca="1">INDIRECT("aa"&amp;Изчисления!$K$188*30+ROW()-1)</f>
        <v>2.85</v>
      </c>
      <c r="AB21" s="220">
        <f ca="1">INDIRECT("ab"&amp;Изчисления!$K$188*30+ROW()-1)</f>
        <v>3.87</v>
      </c>
      <c r="AC21" s="220">
        <f ca="1">INDIRECT("ac"&amp;Изчисления!$K$188*30+ROW()-1)</f>
        <v>4.97</v>
      </c>
      <c r="AD21" s="220">
        <f ca="1">INDIRECT("ad"&amp;Изчисления!$K$188*30+ROW()-1)</f>
        <v>5.55</v>
      </c>
      <c r="AE21" s="220">
        <f ca="1">INDIRECT("ae"&amp;Изчисления!$K$188*30+ROW()-1)</f>
        <v>5.76</v>
      </c>
      <c r="AF21" s="220">
        <f ca="1">INDIRECT("af"&amp;Изчисления!$K$188*30+ROW()-1)</f>
        <v>5.59</v>
      </c>
      <c r="AG21" s="220">
        <f ca="1">INDIRECT("ag"&amp;Изчисления!$K$188*30+ROW()-1)</f>
        <v>4.29</v>
      </c>
      <c r="AH21" s="220">
        <f ca="1">INDIRECT("ah"&amp;Изчисления!$K$188*30+ROW()-1)</f>
        <v>2.54</v>
      </c>
      <c r="AI21" s="220">
        <f ca="1">INDIRECT("ai"&amp;Изчисления!$K$188*30+ROW()-1)</f>
        <v>1.51</v>
      </c>
      <c r="AJ21" s="220">
        <f ca="1">INDIRECT("aj"&amp;Изчисления!$K$188*30+ROW()-1)</f>
        <v>1.1100000000000001</v>
      </c>
    </row>
    <row r="22" spans="1:36" x14ac:dyDescent="0.25">
      <c r="D22" s="224"/>
      <c r="E22" s="224"/>
      <c r="F22" s="224"/>
      <c r="G22" s="224"/>
      <c r="H22" s="224"/>
      <c r="I22" s="224"/>
      <c r="J22" s="224"/>
      <c r="K22" s="224"/>
      <c r="L22" s="224"/>
      <c r="M22" s="224"/>
      <c r="N22" s="224"/>
      <c r="O22" s="224"/>
      <c r="P22" s="224"/>
      <c r="Q22" s="224"/>
      <c r="R22" s="224"/>
      <c r="S22" s="224"/>
      <c r="T22" s="224"/>
      <c r="U22" s="224"/>
      <c r="V22" s="224"/>
      <c r="W22" s="224"/>
      <c r="X22" s="220" t="str">
        <f ca="1">INDIRECT("x"&amp;Изчисления!$K$188*30+ROW()-1)</f>
        <v>KT</v>
      </c>
      <c r="Y22" s="220">
        <f ca="1">INDIRECT("y"&amp;Изчисления!$K$188*30+ROW()-1)</f>
        <v>0.34</v>
      </c>
      <c r="Z22" s="220">
        <f ca="1">INDIRECT("z"&amp;Изчисления!$K$188*30+ROW()-1)</f>
        <v>0.41</v>
      </c>
      <c r="AA22" s="220">
        <f ca="1">INDIRECT("aa"&amp;Изчисления!$K$188*30+ROW()-1)</f>
        <v>0.43</v>
      </c>
      <c r="AB22" s="220">
        <f ca="1">INDIRECT("ab"&amp;Изчисления!$K$188*30+ROW()-1)</f>
        <v>0.42</v>
      </c>
      <c r="AC22" s="220">
        <f ca="1">INDIRECT("ac"&amp;Изчисления!$K$188*30+ROW()-1)</f>
        <v>0.46</v>
      </c>
      <c r="AD22" s="220">
        <f ca="1">INDIRECT("ad"&amp;Изчисления!$K$188*30+ROW()-1)</f>
        <v>0.49</v>
      </c>
      <c r="AE22" s="220">
        <f ca="1">INDIRECT("ae"&amp;Изчисления!$K$188*30+ROW()-1)</f>
        <v>0.52</v>
      </c>
      <c r="AF22" s="220">
        <f ca="1">INDIRECT("af"&amp;Изчисления!$K$188*30+ROW()-1)</f>
        <v>0.56999999999999995</v>
      </c>
      <c r="AG22" s="220">
        <f ca="1">INDIRECT("ag"&amp;Изчисления!$K$188*30+ROW()-1)</f>
        <v>0.54</v>
      </c>
      <c r="AH22" s="220">
        <f ca="1">INDIRECT("ah"&amp;Изчисления!$K$188*30+ROW()-1)</f>
        <v>0.44</v>
      </c>
      <c r="AI22" s="220">
        <f ca="1">INDIRECT("ai"&amp;Изчисления!$K$188*30+ROW()-1)</f>
        <v>0.37</v>
      </c>
      <c r="AJ22" s="220">
        <f ca="1">INDIRECT("aj"&amp;Изчисления!$K$188*30+ROW()-1)</f>
        <v>0.33</v>
      </c>
    </row>
    <row r="30" spans="1:36" x14ac:dyDescent="0.25">
      <c r="A30" s="975" t="s">
        <v>813</v>
      </c>
      <c r="B30" s="975"/>
      <c r="C30" s="975"/>
      <c r="D30" s="975"/>
      <c r="E30" s="975"/>
      <c r="F30" s="975"/>
      <c r="G30" s="975"/>
      <c r="H30" s="975"/>
      <c r="I30" s="975"/>
      <c r="J30" s="975"/>
      <c r="K30" s="975"/>
      <c r="L30" s="975"/>
      <c r="M30" s="975"/>
      <c r="N30" s="975"/>
      <c r="O30" s="975"/>
      <c r="P30" s="975"/>
      <c r="Q30" s="975"/>
      <c r="R30" s="975"/>
      <c r="S30" s="975"/>
      <c r="T30" s="975"/>
      <c r="U30" s="975"/>
      <c r="V30" s="975"/>
      <c r="W30" s="975"/>
      <c r="X30" s="975"/>
      <c r="Y30" s="975"/>
      <c r="Z30" s="975"/>
      <c r="AA30" s="975"/>
    </row>
    <row r="32" spans="1:36" x14ac:dyDescent="0.25">
      <c r="A32" s="216"/>
      <c r="B32" s="217" t="s">
        <v>466</v>
      </c>
      <c r="C32" s="217" t="s">
        <v>950</v>
      </c>
      <c r="D32" s="195">
        <v>0</v>
      </c>
      <c r="E32" s="195">
        <v>1</v>
      </c>
      <c r="F32" s="195">
        <v>2</v>
      </c>
      <c r="G32" s="195">
        <v>3</v>
      </c>
      <c r="H32" s="195">
        <v>4</v>
      </c>
      <c r="I32" s="195">
        <v>5</v>
      </c>
      <c r="J32" s="195">
        <v>6</v>
      </c>
      <c r="K32" s="195">
        <v>7</v>
      </c>
      <c r="L32" s="195">
        <v>8</v>
      </c>
      <c r="M32" s="195">
        <v>9</v>
      </c>
      <c r="N32" s="195">
        <v>10</v>
      </c>
      <c r="O32" s="195">
        <v>11</v>
      </c>
      <c r="P32" s="195">
        <v>12</v>
      </c>
      <c r="Q32" s="195">
        <v>13</v>
      </c>
      <c r="R32" s="195">
        <v>14</v>
      </c>
      <c r="S32" s="195">
        <v>15</v>
      </c>
      <c r="T32" s="195">
        <v>16</v>
      </c>
      <c r="U32" s="195">
        <v>17</v>
      </c>
      <c r="V32" s="195">
        <v>18</v>
      </c>
      <c r="W32" s="195">
        <v>19</v>
      </c>
      <c r="X32" s="195">
        <v>20</v>
      </c>
      <c r="Y32" s="195">
        <v>21</v>
      </c>
      <c r="Z32" s="195">
        <v>22</v>
      </c>
      <c r="AA32" s="195">
        <v>23</v>
      </c>
      <c r="AB32" s="979" t="s">
        <v>843</v>
      </c>
      <c r="AC32" s="980"/>
      <c r="AD32" s="980"/>
      <c r="AE32" s="980"/>
      <c r="AF32" s="980"/>
      <c r="AG32" s="980"/>
      <c r="AH32" s="980"/>
      <c r="AI32" s="980"/>
      <c r="AJ32" s="980"/>
    </row>
    <row r="33" spans="1:36" ht="16.2" x14ac:dyDescent="0.35">
      <c r="A33" s="218" t="s">
        <v>167</v>
      </c>
      <c r="B33" s="217" t="s">
        <v>875</v>
      </c>
      <c r="C33" s="219" t="s">
        <v>946</v>
      </c>
      <c r="D33" s="228">
        <v>2.8</v>
      </c>
      <c r="E33" s="228">
        <v>2.5</v>
      </c>
      <c r="F33" s="228">
        <v>2.2999999999999998</v>
      </c>
      <c r="G33" s="228">
        <v>2.2999999999999998</v>
      </c>
      <c r="H33" s="228">
        <v>2.2000000000000002</v>
      </c>
      <c r="I33" s="228">
        <v>2</v>
      </c>
      <c r="J33" s="228">
        <v>1.9</v>
      </c>
      <c r="K33" s="228">
        <v>2</v>
      </c>
      <c r="L33" s="228">
        <v>2.6</v>
      </c>
      <c r="M33" s="228">
        <v>3.5</v>
      </c>
      <c r="N33" s="228">
        <v>4.5999999999999996</v>
      </c>
      <c r="O33" s="228">
        <v>5.0999999999999996</v>
      </c>
      <c r="P33" s="228">
        <v>5.7</v>
      </c>
      <c r="Q33" s="228">
        <v>5.9</v>
      </c>
      <c r="R33" s="228">
        <v>5.6</v>
      </c>
      <c r="S33" s="228">
        <v>5.0999999999999996</v>
      </c>
      <c r="T33" s="228">
        <v>4.7</v>
      </c>
      <c r="U33" s="228">
        <v>4</v>
      </c>
      <c r="V33" s="228">
        <v>3.6</v>
      </c>
      <c r="W33" s="228">
        <v>3.4</v>
      </c>
      <c r="X33" s="228">
        <v>2.9</v>
      </c>
      <c r="Y33" s="228">
        <v>2.9</v>
      </c>
      <c r="Z33" s="228">
        <v>3</v>
      </c>
      <c r="AA33" s="228">
        <v>2.7</v>
      </c>
      <c r="AB33" s="225" t="s">
        <v>877</v>
      </c>
      <c r="AC33" s="226" t="s">
        <v>947</v>
      </c>
      <c r="AD33" s="221">
        <v>22.9</v>
      </c>
      <c r="AE33" s="221">
        <v>34.799999999999997</v>
      </c>
      <c r="AF33" s="221">
        <v>47.7</v>
      </c>
      <c r="AG33" s="221">
        <v>63.6</v>
      </c>
      <c r="AH33" s="221">
        <v>40.9</v>
      </c>
      <c r="AI33" s="221">
        <v>26.1</v>
      </c>
      <c r="AJ33" s="221">
        <v>20.2</v>
      </c>
    </row>
    <row r="34" spans="1:36" ht="16.2" x14ac:dyDescent="0.35">
      <c r="A34" s="218" t="s">
        <v>168</v>
      </c>
      <c r="B34" s="217" t="s">
        <v>875</v>
      </c>
      <c r="C34" s="219" t="s">
        <v>946</v>
      </c>
      <c r="D34" s="228">
        <v>1.7</v>
      </c>
      <c r="E34" s="228">
        <v>1.6</v>
      </c>
      <c r="F34" s="228">
        <v>1.6</v>
      </c>
      <c r="G34" s="228">
        <v>1.6</v>
      </c>
      <c r="H34" s="228">
        <v>1.9</v>
      </c>
      <c r="I34" s="228">
        <v>1.8</v>
      </c>
      <c r="J34" s="228">
        <v>1.7</v>
      </c>
      <c r="K34" s="228">
        <v>1.7</v>
      </c>
      <c r="L34" s="228">
        <v>2.5</v>
      </c>
      <c r="M34" s="228">
        <v>3.7</v>
      </c>
      <c r="N34" s="228">
        <v>4.9000000000000004</v>
      </c>
      <c r="O34" s="228">
        <v>5.4</v>
      </c>
      <c r="P34" s="228">
        <v>6</v>
      </c>
      <c r="Q34" s="228">
        <v>6.7</v>
      </c>
      <c r="R34" s="228">
        <v>6.4</v>
      </c>
      <c r="S34" s="228">
        <v>6</v>
      </c>
      <c r="T34" s="228">
        <v>5.6</v>
      </c>
      <c r="U34" s="228">
        <v>4.8</v>
      </c>
      <c r="V34" s="228">
        <v>4.0999999999999996</v>
      </c>
      <c r="W34" s="228">
        <v>3.5</v>
      </c>
      <c r="X34" s="228">
        <v>3</v>
      </c>
      <c r="Y34" s="228">
        <v>2.5</v>
      </c>
      <c r="Z34" s="228">
        <v>2.5</v>
      </c>
      <c r="AA34" s="228">
        <v>2.2999999999999998</v>
      </c>
      <c r="AB34" s="225" t="s">
        <v>878</v>
      </c>
      <c r="AC34" s="226" t="s">
        <v>947</v>
      </c>
      <c r="AD34" s="221">
        <v>40.4</v>
      </c>
      <c r="AE34" s="221">
        <v>59.2</v>
      </c>
      <c r="AF34" s="221">
        <v>68.400000000000006</v>
      </c>
      <c r="AG34" s="221">
        <v>85.5</v>
      </c>
      <c r="AH34" s="221">
        <v>68</v>
      </c>
      <c r="AI34" s="221">
        <v>45.8</v>
      </c>
      <c r="AJ34" s="221">
        <v>36.6</v>
      </c>
    </row>
    <row r="35" spans="1:36" ht="16.2" x14ac:dyDescent="0.35">
      <c r="A35" s="218" t="s">
        <v>923</v>
      </c>
      <c r="B35" s="217" t="s">
        <v>875</v>
      </c>
      <c r="C35" s="219" t="s">
        <v>946</v>
      </c>
      <c r="D35" s="228">
        <v>3.7</v>
      </c>
      <c r="E35" s="228">
        <v>3.7</v>
      </c>
      <c r="F35" s="228">
        <v>3.6</v>
      </c>
      <c r="G35" s="228">
        <v>3.5</v>
      </c>
      <c r="H35" s="228">
        <v>3.4</v>
      </c>
      <c r="I35" s="228">
        <v>3.5</v>
      </c>
      <c r="J35" s="228">
        <v>3.6</v>
      </c>
      <c r="K35" s="228">
        <v>3.7</v>
      </c>
      <c r="L35" s="228">
        <v>4.5</v>
      </c>
      <c r="M35" s="228">
        <v>5.4</v>
      </c>
      <c r="N35" s="228">
        <v>6.3</v>
      </c>
      <c r="O35" s="228">
        <v>6.6</v>
      </c>
      <c r="P35" s="228">
        <v>7</v>
      </c>
      <c r="Q35" s="228">
        <v>7.4</v>
      </c>
      <c r="R35" s="228">
        <v>7.1</v>
      </c>
      <c r="S35" s="228">
        <v>6.8</v>
      </c>
      <c r="T35" s="228">
        <v>6.4</v>
      </c>
      <c r="U35" s="228">
        <v>5.9</v>
      </c>
      <c r="V35" s="228">
        <v>5.3</v>
      </c>
      <c r="W35" s="228">
        <v>4.8</v>
      </c>
      <c r="X35" s="228">
        <v>4.5</v>
      </c>
      <c r="Y35" s="228">
        <v>4.3</v>
      </c>
      <c r="Z35" s="228">
        <v>4</v>
      </c>
      <c r="AA35" s="228">
        <v>3.9</v>
      </c>
      <c r="AB35" s="225" t="s">
        <v>879</v>
      </c>
      <c r="AC35" s="226" t="s">
        <v>947</v>
      </c>
      <c r="AD35" s="221">
        <v>72.7</v>
      </c>
      <c r="AE35" s="221">
        <v>95.9</v>
      </c>
      <c r="AF35" s="221">
        <v>87.5</v>
      </c>
      <c r="AG35" s="221">
        <v>83.7</v>
      </c>
      <c r="AH35" s="221">
        <v>104.3</v>
      </c>
      <c r="AI35" s="221">
        <v>80.599999999999994</v>
      </c>
      <c r="AJ35" s="221">
        <v>67.8</v>
      </c>
    </row>
    <row r="36" spans="1:36" ht="16.2" x14ac:dyDescent="0.35">
      <c r="A36" s="218" t="s">
        <v>924</v>
      </c>
      <c r="B36" s="217" t="s">
        <v>875</v>
      </c>
      <c r="C36" s="219" t="s">
        <v>946</v>
      </c>
      <c r="D36" s="228">
        <v>8</v>
      </c>
      <c r="E36" s="228">
        <v>8</v>
      </c>
      <c r="F36" s="228">
        <v>7.6</v>
      </c>
      <c r="G36" s="228">
        <v>7.5</v>
      </c>
      <c r="H36" s="228">
        <v>7.4</v>
      </c>
      <c r="I36" s="228">
        <v>7.4</v>
      </c>
      <c r="J36" s="228">
        <v>8.4</v>
      </c>
      <c r="K36" s="228">
        <v>9.5</v>
      </c>
      <c r="L36" s="228">
        <v>11</v>
      </c>
      <c r="M36" s="228">
        <v>12</v>
      </c>
      <c r="N36" s="228">
        <v>13</v>
      </c>
      <c r="O36" s="228">
        <v>13</v>
      </c>
      <c r="P36" s="228">
        <v>13</v>
      </c>
      <c r="Q36" s="228">
        <v>13</v>
      </c>
      <c r="R36" s="228">
        <v>13</v>
      </c>
      <c r="S36" s="228">
        <v>13</v>
      </c>
      <c r="T36" s="228">
        <v>12</v>
      </c>
      <c r="U36" s="228">
        <v>11</v>
      </c>
      <c r="V36" s="228">
        <v>11</v>
      </c>
      <c r="W36" s="228">
        <v>9.8000000000000007</v>
      </c>
      <c r="X36" s="228">
        <v>9.3000000000000007</v>
      </c>
      <c r="Y36" s="228">
        <v>9.1</v>
      </c>
      <c r="Z36" s="228">
        <v>8.8000000000000007</v>
      </c>
      <c r="AA36" s="228">
        <v>8.5</v>
      </c>
      <c r="AB36" s="225" t="s">
        <v>880</v>
      </c>
      <c r="AC36" s="226" t="s">
        <v>947</v>
      </c>
      <c r="AD36" s="221">
        <v>40.4</v>
      </c>
      <c r="AE36" s="221">
        <v>59.2</v>
      </c>
      <c r="AF36" s="221">
        <v>68.400000000000006</v>
      </c>
      <c r="AG36" s="221">
        <v>85.5</v>
      </c>
      <c r="AH36" s="221">
        <v>68</v>
      </c>
      <c r="AI36" s="221">
        <v>45.8</v>
      </c>
      <c r="AJ36" s="221">
        <v>36.6</v>
      </c>
    </row>
    <row r="37" spans="1:36" ht="16.2" x14ac:dyDescent="0.35">
      <c r="A37" s="976" t="s">
        <v>169</v>
      </c>
      <c r="B37" s="217" t="s">
        <v>875</v>
      </c>
      <c r="C37" s="219" t="s">
        <v>946</v>
      </c>
      <c r="D37" s="228">
        <v>13.3</v>
      </c>
      <c r="E37" s="228">
        <v>13.1</v>
      </c>
      <c r="F37" s="228">
        <v>12.9</v>
      </c>
      <c r="G37" s="228">
        <v>12.7</v>
      </c>
      <c r="H37" s="228">
        <v>12.5</v>
      </c>
      <c r="I37" s="228">
        <v>13.4</v>
      </c>
      <c r="J37" s="228">
        <v>14.3</v>
      </c>
      <c r="K37" s="228">
        <v>15.2</v>
      </c>
      <c r="L37" s="228">
        <v>16.100000000000001</v>
      </c>
      <c r="M37" s="228">
        <v>17.2</v>
      </c>
      <c r="N37" s="228">
        <v>18.2</v>
      </c>
      <c r="O37" s="228">
        <v>18.100000000000001</v>
      </c>
      <c r="P37" s="228">
        <v>18.100000000000001</v>
      </c>
      <c r="Q37" s="228">
        <v>18.100000000000001</v>
      </c>
      <c r="R37" s="228">
        <v>17.8</v>
      </c>
      <c r="S37" s="228">
        <v>17.5</v>
      </c>
      <c r="T37" s="228">
        <v>17.2</v>
      </c>
      <c r="U37" s="228">
        <v>16.600000000000001</v>
      </c>
      <c r="V37" s="228">
        <v>15.9</v>
      </c>
      <c r="W37" s="228">
        <v>15.3</v>
      </c>
      <c r="X37" s="228">
        <v>14.8</v>
      </c>
      <c r="Y37" s="228">
        <v>14.3</v>
      </c>
      <c r="Z37" s="228">
        <v>13.9</v>
      </c>
      <c r="AA37" s="228">
        <v>13.6</v>
      </c>
      <c r="AB37" s="225" t="s">
        <v>881</v>
      </c>
      <c r="AC37" s="226" t="s">
        <v>947</v>
      </c>
      <c r="AD37" s="221">
        <v>50.1</v>
      </c>
      <c r="AE37" s="221">
        <v>81.2</v>
      </c>
      <c r="AF37" s="221">
        <v>109</v>
      </c>
      <c r="AG37" s="221">
        <v>149.69999999999999</v>
      </c>
      <c r="AH37" s="221">
        <v>97.2</v>
      </c>
      <c r="AI37" s="221">
        <v>58.3</v>
      </c>
      <c r="AJ37" s="221">
        <v>43.9</v>
      </c>
    </row>
    <row r="38" spans="1:36" ht="15.6" x14ac:dyDescent="0.35">
      <c r="A38" s="976"/>
      <c r="B38" s="217" t="s">
        <v>876</v>
      </c>
      <c r="C38" s="219" t="s">
        <v>1</v>
      </c>
      <c r="D38" s="228">
        <v>78</v>
      </c>
      <c r="E38" s="228">
        <v>77</v>
      </c>
      <c r="F38" s="228">
        <v>79</v>
      </c>
      <c r="G38" s="228">
        <v>80</v>
      </c>
      <c r="H38" s="228">
        <v>81</v>
      </c>
      <c r="I38" s="228">
        <v>79</v>
      </c>
      <c r="J38" s="228">
        <v>76</v>
      </c>
      <c r="K38" s="228">
        <v>74</v>
      </c>
      <c r="L38" s="228">
        <v>71</v>
      </c>
      <c r="M38" s="228">
        <v>68</v>
      </c>
      <c r="N38" s="228">
        <v>65</v>
      </c>
      <c r="O38" s="228">
        <v>66</v>
      </c>
      <c r="P38" s="228">
        <v>67</v>
      </c>
      <c r="Q38" s="228">
        <v>68</v>
      </c>
      <c r="R38" s="228">
        <v>69</v>
      </c>
      <c r="S38" s="228">
        <v>69</v>
      </c>
      <c r="T38" s="228">
        <v>70</v>
      </c>
      <c r="U38" s="228">
        <v>73</v>
      </c>
      <c r="V38" s="228">
        <v>75</v>
      </c>
      <c r="W38" s="228">
        <v>78</v>
      </c>
      <c r="X38" s="228">
        <v>78</v>
      </c>
      <c r="Y38" s="228">
        <v>78</v>
      </c>
      <c r="Z38" s="228">
        <v>77</v>
      </c>
      <c r="AA38" s="228">
        <v>78</v>
      </c>
      <c r="AB38" s="227"/>
      <c r="AC38" s="443" t="s">
        <v>340</v>
      </c>
      <c r="AD38" s="221">
        <v>1.9</v>
      </c>
      <c r="AE38" s="221">
        <v>2.7</v>
      </c>
      <c r="AF38" s="221">
        <v>5.0999999999999996</v>
      </c>
      <c r="AG38" s="221">
        <v>10.199999999999999</v>
      </c>
      <c r="AH38" s="221">
        <v>13.8</v>
      </c>
      <c r="AI38" s="221">
        <v>9</v>
      </c>
      <c r="AJ38" s="221">
        <v>4.3</v>
      </c>
    </row>
    <row r="39" spans="1:36" ht="15.6" x14ac:dyDescent="0.35">
      <c r="A39" s="976" t="s">
        <v>170</v>
      </c>
      <c r="B39" s="217" t="s">
        <v>875</v>
      </c>
      <c r="C39" s="219" t="s">
        <v>946</v>
      </c>
      <c r="D39" s="228">
        <v>16</v>
      </c>
      <c r="E39" s="228">
        <v>16.8</v>
      </c>
      <c r="F39" s="228">
        <v>15.8</v>
      </c>
      <c r="G39" s="228">
        <v>15.3</v>
      </c>
      <c r="H39" s="228">
        <v>16.100000000000001</v>
      </c>
      <c r="I39" s="228">
        <v>15.9</v>
      </c>
      <c r="J39" s="228">
        <v>17.8</v>
      </c>
      <c r="K39" s="228">
        <v>19</v>
      </c>
      <c r="L39" s="228">
        <v>21.3</v>
      </c>
      <c r="M39" s="228">
        <v>22.5</v>
      </c>
      <c r="N39" s="228">
        <v>22.3</v>
      </c>
      <c r="O39" s="228">
        <v>23.8</v>
      </c>
      <c r="P39" s="228">
        <v>23.9</v>
      </c>
      <c r="Q39" s="228">
        <v>23.3</v>
      </c>
      <c r="R39" s="228">
        <v>24.1</v>
      </c>
      <c r="S39" s="228">
        <v>23.8</v>
      </c>
      <c r="T39" s="228">
        <v>22.3</v>
      </c>
      <c r="U39" s="228">
        <v>22.2</v>
      </c>
      <c r="V39" s="228">
        <v>20.9</v>
      </c>
      <c r="W39" s="228">
        <v>19.5</v>
      </c>
      <c r="X39" s="228">
        <v>17.8</v>
      </c>
      <c r="Y39" s="228">
        <v>17.600000000000001</v>
      </c>
      <c r="Z39" s="228">
        <v>17.399999999999999</v>
      </c>
      <c r="AA39" s="228">
        <v>16.399999999999999</v>
      </c>
      <c r="AB39" s="977" t="s">
        <v>853</v>
      </c>
      <c r="AC39" s="978"/>
      <c r="AD39" s="978"/>
      <c r="AE39" s="978"/>
      <c r="AF39" s="978"/>
      <c r="AG39" s="978"/>
      <c r="AH39" s="978"/>
      <c r="AI39" s="978"/>
      <c r="AJ39" s="978"/>
    </row>
    <row r="40" spans="1:36" ht="16.2" x14ac:dyDescent="0.35">
      <c r="A40" s="976"/>
      <c r="B40" s="217" t="s">
        <v>876</v>
      </c>
      <c r="C40" s="219" t="s">
        <v>1</v>
      </c>
      <c r="D40" s="228">
        <v>89</v>
      </c>
      <c r="E40" s="228">
        <v>89</v>
      </c>
      <c r="F40" s="228">
        <v>90</v>
      </c>
      <c r="G40" s="228">
        <v>91</v>
      </c>
      <c r="H40" s="228">
        <v>88</v>
      </c>
      <c r="I40" s="228">
        <v>89</v>
      </c>
      <c r="J40" s="228">
        <v>83</v>
      </c>
      <c r="K40" s="228">
        <v>79</v>
      </c>
      <c r="L40" s="228">
        <v>69</v>
      </c>
      <c r="M40" s="228">
        <v>65</v>
      </c>
      <c r="N40" s="228">
        <v>71</v>
      </c>
      <c r="O40" s="228">
        <v>59</v>
      </c>
      <c r="P40" s="228">
        <v>60</v>
      </c>
      <c r="Q40" s="228">
        <v>70</v>
      </c>
      <c r="R40" s="228">
        <v>59</v>
      </c>
      <c r="S40" s="228">
        <v>59</v>
      </c>
      <c r="T40" s="228">
        <v>73</v>
      </c>
      <c r="U40" s="228">
        <v>65</v>
      </c>
      <c r="V40" s="228">
        <v>72</v>
      </c>
      <c r="W40" s="228">
        <v>82</v>
      </c>
      <c r="X40" s="228">
        <v>86</v>
      </c>
      <c r="Y40" s="228">
        <v>87</v>
      </c>
      <c r="Z40" s="228">
        <v>89</v>
      </c>
      <c r="AA40" s="228">
        <v>88</v>
      </c>
      <c r="AB40" s="225" t="s">
        <v>877</v>
      </c>
      <c r="AC40" s="226" t="s">
        <v>947</v>
      </c>
      <c r="AD40" s="221">
        <v>77.7</v>
      </c>
      <c r="AE40" s="221">
        <v>84.3</v>
      </c>
      <c r="AF40" s="221">
        <v>83.7</v>
      </c>
      <c r="AG40" s="221">
        <v>75.900000000000006</v>
      </c>
      <c r="AH40" s="221">
        <v>60.7</v>
      </c>
      <c r="AI40" s="227"/>
      <c r="AJ40" s="227"/>
    </row>
    <row r="41" spans="1:36" ht="16.2" x14ac:dyDescent="0.35">
      <c r="A41" s="976" t="s">
        <v>171</v>
      </c>
      <c r="B41" s="217" t="s">
        <v>875</v>
      </c>
      <c r="C41" s="219" t="s">
        <v>946</v>
      </c>
      <c r="D41" s="228">
        <v>18.8</v>
      </c>
      <c r="E41" s="228">
        <v>19.8</v>
      </c>
      <c r="F41" s="228">
        <v>18.5</v>
      </c>
      <c r="G41" s="228">
        <v>18.2</v>
      </c>
      <c r="H41" s="228">
        <v>19.2</v>
      </c>
      <c r="I41" s="228">
        <v>18.5</v>
      </c>
      <c r="J41" s="228">
        <v>20.5</v>
      </c>
      <c r="K41" s="228">
        <v>22</v>
      </c>
      <c r="L41" s="228">
        <v>24.1</v>
      </c>
      <c r="M41" s="228">
        <v>25.5</v>
      </c>
      <c r="N41" s="228">
        <v>25.9</v>
      </c>
      <c r="O41" s="228">
        <v>26.6</v>
      </c>
      <c r="P41" s="228">
        <v>26.8</v>
      </c>
      <c r="Q41" s="228">
        <v>26.5</v>
      </c>
      <c r="R41" s="228">
        <v>26.8</v>
      </c>
      <c r="S41" s="228">
        <v>26.5</v>
      </c>
      <c r="T41" s="228">
        <v>25.7</v>
      </c>
      <c r="U41" s="228">
        <v>25.1</v>
      </c>
      <c r="V41" s="228">
        <v>24</v>
      </c>
      <c r="W41" s="228">
        <v>22.9</v>
      </c>
      <c r="X41" s="228">
        <v>21.1</v>
      </c>
      <c r="Y41" s="228">
        <v>20.2</v>
      </c>
      <c r="Z41" s="228">
        <v>20.8</v>
      </c>
      <c r="AA41" s="228">
        <v>19.100000000000001</v>
      </c>
      <c r="AB41" s="225" t="s">
        <v>878</v>
      </c>
      <c r="AC41" s="226" t="s">
        <v>947</v>
      </c>
      <c r="AD41" s="221">
        <v>108.3</v>
      </c>
      <c r="AE41" s="221">
        <v>122</v>
      </c>
      <c r="AF41" s="221">
        <v>126.4</v>
      </c>
      <c r="AG41" s="221">
        <v>126.2</v>
      </c>
      <c r="AH41" s="221">
        <v>104.5</v>
      </c>
      <c r="AI41" s="227"/>
      <c r="AJ41" s="227"/>
    </row>
    <row r="42" spans="1:36" ht="16.2" x14ac:dyDescent="0.35">
      <c r="A42" s="976"/>
      <c r="B42" s="217" t="s">
        <v>876</v>
      </c>
      <c r="C42" s="219" t="s">
        <v>1</v>
      </c>
      <c r="D42" s="228">
        <v>87</v>
      </c>
      <c r="E42" s="228">
        <v>82</v>
      </c>
      <c r="F42" s="228">
        <v>89</v>
      </c>
      <c r="G42" s="228">
        <v>89</v>
      </c>
      <c r="H42" s="228">
        <v>83</v>
      </c>
      <c r="I42" s="228">
        <v>88</v>
      </c>
      <c r="J42" s="228">
        <v>81</v>
      </c>
      <c r="K42" s="228">
        <v>77</v>
      </c>
      <c r="L42" s="228">
        <v>68</v>
      </c>
      <c r="M42" s="228">
        <v>61</v>
      </c>
      <c r="N42" s="228">
        <v>65</v>
      </c>
      <c r="O42" s="228">
        <v>55</v>
      </c>
      <c r="P42" s="228">
        <v>56</v>
      </c>
      <c r="Q42" s="228">
        <v>65</v>
      </c>
      <c r="R42" s="228">
        <v>55</v>
      </c>
      <c r="S42" s="228">
        <v>57</v>
      </c>
      <c r="T42" s="228">
        <v>67</v>
      </c>
      <c r="U42" s="228">
        <v>62</v>
      </c>
      <c r="V42" s="228">
        <v>66</v>
      </c>
      <c r="W42" s="228">
        <v>74</v>
      </c>
      <c r="X42" s="228">
        <v>80</v>
      </c>
      <c r="Y42" s="228">
        <v>84</v>
      </c>
      <c r="Z42" s="228">
        <v>81</v>
      </c>
      <c r="AA42" s="228">
        <v>86</v>
      </c>
      <c r="AB42" s="225" t="s">
        <v>879</v>
      </c>
      <c r="AC42" s="226" t="s">
        <v>947</v>
      </c>
      <c r="AD42" s="221">
        <v>90.5</v>
      </c>
      <c r="AE42" s="221">
        <v>97.4</v>
      </c>
      <c r="AF42" s="221">
        <v>104.9</v>
      </c>
      <c r="AG42" s="221">
        <v>126.5</v>
      </c>
      <c r="AH42" s="221">
        <v>133.69999999999999</v>
      </c>
      <c r="AI42" s="227"/>
      <c r="AJ42" s="227"/>
    </row>
    <row r="43" spans="1:36" ht="16.2" x14ac:dyDescent="0.35">
      <c r="A43" s="976" t="s">
        <v>172</v>
      </c>
      <c r="B43" s="217" t="s">
        <v>875</v>
      </c>
      <c r="C43" s="219" t="s">
        <v>946</v>
      </c>
      <c r="D43" s="228">
        <v>19.100000000000001</v>
      </c>
      <c r="E43" s="228">
        <v>18.8</v>
      </c>
      <c r="F43" s="228">
        <v>18.5</v>
      </c>
      <c r="G43" s="228">
        <v>18.3</v>
      </c>
      <c r="H43" s="228">
        <v>18</v>
      </c>
      <c r="I43" s="228">
        <v>18.7</v>
      </c>
      <c r="J43" s="228">
        <v>19.5</v>
      </c>
      <c r="K43" s="228">
        <v>20</v>
      </c>
      <c r="L43" s="228">
        <v>21.5</v>
      </c>
      <c r="M43" s="228">
        <v>22.9</v>
      </c>
      <c r="N43" s="228">
        <v>24.3</v>
      </c>
      <c r="O43" s="228">
        <v>24.6</v>
      </c>
      <c r="P43" s="228">
        <v>24.9</v>
      </c>
      <c r="Q43" s="228">
        <v>25.3</v>
      </c>
      <c r="R43" s="228">
        <v>25.1</v>
      </c>
      <c r="S43" s="228">
        <v>24.8</v>
      </c>
      <c r="T43" s="228">
        <v>24.5</v>
      </c>
      <c r="U43" s="228">
        <v>23.5</v>
      </c>
      <c r="V43" s="228">
        <v>22.5</v>
      </c>
      <c r="W43" s="228">
        <v>21.5</v>
      </c>
      <c r="X43" s="228">
        <v>20.9</v>
      </c>
      <c r="Y43" s="228">
        <v>20.3</v>
      </c>
      <c r="Z43" s="228">
        <v>19.8</v>
      </c>
      <c r="AA43" s="228">
        <v>19.5</v>
      </c>
      <c r="AB43" s="225" t="s">
        <v>880</v>
      </c>
      <c r="AC43" s="226" t="s">
        <v>947</v>
      </c>
      <c r="AD43" s="221">
        <v>108.3</v>
      </c>
      <c r="AE43" s="221">
        <v>122</v>
      </c>
      <c r="AF43" s="221">
        <v>126.4</v>
      </c>
      <c r="AG43" s="221">
        <v>126.2</v>
      </c>
      <c r="AH43" s="221">
        <v>104.5</v>
      </c>
      <c r="AI43" s="227"/>
      <c r="AJ43" s="227"/>
    </row>
    <row r="44" spans="1:36" ht="16.2" x14ac:dyDescent="0.35">
      <c r="A44" s="976"/>
      <c r="B44" s="217" t="s">
        <v>876</v>
      </c>
      <c r="C44" s="219" t="s">
        <v>1</v>
      </c>
      <c r="D44" s="228">
        <v>87</v>
      </c>
      <c r="E44" s="228">
        <v>87</v>
      </c>
      <c r="F44" s="228">
        <v>89</v>
      </c>
      <c r="G44" s="228">
        <v>89</v>
      </c>
      <c r="H44" s="228">
        <v>90</v>
      </c>
      <c r="I44" s="228">
        <v>89</v>
      </c>
      <c r="J44" s="228">
        <v>87</v>
      </c>
      <c r="K44" s="228">
        <v>85</v>
      </c>
      <c r="L44" s="228">
        <v>81</v>
      </c>
      <c r="M44" s="228">
        <v>77</v>
      </c>
      <c r="N44" s="228">
        <v>73</v>
      </c>
      <c r="O44" s="228">
        <v>72</v>
      </c>
      <c r="P44" s="228">
        <v>71</v>
      </c>
      <c r="Q44" s="228">
        <v>68</v>
      </c>
      <c r="R44" s="228">
        <v>70</v>
      </c>
      <c r="S44" s="228">
        <v>71</v>
      </c>
      <c r="T44" s="228">
        <v>72</v>
      </c>
      <c r="U44" s="228">
        <v>75</v>
      </c>
      <c r="V44" s="228">
        <v>78</v>
      </c>
      <c r="W44" s="228">
        <v>81</v>
      </c>
      <c r="X44" s="228">
        <v>83</v>
      </c>
      <c r="Y44" s="228">
        <v>85</v>
      </c>
      <c r="Z44" s="228">
        <v>86</v>
      </c>
      <c r="AA44" s="228">
        <v>87</v>
      </c>
      <c r="AB44" s="225" t="s">
        <v>881</v>
      </c>
      <c r="AC44" s="226" t="s">
        <v>947</v>
      </c>
      <c r="AD44" s="221">
        <v>194.1</v>
      </c>
      <c r="AE44" s="221">
        <v>218</v>
      </c>
      <c r="AF44" s="221">
        <v>226.5</v>
      </c>
      <c r="AG44" s="221">
        <v>219.7</v>
      </c>
      <c r="AH44" s="221">
        <v>166.5</v>
      </c>
      <c r="AI44" s="227"/>
      <c r="AJ44" s="227"/>
    </row>
    <row r="45" spans="1:36" ht="15.6" x14ac:dyDescent="0.35">
      <c r="A45" s="976" t="s">
        <v>173</v>
      </c>
      <c r="B45" s="217" t="s">
        <v>875</v>
      </c>
      <c r="C45" s="219" t="s">
        <v>946</v>
      </c>
      <c r="D45" s="228">
        <v>15.3</v>
      </c>
      <c r="E45" s="228">
        <v>15.5</v>
      </c>
      <c r="F45" s="228">
        <v>15.2</v>
      </c>
      <c r="G45" s="228">
        <v>14.7</v>
      </c>
      <c r="H45" s="228">
        <v>14.7</v>
      </c>
      <c r="I45" s="228">
        <v>14.6</v>
      </c>
      <c r="J45" s="228">
        <v>15.5</v>
      </c>
      <c r="K45" s="228">
        <v>16.7</v>
      </c>
      <c r="L45" s="228">
        <v>18.399999999999999</v>
      </c>
      <c r="M45" s="228">
        <v>20.100000000000001</v>
      </c>
      <c r="N45" s="228">
        <v>21.8</v>
      </c>
      <c r="O45" s="228">
        <v>22</v>
      </c>
      <c r="P45" s="228">
        <v>22.8</v>
      </c>
      <c r="Q45" s="228">
        <v>23.1</v>
      </c>
      <c r="R45" s="228">
        <v>22.7</v>
      </c>
      <c r="S45" s="228">
        <v>22.2</v>
      </c>
      <c r="T45" s="228">
        <v>21.3</v>
      </c>
      <c r="U45" s="228">
        <v>20.5</v>
      </c>
      <c r="V45" s="228">
        <v>19.2</v>
      </c>
      <c r="W45" s="228">
        <v>17.899999999999999</v>
      </c>
      <c r="X45" s="228">
        <v>17.3</v>
      </c>
      <c r="Y45" s="228">
        <v>16.5</v>
      </c>
      <c r="Z45" s="228">
        <v>16.5</v>
      </c>
      <c r="AA45" s="228">
        <v>15.7</v>
      </c>
      <c r="AB45" s="227"/>
      <c r="AC45" s="227"/>
      <c r="AD45" s="448">
        <v>15.6</v>
      </c>
      <c r="AE45" s="448">
        <v>20.2</v>
      </c>
      <c r="AF45" s="448">
        <v>23.7</v>
      </c>
      <c r="AG45" s="448">
        <v>22.3</v>
      </c>
      <c r="AH45" s="448">
        <v>19</v>
      </c>
      <c r="AI45" s="227"/>
      <c r="AJ45" s="227"/>
    </row>
    <row r="46" spans="1:36" ht="15.6" x14ac:dyDescent="0.35">
      <c r="A46" s="976"/>
      <c r="B46" s="217" t="s">
        <v>876</v>
      </c>
      <c r="C46" s="219" t="s">
        <v>1</v>
      </c>
      <c r="D46" s="228">
        <v>80</v>
      </c>
      <c r="E46" s="228">
        <v>79</v>
      </c>
      <c r="F46" s="228">
        <v>80</v>
      </c>
      <c r="G46" s="228">
        <v>81</v>
      </c>
      <c r="H46" s="228">
        <v>80</v>
      </c>
      <c r="I46" s="228">
        <v>80</v>
      </c>
      <c r="J46" s="228">
        <v>78</v>
      </c>
      <c r="K46" s="228">
        <v>73</v>
      </c>
      <c r="L46" s="228">
        <v>67</v>
      </c>
      <c r="M46" s="228">
        <v>61</v>
      </c>
      <c r="N46" s="228">
        <v>58</v>
      </c>
      <c r="O46" s="228">
        <v>56</v>
      </c>
      <c r="P46" s="228">
        <v>55</v>
      </c>
      <c r="Q46" s="228">
        <v>56</v>
      </c>
      <c r="R46" s="228">
        <v>55</v>
      </c>
      <c r="S46" s="228">
        <v>58</v>
      </c>
      <c r="T46" s="228">
        <v>63</v>
      </c>
      <c r="U46" s="228">
        <v>64</v>
      </c>
      <c r="V46" s="228">
        <v>68</v>
      </c>
      <c r="W46" s="228">
        <v>73</v>
      </c>
      <c r="X46" s="228">
        <v>74</v>
      </c>
      <c r="Y46" s="228">
        <v>78</v>
      </c>
      <c r="Z46" s="228">
        <v>77</v>
      </c>
      <c r="AA46" s="228">
        <v>79</v>
      </c>
      <c r="AB46" s="227"/>
      <c r="AC46" s="227"/>
      <c r="AD46" s="227"/>
      <c r="AE46" s="227">
        <v>1</v>
      </c>
      <c r="AF46" s="227" t="s">
        <v>740</v>
      </c>
      <c r="AG46" s="227"/>
      <c r="AH46" s="227"/>
      <c r="AI46" s="227"/>
      <c r="AJ46" s="227"/>
    </row>
    <row r="47" spans="1:36" ht="15.6" x14ac:dyDescent="0.35">
      <c r="A47" s="218" t="s">
        <v>174</v>
      </c>
      <c r="B47" s="217" t="s">
        <v>875</v>
      </c>
      <c r="C47" s="219" t="s">
        <v>946</v>
      </c>
      <c r="D47" s="228">
        <v>11</v>
      </c>
      <c r="E47" s="228">
        <v>12</v>
      </c>
      <c r="F47" s="228">
        <v>11</v>
      </c>
      <c r="G47" s="228">
        <v>10</v>
      </c>
      <c r="H47" s="228">
        <v>12</v>
      </c>
      <c r="I47" s="228">
        <v>10</v>
      </c>
      <c r="J47" s="228">
        <v>10</v>
      </c>
      <c r="K47" s="228">
        <v>12</v>
      </c>
      <c r="L47" s="228">
        <v>13</v>
      </c>
      <c r="M47" s="228">
        <v>15</v>
      </c>
      <c r="N47" s="228">
        <v>16</v>
      </c>
      <c r="O47" s="228">
        <v>17</v>
      </c>
      <c r="P47" s="228">
        <v>18</v>
      </c>
      <c r="Q47" s="228">
        <v>18</v>
      </c>
      <c r="R47" s="228">
        <v>17</v>
      </c>
      <c r="S47" s="228">
        <v>17</v>
      </c>
      <c r="T47" s="228">
        <v>16</v>
      </c>
      <c r="U47" s="228">
        <v>14</v>
      </c>
      <c r="V47" s="228">
        <v>13</v>
      </c>
      <c r="W47" s="228">
        <v>14</v>
      </c>
      <c r="X47" s="228">
        <v>12</v>
      </c>
      <c r="Y47" s="228">
        <v>12</v>
      </c>
      <c r="Z47" s="228">
        <v>12</v>
      </c>
      <c r="AA47" s="228">
        <v>11</v>
      </c>
      <c r="AB47" s="985" t="s">
        <v>854</v>
      </c>
      <c r="AC47" s="986"/>
      <c r="AD47" s="227"/>
      <c r="AE47" s="237" t="s">
        <v>851</v>
      </c>
      <c r="AF47" s="227">
        <v>1.9</v>
      </c>
      <c r="AG47" s="227" t="s">
        <v>852</v>
      </c>
      <c r="AH47" s="227"/>
      <c r="AI47" s="227"/>
      <c r="AJ47" s="227"/>
    </row>
    <row r="48" spans="1:36" ht="15.6" x14ac:dyDescent="0.35">
      <c r="A48" s="218" t="s">
        <v>175</v>
      </c>
      <c r="B48" s="217" t="s">
        <v>875</v>
      </c>
      <c r="C48" s="219" t="s">
        <v>946</v>
      </c>
      <c r="D48" s="228">
        <v>6.1</v>
      </c>
      <c r="E48" s="228">
        <v>7</v>
      </c>
      <c r="F48" s="228">
        <v>6</v>
      </c>
      <c r="G48" s="228">
        <v>5.9</v>
      </c>
      <c r="H48" s="228">
        <v>6.8</v>
      </c>
      <c r="I48" s="228">
        <v>5.0999999999999996</v>
      </c>
      <c r="J48" s="228">
        <v>4.9000000000000004</v>
      </c>
      <c r="K48" s="228">
        <v>6.6</v>
      </c>
      <c r="L48" s="228">
        <v>7.2</v>
      </c>
      <c r="M48" s="228">
        <v>8.9</v>
      </c>
      <c r="N48" s="228">
        <v>10</v>
      </c>
      <c r="O48" s="228">
        <v>11</v>
      </c>
      <c r="P48" s="228">
        <v>12</v>
      </c>
      <c r="Q48" s="228">
        <v>12</v>
      </c>
      <c r="R48" s="228">
        <v>12</v>
      </c>
      <c r="S48" s="228">
        <v>11</v>
      </c>
      <c r="T48" s="228">
        <v>10</v>
      </c>
      <c r="U48" s="228">
        <v>8.6999999999999993</v>
      </c>
      <c r="V48" s="228">
        <v>7.6</v>
      </c>
      <c r="W48" s="228">
        <v>7.9</v>
      </c>
      <c r="X48" s="228">
        <v>6.9</v>
      </c>
      <c r="Y48" s="228">
        <v>6.6</v>
      </c>
      <c r="Z48" s="228">
        <v>7.2</v>
      </c>
      <c r="AA48" s="228">
        <v>6.2</v>
      </c>
      <c r="AB48" s="231">
        <v>2400</v>
      </c>
      <c r="AC48" s="232"/>
      <c r="AD48" s="227"/>
      <c r="AE48" s="227">
        <v>21</v>
      </c>
      <c r="AF48" s="227" t="s">
        <v>478</v>
      </c>
      <c r="AG48" s="227"/>
      <c r="AH48" s="227"/>
      <c r="AI48" s="227"/>
      <c r="AJ48" s="227"/>
    </row>
    <row r="49" spans="1:36" ht="15.6" x14ac:dyDescent="0.35">
      <c r="A49" s="218" t="s">
        <v>176</v>
      </c>
      <c r="B49" s="217" t="s">
        <v>875</v>
      </c>
      <c r="C49" s="219" t="s">
        <v>946</v>
      </c>
      <c r="D49" s="228">
        <v>2.8</v>
      </c>
      <c r="E49" s="228">
        <v>2.7</v>
      </c>
      <c r="F49" s="228">
        <v>2.6</v>
      </c>
      <c r="G49" s="228">
        <v>2.6</v>
      </c>
      <c r="H49" s="228">
        <v>2.6</v>
      </c>
      <c r="I49" s="228">
        <v>2.6</v>
      </c>
      <c r="J49" s="228">
        <v>2.7</v>
      </c>
      <c r="K49" s="228">
        <v>2.6</v>
      </c>
      <c r="L49" s="228">
        <v>3.2</v>
      </c>
      <c r="M49" s="228">
        <v>3.7</v>
      </c>
      <c r="N49" s="228">
        <v>4.2</v>
      </c>
      <c r="O49" s="228">
        <v>4.8</v>
      </c>
      <c r="P49" s="228">
        <v>5.4</v>
      </c>
      <c r="Q49" s="228">
        <v>5.9</v>
      </c>
      <c r="R49" s="228">
        <v>5.5</v>
      </c>
      <c r="S49" s="228">
        <v>5</v>
      </c>
      <c r="T49" s="228">
        <v>4.5</v>
      </c>
      <c r="U49" s="228">
        <v>4.2</v>
      </c>
      <c r="V49" s="228">
        <v>4</v>
      </c>
      <c r="W49" s="228">
        <v>3.8</v>
      </c>
      <c r="X49" s="228">
        <v>3.6</v>
      </c>
      <c r="Y49" s="228">
        <v>3.3</v>
      </c>
      <c r="Z49" s="228">
        <v>3.1</v>
      </c>
      <c r="AA49" s="228">
        <v>2.9</v>
      </c>
      <c r="AB49" s="227"/>
      <c r="AC49" s="227"/>
      <c r="AD49" s="227"/>
      <c r="AE49" s="227">
        <v>20</v>
      </c>
      <c r="AF49" s="227" t="s">
        <v>472</v>
      </c>
      <c r="AG49" s="227"/>
      <c r="AH49" s="227"/>
      <c r="AI49" s="227"/>
      <c r="AJ49" s="227"/>
    </row>
    <row r="50" spans="1:36" ht="15.6" x14ac:dyDescent="0.35">
      <c r="A50" s="487" t="s">
        <v>1096</v>
      </c>
      <c r="C50" s="488" t="s">
        <v>12</v>
      </c>
      <c r="D50" s="227">
        <v>1.9</v>
      </c>
      <c r="E50" s="227">
        <v>2.7</v>
      </c>
      <c r="F50" s="227">
        <v>5.0999999999999996</v>
      </c>
      <c r="G50" s="227">
        <v>10.199999999999999</v>
      </c>
      <c r="H50" s="227">
        <v>15.6</v>
      </c>
      <c r="I50" s="227">
        <v>20.2</v>
      </c>
      <c r="J50" s="227">
        <v>23.7</v>
      </c>
      <c r="K50" s="227">
        <v>22.3</v>
      </c>
      <c r="L50" s="227">
        <v>19</v>
      </c>
      <c r="M50" s="227">
        <v>13.8</v>
      </c>
      <c r="N50" s="227">
        <v>9</v>
      </c>
      <c r="O50" s="227">
        <v>4.3</v>
      </c>
      <c r="P50" s="227"/>
      <c r="Q50" s="227"/>
      <c r="R50" s="227"/>
      <c r="S50" s="227"/>
      <c r="T50" s="227"/>
      <c r="U50" s="227"/>
      <c r="V50" s="227"/>
      <c r="W50" s="227"/>
      <c r="X50" s="227" t="s">
        <v>106</v>
      </c>
      <c r="Y50" s="227">
        <v>1.2</v>
      </c>
      <c r="Z50" s="227">
        <v>1.95</v>
      </c>
      <c r="AA50" s="227">
        <v>2.62</v>
      </c>
      <c r="AB50" s="227">
        <v>3.59</v>
      </c>
      <c r="AC50" s="227">
        <v>4.66</v>
      </c>
      <c r="AD50" s="227">
        <v>5.23</v>
      </c>
      <c r="AE50" s="227">
        <v>5.44</v>
      </c>
      <c r="AF50" s="227">
        <v>5.27</v>
      </c>
      <c r="AG50" s="227">
        <v>4</v>
      </c>
      <c r="AH50" s="227">
        <v>2.33</v>
      </c>
      <c r="AI50" s="227">
        <v>1.4</v>
      </c>
      <c r="AJ50" s="227">
        <v>1.05</v>
      </c>
    </row>
    <row r="51" spans="1:36" ht="15.6" x14ac:dyDescent="0.35">
      <c r="D51" s="227"/>
      <c r="E51" s="227"/>
      <c r="F51" s="227"/>
      <c r="G51" s="227"/>
      <c r="H51" s="227"/>
      <c r="I51" s="227"/>
      <c r="J51" s="227"/>
      <c r="K51" s="227"/>
      <c r="L51" s="227"/>
      <c r="M51" s="227"/>
      <c r="N51" s="227"/>
      <c r="O51" s="227"/>
      <c r="P51" s="227"/>
      <c r="Q51" s="227"/>
      <c r="R51" s="227"/>
      <c r="S51" s="227"/>
      <c r="T51" s="227"/>
      <c r="U51" s="227"/>
      <c r="V51" s="227"/>
      <c r="W51" s="227"/>
      <c r="X51" s="227" t="s">
        <v>107</v>
      </c>
      <c r="Y51" s="227">
        <v>0.33</v>
      </c>
      <c r="Z51" s="227">
        <v>0.38</v>
      </c>
      <c r="AA51" s="227">
        <v>0.37</v>
      </c>
      <c r="AB51" s="227">
        <v>0.4</v>
      </c>
      <c r="AC51" s="227">
        <v>0.43</v>
      </c>
      <c r="AD51" s="227">
        <v>0.45</v>
      </c>
      <c r="AE51" s="227">
        <v>0.49</v>
      </c>
      <c r="AF51" s="227">
        <v>0.54</v>
      </c>
      <c r="AG51" s="227">
        <v>0.51</v>
      </c>
      <c r="AH51" s="227">
        <v>0.41</v>
      </c>
      <c r="AI51" s="227">
        <v>0.35</v>
      </c>
      <c r="AJ51" s="227">
        <v>0.33</v>
      </c>
    </row>
    <row r="60" spans="1:36" x14ac:dyDescent="0.25">
      <c r="A60" s="975" t="s">
        <v>815</v>
      </c>
      <c r="B60" s="975"/>
      <c r="C60" s="975"/>
      <c r="D60" s="975"/>
      <c r="E60" s="975"/>
      <c r="F60" s="975"/>
      <c r="G60" s="975"/>
      <c r="H60" s="975"/>
      <c r="I60" s="975"/>
      <c r="J60" s="975"/>
      <c r="K60" s="975"/>
      <c r="L60" s="975"/>
      <c r="M60" s="975"/>
      <c r="N60" s="975"/>
      <c r="O60" s="975"/>
      <c r="P60" s="975"/>
      <c r="Q60" s="975"/>
      <c r="R60" s="975"/>
      <c r="S60" s="975"/>
      <c r="T60" s="975"/>
      <c r="U60" s="975"/>
      <c r="V60" s="975"/>
      <c r="W60" s="975"/>
      <c r="X60" s="975"/>
      <c r="Y60" s="975"/>
      <c r="Z60" s="975"/>
      <c r="AA60" s="975"/>
    </row>
    <row r="62" spans="1:36" x14ac:dyDescent="0.25">
      <c r="A62" s="216"/>
      <c r="B62" s="217" t="s">
        <v>466</v>
      </c>
      <c r="C62" s="217" t="s">
        <v>950</v>
      </c>
      <c r="D62" s="195">
        <v>0</v>
      </c>
      <c r="E62" s="195">
        <v>1</v>
      </c>
      <c r="F62" s="195">
        <v>2</v>
      </c>
      <c r="G62" s="195">
        <v>3</v>
      </c>
      <c r="H62" s="195">
        <v>4</v>
      </c>
      <c r="I62" s="195">
        <v>5</v>
      </c>
      <c r="J62" s="195">
        <v>6</v>
      </c>
      <c r="K62" s="195">
        <v>7</v>
      </c>
      <c r="L62" s="195">
        <v>8</v>
      </c>
      <c r="M62" s="195">
        <v>9</v>
      </c>
      <c r="N62" s="195">
        <v>10</v>
      </c>
      <c r="O62" s="195">
        <v>11</v>
      </c>
      <c r="P62" s="195">
        <v>12</v>
      </c>
      <c r="Q62" s="195">
        <v>13</v>
      </c>
      <c r="R62" s="195">
        <v>14</v>
      </c>
      <c r="S62" s="195">
        <v>15</v>
      </c>
      <c r="T62" s="195">
        <v>16</v>
      </c>
      <c r="U62" s="195">
        <v>17</v>
      </c>
      <c r="V62" s="195">
        <v>18</v>
      </c>
      <c r="W62" s="195">
        <v>19</v>
      </c>
      <c r="X62" s="195">
        <v>20</v>
      </c>
      <c r="Y62" s="195">
        <v>21</v>
      </c>
      <c r="Z62" s="195">
        <v>22</v>
      </c>
      <c r="AA62" s="195">
        <v>23</v>
      </c>
      <c r="AB62" s="979" t="s">
        <v>843</v>
      </c>
      <c r="AC62" s="980"/>
      <c r="AD62" s="980"/>
      <c r="AE62" s="980"/>
      <c r="AF62" s="980"/>
      <c r="AG62" s="980"/>
      <c r="AH62" s="980"/>
      <c r="AI62" s="980"/>
      <c r="AJ62" s="980"/>
    </row>
    <row r="63" spans="1:36" ht="16.2" x14ac:dyDescent="0.35">
      <c r="A63" s="218" t="s">
        <v>167</v>
      </c>
      <c r="B63" s="217" t="s">
        <v>875</v>
      </c>
      <c r="C63" s="219" t="s">
        <v>946</v>
      </c>
      <c r="D63" s="228">
        <v>-0.8</v>
      </c>
      <c r="E63" s="228">
        <v>-0.9</v>
      </c>
      <c r="F63" s="228">
        <v>-1.5</v>
      </c>
      <c r="G63" s="228">
        <v>-1.8</v>
      </c>
      <c r="H63" s="228">
        <v>-1.5</v>
      </c>
      <c r="I63" s="228">
        <v>-1.7</v>
      </c>
      <c r="J63" s="228">
        <v>-1.7</v>
      </c>
      <c r="K63" s="228">
        <v>-1.6</v>
      </c>
      <c r="L63" s="228">
        <v>-1.3</v>
      </c>
      <c r="M63" s="228">
        <v>-0.6</v>
      </c>
      <c r="N63" s="228">
        <v>0.2</v>
      </c>
      <c r="O63" s="228">
        <v>1</v>
      </c>
      <c r="P63" s="228">
        <v>1.6</v>
      </c>
      <c r="Q63" s="228">
        <v>2.4</v>
      </c>
      <c r="R63" s="228">
        <v>2.2999999999999998</v>
      </c>
      <c r="S63" s="228">
        <v>2.2999999999999998</v>
      </c>
      <c r="T63" s="228">
        <v>2.2000000000000002</v>
      </c>
      <c r="U63" s="228">
        <v>1.1000000000000001</v>
      </c>
      <c r="V63" s="228">
        <v>0.5</v>
      </c>
      <c r="W63" s="228">
        <v>0.1</v>
      </c>
      <c r="X63" s="228">
        <v>-0.3</v>
      </c>
      <c r="Y63" s="228">
        <v>-0.4</v>
      </c>
      <c r="Z63" s="228">
        <v>-0.5</v>
      </c>
      <c r="AA63" s="228">
        <v>-0.7</v>
      </c>
      <c r="AB63" s="225" t="s">
        <v>877</v>
      </c>
      <c r="AC63" s="226" t="s">
        <v>947</v>
      </c>
      <c r="AD63" s="221">
        <v>22.9</v>
      </c>
      <c r="AE63" s="221">
        <v>34.799999999999997</v>
      </c>
      <c r="AF63" s="221">
        <v>47.7</v>
      </c>
      <c r="AG63" s="221">
        <v>63.6</v>
      </c>
      <c r="AH63" s="221">
        <v>40.9</v>
      </c>
      <c r="AI63" s="221">
        <v>26.1</v>
      </c>
      <c r="AJ63" s="221">
        <v>20.2</v>
      </c>
    </row>
    <row r="64" spans="1:36" ht="16.2" x14ac:dyDescent="0.35">
      <c r="A64" s="218" t="s">
        <v>168</v>
      </c>
      <c r="B64" s="217" t="s">
        <v>875</v>
      </c>
      <c r="C64" s="219" t="s">
        <v>946</v>
      </c>
      <c r="D64" s="228">
        <v>-2.2999999999999998</v>
      </c>
      <c r="E64" s="228">
        <v>-1.6</v>
      </c>
      <c r="F64" s="228">
        <v>-3</v>
      </c>
      <c r="G64" s="228">
        <v>-3.1</v>
      </c>
      <c r="H64" s="228">
        <v>-2.1</v>
      </c>
      <c r="I64" s="228">
        <v>-3.7</v>
      </c>
      <c r="J64" s="228">
        <v>-3.9</v>
      </c>
      <c r="K64" s="228">
        <v>-2.5</v>
      </c>
      <c r="L64" s="228">
        <v>-2.9</v>
      </c>
      <c r="M64" s="228">
        <v>-1.6</v>
      </c>
      <c r="N64" s="228">
        <v>0.4</v>
      </c>
      <c r="O64" s="228">
        <v>1.4</v>
      </c>
      <c r="P64" s="228">
        <v>2.6</v>
      </c>
      <c r="Q64" s="228">
        <v>3.7</v>
      </c>
      <c r="R64" s="228">
        <v>4.0999999999999996</v>
      </c>
      <c r="S64" s="228">
        <v>3.9</v>
      </c>
      <c r="T64" s="228">
        <v>3.6</v>
      </c>
      <c r="U64" s="228">
        <v>2.4</v>
      </c>
      <c r="V64" s="228">
        <v>1.1000000000000001</v>
      </c>
      <c r="W64" s="228">
        <v>1.1000000000000001</v>
      </c>
      <c r="X64" s="228">
        <v>-0.3</v>
      </c>
      <c r="Y64" s="228">
        <v>-0.7</v>
      </c>
      <c r="Z64" s="228">
        <v>-0.4</v>
      </c>
      <c r="AA64" s="228">
        <v>-2</v>
      </c>
      <c r="AB64" s="225" t="s">
        <v>878</v>
      </c>
      <c r="AC64" s="226" t="s">
        <v>947</v>
      </c>
      <c r="AD64" s="221">
        <v>40.4</v>
      </c>
      <c r="AE64" s="221">
        <v>59.2</v>
      </c>
      <c r="AF64" s="221">
        <v>68.400000000000006</v>
      </c>
      <c r="AG64" s="221">
        <v>85.5</v>
      </c>
      <c r="AH64" s="221">
        <v>68</v>
      </c>
      <c r="AI64" s="221">
        <v>45.8</v>
      </c>
      <c r="AJ64" s="221">
        <v>36.6</v>
      </c>
    </row>
    <row r="65" spans="1:36" ht="16.2" x14ac:dyDescent="0.35">
      <c r="A65" s="218" t="s">
        <v>923</v>
      </c>
      <c r="B65" s="217" t="s">
        <v>875</v>
      </c>
      <c r="C65" s="219" t="s">
        <v>946</v>
      </c>
      <c r="D65" s="228">
        <v>3.1</v>
      </c>
      <c r="E65" s="228">
        <v>2.6</v>
      </c>
      <c r="F65" s="228">
        <v>2.2000000000000002</v>
      </c>
      <c r="G65" s="228">
        <v>1.9</v>
      </c>
      <c r="H65" s="228">
        <v>2</v>
      </c>
      <c r="I65" s="228">
        <v>1.8</v>
      </c>
      <c r="J65" s="228">
        <v>1.7</v>
      </c>
      <c r="K65" s="228">
        <v>1.9</v>
      </c>
      <c r="L65" s="228">
        <v>3.1</v>
      </c>
      <c r="M65" s="228">
        <v>4.5</v>
      </c>
      <c r="N65" s="228">
        <v>5.8</v>
      </c>
      <c r="O65" s="228">
        <v>6.7</v>
      </c>
      <c r="P65" s="228">
        <v>7.3</v>
      </c>
      <c r="Q65" s="228">
        <v>8</v>
      </c>
      <c r="R65" s="228">
        <v>8.4</v>
      </c>
      <c r="S65" s="228">
        <v>8.4</v>
      </c>
      <c r="T65" s="228">
        <v>8.4</v>
      </c>
      <c r="U65" s="228">
        <v>7.6</v>
      </c>
      <c r="V65" s="228">
        <v>6.8</v>
      </c>
      <c r="W65" s="228">
        <v>6</v>
      </c>
      <c r="X65" s="228">
        <v>5.2</v>
      </c>
      <c r="Y65" s="228">
        <v>4.5999999999999996</v>
      </c>
      <c r="Z65" s="228">
        <v>4.2</v>
      </c>
      <c r="AA65" s="228">
        <v>3.6</v>
      </c>
      <c r="AB65" s="225" t="s">
        <v>879</v>
      </c>
      <c r="AC65" s="226" t="s">
        <v>947</v>
      </c>
      <c r="AD65" s="221">
        <v>72.7</v>
      </c>
      <c r="AE65" s="221">
        <v>95.9</v>
      </c>
      <c r="AF65" s="221">
        <v>87.5</v>
      </c>
      <c r="AG65" s="221">
        <v>83.7</v>
      </c>
      <c r="AH65" s="221">
        <v>104.3</v>
      </c>
      <c r="AI65" s="221">
        <v>80.599999999999994</v>
      </c>
      <c r="AJ65" s="221">
        <v>67.8</v>
      </c>
    </row>
    <row r="66" spans="1:36" ht="16.2" x14ac:dyDescent="0.35">
      <c r="A66" s="218" t="s">
        <v>924</v>
      </c>
      <c r="B66" s="217" t="s">
        <v>875</v>
      </c>
      <c r="C66" s="219" t="s">
        <v>946</v>
      </c>
      <c r="D66" s="228">
        <v>9.1999999999999993</v>
      </c>
      <c r="E66" s="228">
        <v>8.3000000000000007</v>
      </c>
      <c r="F66" s="228">
        <v>8.1</v>
      </c>
      <c r="G66" s="228">
        <v>7.7</v>
      </c>
      <c r="H66" s="228">
        <v>7.3</v>
      </c>
      <c r="I66" s="228">
        <v>7.6</v>
      </c>
      <c r="J66" s="228">
        <v>7.9</v>
      </c>
      <c r="K66" s="228">
        <v>8.1</v>
      </c>
      <c r="L66" s="228">
        <v>8.9</v>
      </c>
      <c r="M66" s="228">
        <v>9.9</v>
      </c>
      <c r="N66" s="228">
        <v>11.6</v>
      </c>
      <c r="O66" s="228">
        <v>12.2</v>
      </c>
      <c r="P66" s="228">
        <v>12.9</v>
      </c>
      <c r="Q66" s="228">
        <v>14</v>
      </c>
      <c r="R66" s="228">
        <v>13.7</v>
      </c>
      <c r="S66" s="228">
        <v>13.5</v>
      </c>
      <c r="T66" s="228">
        <v>13.2</v>
      </c>
      <c r="U66" s="228">
        <v>12.7</v>
      </c>
      <c r="V66" s="228">
        <v>12</v>
      </c>
      <c r="W66" s="228">
        <v>11.1</v>
      </c>
      <c r="X66" s="228">
        <v>10.7</v>
      </c>
      <c r="Y66" s="228">
        <v>10.1</v>
      </c>
      <c r="Z66" s="228">
        <v>9.5</v>
      </c>
      <c r="AA66" s="228">
        <v>9.5</v>
      </c>
      <c r="AB66" s="225" t="s">
        <v>880</v>
      </c>
      <c r="AC66" s="226" t="s">
        <v>947</v>
      </c>
      <c r="AD66" s="221">
        <v>40.4</v>
      </c>
      <c r="AE66" s="221">
        <v>59.2</v>
      </c>
      <c r="AF66" s="221">
        <v>68.400000000000006</v>
      </c>
      <c r="AG66" s="221">
        <v>85.5</v>
      </c>
      <c r="AH66" s="221">
        <v>68</v>
      </c>
      <c r="AI66" s="221">
        <v>45.8</v>
      </c>
      <c r="AJ66" s="221">
        <v>36.6</v>
      </c>
    </row>
    <row r="67" spans="1:36" ht="16.2" x14ac:dyDescent="0.35">
      <c r="A67" s="976" t="s">
        <v>169</v>
      </c>
      <c r="B67" s="217" t="s">
        <v>875</v>
      </c>
      <c r="C67" s="219" t="s">
        <v>946</v>
      </c>
      <c r="D67" s="228">
        <v>11.8</v>
      </c>
      <c r="E67" s="228">
        <v>11.2</v>
      </c>
      <c r="F67" s="228">
        <v>10.9</v>
      </c>
      <c r="G67" s="228">
        <v>10.6</v>
      </c>
      <c r="H67" s="228">
        <v>10.3</v>
      </c>
      <c r="I67" s="228">
        <v>10.7</v>
      </c>
      <c r="J67" s="228">
        <v>11.4</v>
      </c>
      <c r="K67" s="228">
        <v>12.2</v>
      </c>
      <c r="L67" s="228">
        <v>13.3</v>
      </c>
      <c r="M67" s="228">
        <v>14.5</v>
      </c>
      <c r="N67" s="228">
        <v>15.5</v>
      </c>
      <c r="O67" s="228">
        <v>16.5</v>
      </c>
      <c r="P67" s="228">
        <v>17.100000000000001</v>
      </c>
      <c r="Q67" s="228">
        <v>17.899999999999999</v>
      </c>
      <c r="R67" s="228">
        <v>18.399999999999999</v>
      </c>
      <c r="S67" s="228">
        <v>18.3</v>
      </c>
      <c r="T67" s="228">
        <v>18.2</v>
      </c>
      <c r="U67" s="228">
        <v>17.899999999999999</v>
      </c>
      <c r="V67" s="228">
        <v>17.2</v>
      </c>
      <c r="W67" s="228">
        <v>16.600000000000001</v>
      </c>
      <c r="X67" s="228">
        <v>15.7</v>
      </c>
      <c r="Y67" s="228">
        <v>14.9</v>
      </c>
      <c r="Z67" s="228">
        <v>13.9</v>
      </c>
      <c r="AA67" s="228">
        <v>13</v>
      </c>
      <c r="AB67" s="225" t="s">
        <v>881</v>
      </c>
      <c r="AC67" s="226" t="s">
        <v>947</v>
      </c>
      <c r="AD67" s="221">
        <v>50.1</v>
      </c>
      <c r="AE67" s="221">
        <v>81.2</v>
      </c>
      <c r="AF67" s="221">
        <v>109</v>
      </c>
      <c r="AG67" s="221">
        <v>149.69999999999999</v>
      </c>
      <c r="AH67" s="221">
        <v>97.2</v>
      </c>
      <c r="AI67" s="221">
        <v>58.3</v>
      </c>
      <c r="AJ67" s="221">
        <v>43.9</v>
      </c>
    </row>
    <row r="68" spans="1:36" ht="15.6" x14ac:dyDescent="0.35">
      <c r="A68" s="976"/>
      <c r="B68" s="217" t="s">
        <v>876</v>
      </c>
      <c r="C68" s="219" t="s">
        <v>1</v>
      </c>
      <c r="D68" s="228">
        <v>76.900000000000006</v>
      </c>
      <c r="E68" s="228">
        <v>78.900000000000006</v>
      </c>
      <c r="F68" s="228">
        <v>79.599999999999994</v>
      </c>
      <c r="G68" s="228">
        <v>81.2</v>
      </c>
      <c r="H68" s="228">
        <v>81.900000000000006</v>
      </c>
      <c r="I68" s="228">
        <v>80.7</v>
      </c>
      <c r="J68" s="228">
        <v>79.2</v>
      </c>
      <c r="K68" s="228">
        <v>76.900000000000006</v>
      </c>
      <c r="L68" s="228">
        <v>73.8</v>
      </c>
      <c r="M68" s="228">
        <v>69</v>
      </c>
      <c r="N68" s="228">
        <v>64.400000000000006</v>
      </c>
      <c r="O68" s="228">
        <v>61</v>
      </c>
      <c r="P68" s="228">
        <v>59.3</v>
      </c>
      <c r="Q68" s="228">
        <v>57.2</v>
      </c>
      <c r="R68" s="228">
        <v>53.9</v>
      </c>
      <c r="S68" s="228">
        <v>54.1</v>
      </c>
      <c r="T68" s="228">
        <v>54.7</v>
      </c>
      <c r="U68" s="228">
        <v>55.8</v>
      </c>
      <c r="V68" s="228">
        <v>58.1</v>
      </c>
      <c r="W68" s="228">
        <v>60.5</v>
      </c>
      <c r="X68" s="228">
        <v>63.7</v>
      </c>
      <c r="Y68" s="228">
        <v>67.2</v>
      </c>
      <c r="Z68" s="228">
        <v>70.2</v>
      </c>
      <c r="AA68" s="228">
        <v>74.3</v>
      </c>
      <c r="AB68" s="227"/>
      <c r="AC68" s="443" t="s">
        <v>340</v>
      </c>
      <c r="AD68" s="443">
        <v>0.5</v>
      </c>
      <c r="AE68" s="443">
        <v>0.9</v>
      </c>
      <c r="AF68" s="443">
        <v>4</v>
      </c>
      <c r="AG68" s="443">
        <v>9.6999999999999993</v>
      </c>
      <c r="AH68" s="443">
        <v>11.6</v>
      </c>
      <c r="AI68" s="443">
        <v>6.3</v>
      </c>
      <c r="AJ68" s="443">
        <v>0.7</v>
      </c>
    </row>
    <row r="69" spans="1:36" ht="15.6" x14ac:dyDescent="0.35">
      <c r="A69" s="976" t="s">
        <v>170</v>
      </c>
      <c r="B69" s="217" t="s">
        <v>875</v>
      </c>
      <c r="C69" s="219" t="s">
        <v>946</v>
      </c>
      <c r="D69" s="228">
        <v>15.4</v>
      </c>
      <c r="E69" s="228">
        <v>15.7</v>
      </c>
      <c r="F69" s="228">
        <v>14.5</v>
      </c>
      <c r="G69" s="228">
        <v>13.9</v>
      </c>
      <c r="H69" s="228">
        <v>14.3</v>
      </c>
      <c r="I69" s="228">
        <v>13.7</v>
      </c>
      <c r="J69" s="228">
        <v>15.5</v>
      </c>
      <c r="K69" s="228">
        <v>17.2</v>
      </c>
      <c r="L69" s="228">
        <v>18.3</v>
      </c>
      <c r="M69" s="228">
        <v>19.5</v>
      </c>
      <c r="N69" s="228">
        <v>20.7</v>
      </c>
      <c r="O69" s="228">
        <v>22.2</v>
      </c>
      <c r="P69" s="228">
        <v>23.2</v>
      </c>
      <c r="Q69" s="228">
        <v>22.7</v>
      </c>
      <c r="R69" s="228">
        <v>23.7</v>
      </c>
      <c r="S69" s="228">
        <v>23.6</v>
      </c>
      <c r="T69" s="228">
        <v>22.9</v>
      </c>
      <c r="U69" s="228">
        <v>22.5</v>
      </c>
      <c r="V69" s="228">
        <v>21.8</v>
      </c>
      <c r="W69" s="228">
        <v>20.8</v>
      </c>
      <c r="X69" s="228">
        <v>18.7</v>
      </c>
      <c r="Y69" s="228">
        <v>18.100000000000001</v>
      </c>
      <c r="Z69" s="228">
        <v>17.899999999999999</v>
      </c>
      <c r="AA69" s="228">
        <v>16.3</v>
      </c>
      <c r="AB69" s="977" t="s">
        <v>853</v>
      </c>
      <c r="AC69" s="978"/>
      <c r="AD69" s="978"/>
      <c r="AE69" s="978"/>
      <c r="AF69" s="978"/>
      <c r="AG69" s="978"/>
      <c r="AH69" s="978"/>
      <c r="AI69" s="978"/>
      <c r="AJ69" s="978"/>
    </row>
    <row r="70" spans="1:36" ht="16.2" x14ac:dyDescent="0.35">
      <c r="A70" s="976"/>
      <c r="B70" s="217" t="s">
        <v>876</v>
      </c>
      <c r="C70" s="219" t="s">
        <v>1</v>
      </c>
      <c r="D70" s="228">
        <v>85.6</v>
      </c>
      <c r="E70" s="228">
        <v>78.8</v>
      </c>
      <c r="F70" s="228">
        <v>86.4</v>
      </c>
      <c r="G70" s="228">
        <v>89.7</v>
      </c>
      <c r="H70" s="228">
        <v>83.5</v>
      </c>
      <c r="I70" s="228">
        <v>91.8</v>
      </c>
      <c r="J70" s="228">
        <v>86.9</v>
      </c>
      <c r="K70" s="228">
        <v>74.400000000000006</v>
      </c>
      <c r="L70" s="228">
        <v>75.599999999999994</v>
      </c>
      <c r="M70" s="228">
        <v>72.400000000000006</v>
      </c>
      <c r="N70" s="228">
        <v>63.4</v>
      </c>
      <c r="O70" s="228">
        <v>62.2</v>
      </c>
      <c r="P70" s="228">
        <v>59.2</v>
      </c>
      <c r="Q70" s="228">
        <v>56</v>
      </c>
      <c r="R70" s="228">
        <v>56.4</v>
      </c>
      <c r="S70" s="228">
        <v>56.5</v>
      </c>
      <c r="T70" s="228">
        <v>52</v>
      </c>
      <c r="U70" s="228">
        <v>58.6</v>
      </c>
      <c r="V70" s="228">
        <v>62</v>
      </c>
      <c r="W70" s="228">
        <v>61.9</v>
      </c>
      <c r="X70" s="228">
        <v>75.400000000000006</v>
      </c>
      <c r="Y70" s="228">
        <v>85.1</v>
      </c>
      <c r="Z70" s="228">
        <v>70.2</v>
      </c>
      <c r="AA70" s="228">
        <v>82</v>
      </c>
      <c r="AB70" s="225" t="s">
        <v>877</v>
      </c>
      <c r="AC70" s="226" t="s">
        <v>947</v>
      </c>
      <c r="AD70" s="221">
        <v>77.7</v>
      </c>
      <c r="AE70" s="221">
        <v>84.3</v>
      </c>
      <c r="AF70" s="221">
        <v>83.7</v>
      </c>
      <c r="AG70" s="221">
        <v>75.900000000000006</v>
      </c>
      <c r="AH70" s="221">
        <v>60.7</v>
      </c>
      <c r="AI70" s="227"/>
      <c r="AJ70" s="227"/>
    </row>
    <row r="71" spans="1:36" ht="16.2" x14ac:dyDescent="0.35">
      <c r="A71" s="976" t="s">
        <v>171</v>
      </c>
      <c r="B71" s="217" t="s">
        <v>875</v>
      </c>
      <c r="C71" s="219" t="s">
        <v>946</v>
      </c>
      <c r="D71" s="228">
        <v>17.5</v>
      </c>
      <c r="E71" s="228">
        <v>17.100000000000001</v>
      </c>
      <c r="F71" s="228">
        <v>16.7</v>
      </c>
      <c r="G71" s="228">
        <v>16.3</v>
      </c>
      <c r="H71" s="228">
        <v>15.8</v>
      </c>
      <c r="I71" s="228">
        <v>16.600000000000001</v>
      </c>
      <c r="J71" s="228">
        <v>17.399999999999999</v>
      </c>
      <c r="K71" s="228">
        <v>18.100000000000001</v>
      </c>
      <c r="L71" s="228">
        <v>19.5</v>
      </c>
      <c r="M71" s="228">
        <v>20.8</v>
      </c>
      <c r="N71" s="228">
        <v>22.1</v>
      </c>
      <c r="O71" s="228">
        <v>22.8</v>
      </c>
      <c r="P71" s="228">
        <v>23.4</v>
      </c>
      <c r="Q71" s="228">
        <v>24</v>
      </c>
      <c r="R71" s="228">
        <v>23.9</v>
      </c>
      <c r="S71" s="228">
        <v>23.7</v>
      </c>
      <c r="T71" s="228">
        <v>23.5</v>
      </c>
      <c r="U71" s="228">
        <v>22.9</v>
      </c>
      <c r="V71" s="228">
        <v>22.2</v>
      </c>
      <c r="W71" s="228">
        <v>21.5</v>
      </c>
      <c r="X71" s="228">
        <v>20.5</v>
      </c>
      <c r="Y71" s="228">
        <v>19.5</v>
      </c>
      <c r="Z71" s="228">
        <v>18.600000000000001</v>
      </c>
      <c r="AA71" s="228">
        <v>18.100000000000001</v>
      </c>
      <c r="AB71" s="225" t="s">
        <v>878</v>
      </c>
      <c r="AC71" s="226" t="s">
        <v>947</v>
      </c>
      <c r="AD71" s="221">
        <v>108.3</v>
      </c>
      <c r="AE71" s="221">
        <v>122</v>
      </c>
      <c r="AF71" s="221">
        <v>126.4</v>
      </c>
      <c r="AG71" s="221">
        <v>126.2</v>
      </c>
      <c r="AH71" s="221">
        <v>104.5</v>
      </c>
      <c r="AI71" s="227"/>
      <c r="AJ71" s="227"/>
    </row>
    <row r="72" spans="1:36" ht="16.2" x14ac:dyDescent="0.35">
      <c r="A72" s="976"/>
      <c r="B72" s="217" t="s">
        <v>876</v>
      </c>
      <c r="C72" s="219" t="s">
        <v>1</v>
      </c>
      <c r="D72" s="228">
        <v>77.7</v>
      </c>
      <c r="E72" s="228">
        <v>78.5</v>
      </c>
      <c r="F72" s="228">
        <v>80.599999999999994</v>
      </c>
      <c r="G72" s="228">
        <v>82.5</v>
      </c>
      <c r="H72" s="228">
        <v>84.4</v>
      </c>
      <c r="I72" s="228">
        <v>81.900000000000006</v>
      </c>
      <c r="J72" s="228">
        <v>79.2</v>
      </c>
      <c r="K72" s="228">
        <v>76.599999999999994</v>
      </c>
      <c r="L72" s="228">
        <v>71.5</v>
      </c>
      <c r="M72" s="228">
        <v>66.8</v>
      </c>
      <c r="N72" s="228">
        <v>62.6</v>
      </c>
      <c r="O72" s="228">
        <v>59.9</v>
      </c>
      <c r="P72" s="228">
        <v>57.5</v>
      </c>
      <c r="Q72" s="228">
        <v>55</v>
      </c>
      <c r="R72" s="228">
        <v>55.9</v>
      </c>
      <c r="S72" s="228">
        <v>56.7</v>
      </c>
      <c r="T72" s="228">
        <v>57.6</v>
      </c>
      <c r="U72" s="228">
        <v>60</v>
      </c>
      <c r="V72" s="228">
        <v>62.6</v>
      </c>
      <c r="W72" s="228">
        <v>65.2</v>
      </c>
      <c r="X72" s="228">
        <v>68.2</v>
      </c>
      <c r="Y72" s="228">
        <v>71.599999999999994</v>
      </c>
      <c r="Z72" s="228">
        <v>74.7</v>
      </c>
      <c r="AA72" s="228">
        <v>75.8</v>
      </c>
      <c r="AB72" s="225" t="s">
        <v>879</v>
      </c>
      <c r="AC72" s="226" t="s">
        <v>947</v>
      </c>
      <c r="AD72" s="221">
        <v>90.5</v>
      </c>
      <c r="AE72" s="221">
        <v>97.4</v>
      </c>
      <c r="AF72" s="221">
        <v>104.9</v>
      </c>
      <c r="AG72" s="221">
        <v>126.5</v>
      </c>
      <c r="AH72" s="221">
        <v>133.69999999999999</v>
      </c>
      <c r="AI72" s="227"/>
      <c r="AJ72" s="227"/>
    </row>
    <row r="73" spans="1:36" ht="16.2" x14ac:dyDescent="0.35">
      <c r="A73" s="976" t="s">
        <v>172</v>
      </c>
      <c r="B73" s="217" t="s">
        <v>875</v>
      </c>
      <c r="C73" s="219" t="s">
        <v>946</v>
      </c>
      <c r="D73" s="228">
        <v>17.399999999999999</v>
      </c>
      <c r="E73" s="228">
        <v>16.399999999999999</v>
      </c>
      <c r="F73" s="228">
        <v>16.100000000000001</v>
      </c>
      <c r="G73" s="228">
        <v>15.6</v>
      </c>
      <c r="H73" s="228">
        <v>15</v>
      </c>
      <c r="I73" s="228">
        <v>15.6</v>
      </c>
      <c r="J73" s="228">
        <v>16.5</v>
      </c>
      <c r="K73" s="228">
        <v>17.3</v>
      </c>
      <c r="L73" s="228">
        <v>18.399999999999999</v>
      </c>
      <c r="M73" s="228">
        <v>20.2</v>
      </c>
      <c r="N73" s="228">
        <v>22.4</v>
      </c>
      <c r="O73" s="228">
        <v>23</v>
      </c>
      <c r="P73" s="228">
        <v>23.9</v>
      </c>
      <c r="Q73" s="228">
        <v>24.9</v>
      </c>
      <c r="R73" s="228">
        <v>24.8</v>
      </c>
      <c r="S73" s="228">
        <v>24.6</v>
      </c>
      <c r="T73" s="228">
        <v>24.5</v>
      </c>
      <c r="U73" s="228">
        <v>23.6</v>
      </c>
      <c r="V73" s="228">
        <v>22.6</v>
      </c>
      <c r="W73" s="228">
        <v>21.4</v>
      </c>
      <c r="X73" s="228">
        <v>21</v>
      </c>
      <c r="Y73" s="228">
        <v>20.3</v>
      </c>
      <c r="Z73" s="228">
        <v>18.399999999999999</v>
      </c>
      <c r="AA73" s="228">
        <v>18</v>
      </c>
      <c r="AB73" s="225" t="s">
        <v>880</v>
      </c>
      <c r="AC73" s="226" t="s">
        <v>947</v>
      </c>
      <c r="AD73" s="221">
        <v>108.3</v>
      </c>
      <c r="AE73" s="221">
        <v>122</v>
      </c>
      <c r="AF73" s="221">
        <v>126.4</v>
      </c>
      <c r="AG73" s="221">
        <v>126.2</v>
      </c>
      <c r="AH73" s="221">
        <v>104.5</v>
      </c>
      <c r="AI73" s="227"/>
      <c r="AJ73" s="227"/>
    </row>
    <row r="74" spans="1:36" ht="16.2" x14ac:dyDescent="0.35">
      <c r="A74" s="976"/>
      <c r="B74" s="217" t="s">
        <v>876</v>
      </c>
      <c r="C74" s="219" t="s">
        <v>1</v>
      </c>
      <c r="D74" s="228">
        <v>69.8</v>
      </c>
      <c r="E74" s="228">
        <v>73.400000000000006</v>
      </c>
      <c r="F74" s="228">
        <v>74.5</v>
      </c>
      <c r="G74" s="228">
        <v>76.5</v>
      </c>
      <c r="H74" s="228">
        <v>79.400000000000006</v>
      </c>
      <c r="I74" s="228">
        <v>77.900000000000006</v>
      </c>
      <c r="J74" s="228">
        <v>75.7</v>
      </c>
      <c r="K74" s="228">
        <v>72.599999999999994</v>
      </c>
      <c r="L74" s="228">
        <v>68.7</v>
      </c>
      <c r="M74" s="228">
        <v>62.7</v>
      </c>
      <c r="N74" s="228">
        <v>55.9</v>
      </c>
      <c r="O74" s="228">
        <v>53.3</v>
      </c>
      <c r="P74" s="228">
        <v>50.2</v>
      </c>
      <c r="Q74" s="228">
        <v>46.5</v>
      </c>
      <c r="R74" s="228">
        <v>46.5</v>
      </c>
      <c r="S74" s="228">
        <v>46.5</v>
      </c>
      <c r="T74" s="228">
        <v>46.3</v>
      </c>
      <c r="U74" s="228">
        <v>49</v>
      </c>
      <c r="V74" s="228">
        <v>53.1</v>
      </c>
      <c r="W74" s="228">
        <v>57.5</v>
      </c>
      <c r="X74" s="228">
        <v>58.7</v>
      </c>
      <c r="Y74" s="228">
        <v>60.2</v>
      </c>
      <c r="Z74" s="228">
        <v>66</v>
      </c>
      <c r="AA74" s="228">
        <v>67.400000000000006</v>
      </c>
      <c r="AB74" s="225" t="s">
        <v>881</v>
      </c>
      <c r="AC74" s="226" t="s">
        <v>947</v>
      </c>
      <c r="AD74" s="221">
        <v>194.1</v>
      </c>
      <c r="AE74" s="221">
        <v>218</v>
      </c>
      <c r="AF74" s="221">
        <v>226.5</v>
      </c>
      <c r="AG74" s="221">
        <v>219.7</v>
      </c>
      <c r="AH74" s="221">
        <v>166.5</v>
      </c>
      <c r="AI74" s="227"/>
      <c r="AJ74" s="227"/>
    </row>
    <row r="75" spans="1:36" ht="15.6" x14ac:dyDescent="0.35">
      <c r="A75" s="976" t="s">
        <v>173</v>
      </c>
      <c r="B75" s="217" t="s">
        <v>875</v>
      </c>
      <c r="C75" s="219" t="s">
        <v>946</v>
      </c>
      <c r="D75" s="228">
        <v>14.1</v>
      </c>
      <c r="E75" s="228">
        <v>13.5</v>
      </c>
      <c r="F75" s="228">
        <v>13.2</v>
      </c>
      <c r="G75" s="228">
        <v>12.8</v>
      </c>
      <c r="H75" s="228">
        <v>12.4</v>
      </c>
      <c r="I75" s="228">
        <v>12.6</v>
      </c>
      <c r="J75" s="228">
        <v>12.8</v>
      </c>
      <c r="K75" s="228">
        <v>13.1</v>
      </c>
      <c r="L75" s="228">
        <v>14.7</v>
      </c>
      <c r="M75" s="228">
        <v>16.5</v>
      </c>
      <c r="N75" s="228">
        <v>18.3</v>
      </c>
      <c r="O75" s="228">
        <v>19.399999999999999</v>
      </c>
      <c r="P75" s="228">
        <v>20.5</v>
      </c>
      <c r="Q75" s="228">
        <v>21.6</v>
      </c>
      <c r="R75" s="228">
        <v>21.4</v>
      </c>
      <c r="S75" s="228">
        <v>21.3</v>
      </c>
      <c r="T75" s="228">
        <v>21.2</v>
      </c>
      <c r="U75" s="228">
        <v>20</v>
      </c>
      <c r="V75" s="228">
        <v>18.8</v>
      </c>
      <c r="W75" s="228">
        <v>17.600000000000001</v>
      </c>
      <c r="X75" s="228">
        <v>16.8</v>
      </c>
      <c r="Y75" s="228">
        <v>16</v>
      </c>
      <c r="Z75" s="228">
        <v>15.2</v>
      </c>
      <c r="AA75" s="228">
        <v>14.6</v>
      </c>
      <c r="AB75" s="227"/>
      <c r="AC75" s="227"/>
      <c r="AD75" s="448">
        <v>14.9</v>
      </c>
      <c r="AE75" s="448">
        <v>18.399999999999999</v>
      </c>
      <c r="AF75" s="448">
        <v>21</v>
      </c>
      <c r="AG75" s="448">
        <v>20.7</v>
      </c>
      <c r="AH75" s="448">
        <v>15.8</v>
      </c>
      <c r="AI75" s="227"/>
      <c r="AJ75" s="227"/>
    </row>
    <row r="76" spans="1:36" ht="15.6" x14ac:dyDescent="0.35">
      <c r="A76" s="976"/>
      <c r="B76" s="217" t="s">
        <v>876</v>
      </c>
      <c r="C76" s="219" t="s">
        <v>1</v>
      </c>
      <c r="D76" s="228">
        <v>72</v>
      </c>
      <c r="E76" s="228">
        <v>74.3</v>
      </c>
      <c r="F76" s="228">
        <v>75.5</v>
      </c>
      <c r="G76" s="228">
        <v>77</v>
      </c>
      <c r="H76" s="228">
        <v>78.3</v>
      </c>
      <c r="I76" s="228">
        <v>77.7</v>
      </c>
      <c r="J76" s="228">
        <v>77</v>
      </c>
      <c r="K76" s="228">
        <v>76.2</v>
      </c>
      <c r="L76" s="228">
        <v>69.599999999999994</v>
      </c>
      <c r="M76" s="228">
        <v>63</v>
      </c>
      <c r="N76" s="228">
        <v>57.6</v>
      </c>
      <c r="O76" s="228">
        <v>52.8</v>
      </c>
      <c r="P76" s="228">
        <v>48.8</v>
      </c>
      <c r="Q76" s="228">
        <v>45.4</v>
      </c>
      <c r="R76" s="228">
        <v>46</v>
      </c>
      <c r="S76" s="228">
        <v>46.9</v>
      </c>
      <c r="T76" s="228">
        <v>48</v>
      </c>
      <c r="U76" s="228">
        <v>51.6</v>
      </c>
      <c r="V76" s="228">
        <v>55.9</v>
      </c>
      <c r="W76" s="228">
        <v>60.4</v>
      </c>
      <c r="X76" s="228">
        <v>62.9</v>
      </c>
      <c r="Y76" s="228">
        <v>65.3</v>
      </c>
      <c r="Z76" s="228">
        <v>67.7</v>
      </c>
      <c r="AA76" s="228">
        <v>70</v>
      </c>
      <c r="AB76" s="227"/>
      <c r="AC76" s="227"/>
      <c r="AD76" s="227"/>
      <c r="AE76" s="227">
        <v>2</v>
      </c>
      <c r="AF76" s="227" t="s">
        <v>740</v>
      </c>
      <c r="AG76" s="227"/>
      <c r="AH76" s="227"/>
      <c r="AI76" s="227"/>
      <c r="AJ76" s="227"/>
    </row>
    <row r="77" spans="1:36" ht="15.6" x14ac:dyDescent="0.35">
      <c r="A77" s="218" t="s">
        <v>174</v>
      </c>
      <c r="B77" s="217" t="s">
        <v>875</v>
      </c>
      <c r="C77" s="219" t="s">
        <v>946</v>
      </c>
      <c r="D77" s="228">
        <v>8.6</v>
      </c>
      <c r="E77" s="228">
        <v>9.1999999999999993</v>
      </c>
      <c r="F77" s="228">
        <v>7.7</v>
      </c>
      <c r="G77" s="228">
        <v>7.6</v>
      </c>
      <c r="H77" s="228">
        <v>8.1</v>
      </c>
      <c r="I77" s="228">
        <v>6.9</v>
      </c>
      <c r="J77" s="228">
        <v>6.6</v>
      </c>
      <c r="K77" s="228">
        <v>8.4</v>
      </c>
      <c r="L77" s="228">
        <v>9.3000000000000007</v>
      </c>
      <c r="M77" s="228">
        <v>11</v>
      </c>
      <c r="N77" s="228">
        <v>12.5</v>
      </c>
      <c r="O77" s="228">
        <v>14.3</v>
      </c>
      <c r="P77" s="228">
        <v>15.5</v>
      </c>
      <c r="Q77" s="228">
        <v>16</v>
      </c>
      <c r="R77" s="228">
        <v>16.7</v>
      </c>
      <c r="S77" s="228">
        <v>16.399999999999999</v>
      </c>
      <c r="T77" s="228">
        <v>15.6</v>
      </c>
      <c r="U77" s="228">
        <v>13.4</v>
      </c>
      <c r="V77" s="228">
        <v>12.1</v>
      </c>
      <c r="W77" s="228">
        <v>12</v>
      </c>
      <c r="X77" s="228">
        <v>10.5</v>
      </c>
      <c r="Y77" s="228">
        <v>9.8000000000000007</v>
      </c>
      <c r="Z77" s="228">
        <v>10.3</v>
      </c>
      <c r="AA77" s="228">
        <v>8.6</v>
      </c>
      <c r="AB77" s="985" t="s">
        <v>854</v>
      </c>
      <c r="AC77" s="986"/>
      <c r="AD77" s="227"/>
      <c r="AE77" s="237" t="s">
        <v>851</v>
      </c>
      <c r="AF77" s="227">
        <v>0.5</v>
      </c>
      <c r="AG77" s="227" t="s">
        <v>852</v>
      </c>
      <c r="AH77" s="227"/>
      <c r="AI77" s="227"/>
      <c r="AJ77" s="227"/>
    </row>
    <row r="78" spans="1:36" ht="15.6" x14ac:dyDescent="0.35">
      <c r="A78" s="218" t="s">
        <v>175</v>
      </c>
      <c r="B78" s="217" t="s">
        <v>875</v>
      </c>
      <c r="C78" s="219" t="s">
        <v>946</v>
      </c>
      <c r="D78" s="228">
        <v>3.9</v>
      </c>
      <c r="E78" s="228">
        <v>3.7</v>
      </c>
      <c r="F78" s="228">
        <v>3.2</v>
      </c>
      <c r="G78" s="228">
        <v>3.1</v>
      </c>
      <c r="H78" s="228">
        <v>2.9</v>
      </c>
      <c r="I78" s="228">
        <v>2.6</v>
      </c>
      <c r="J78" s="228">
        <v>2.4</v>
      </c>
      <c r="K78" s="228">
        <v>2.8</v>
      </c>
      <c r="L78" s="228">
        <v>3.6</v>
      </c>
      <c r="M78" s="228">
        <v>4.5999999999999996</v>
      </c>
      <c r="N78" s="228">
        <v>5.7</v>
      </c>
      <c r="O78" s="228">
        <v>6.5</v>
      </c>
      <c r="P78" s="228">
        <v>7.4</v>
      </c>
      <c r="Q78" s="228">
        <v>8.1999999999999993</v>
      </c>
      <c r="R78" s="228">
        <v>8.3000000000000007</v>
      </c>
      <c r="S78" s="228">
        <v>8.1999999999999993</v>
      </c>
      <c r="T78" s="228">
        <v>7.6</v>
      </c>
      <c r="U78" s="228">
        <v>6.5</v>
      </c>
      <c r="V78" s="228">
        <v>6</v>
      </c>
      <c r="W78" s="228">
        <v>5.9</v>
      </c>
      <c r="X78" s="228">
        <v>5.0999999999999996</v>
      </c>
      <c r="Y78" s="228">
        <v>4.8</v>
      </c>
      <c r="Z78" s="228">
        <v>4.8</v>
      </c>
      <c r="AA78" s="228">
        <v>4.0999999999999996</v>
      </c>
      <c r="AB78" s="231">
        <v>2800</v>
      </c>
      <c r="AC78" s="232"/>
      <c r="AD78" s="227"/>
      <c r="AE78" s="227">
        <v>21</v>
      </c>
      <c r="AF78" s="227" t="s">
        <v>478</v>
      </c>
      <c r="AG78" s="227"/>
      <c r="AH78" s="227"/>
      <c r="AI78" s="227"/>
      <c r="AJ78" s="227"/>
    </row>
    <row r="79" spans="1:36" ht="15.6" x14ac:dyDescent="0.35">
      <c r="A79" s="218" t="s">
        <v>176</v>
      </c>
      <c r="B79" s="217" t="s">
        <v>875</v>
      </c>
      <c r="C79" s="219" t="s">
        <v>946</v>
      </c>
      <c r="D79" s="228">
        <v>0.4</v>
      </c>
      <c r="E79" s="228">
        <v>0.1</v>
      </c>
      <c r="F79" s="228">
        <v>0.1</v>
      </c>
      <c r="G79" s="228">
        <v>0</v>
      </c>
      <c r="H79" s="228">
        <v>-0.2</v>
      </c>
      <c r="I79" s="228">
        <v>-0.1</v>
      </c>
      <c r="J79" s="228">
        <v>-0.3</v>
      </c>
      <c r="K79" s="228">
        <v>-0.2</v>
      </c>
      <c r="L79" s="228">
        <v>-0.1</v>
      </c>
      <c r="M79" s="228">
        <v>0.5</v>
      </c>
      <c r="N79" s="228">
        <v>1.3</v>
      </c>
      <c r="O79" s="228">
        <v>2.2000000000000002</v>
      </c>
      <c r="P79" s="228">
        <v>1.8</v>
      </c>
      <c r="Q79" s="228">
        <v>2.7</v>
      </c>
      <c r="R79" s="228">
        <v>3.1</v>
      </c>
      <c r="S79" s="228">
        <v>2.8</v>
      </c>
      <c r="T79" s="228">
        <v>1.9</v>
      </c>
      <c r="U79" s="228">
        <v>1.6</v>
      </c>
      <c r="V79" s="228">
        <v>1.3</v>
      </c>
      <c r="W79" s="228">
        <v>1.1000000000000001</v>
      </c>
      <c r="X79" s="228">
        <v>0.7</v>
      </c>
      <c r="Y79" s="228">
        <v>0.7</v>
      </c>
      <c r="Z79" s="228">
        <v>0.4</v>
      </c>
      <c r="AA79" s="228">
        <v>0.4</v>
      </c>
      <c r="AB79" s="227"/>
      <c r="AC79" s="227"/>
      <c r="AD79" s="227"/>
      <c r="AE79" s="227">
        <v>25</v>
      </c>
      <c r="AF79" s="227" t="s">
        <v>472</v>
      </c>
      <c r="AG79" s="227"/>
      <c r="AH79" s="227"/>
      <c r="AI79" s="227"/>
      <c r="AJ79" s="227"/>
    </row>
    <row r="80" spans="1:36" ht="15.6" x14ac:dyDescent="0.35">
      <c r="A80" s="487" t="s">
        <v>1096</v>
      </c>
      <c r="C80" s="488" t="s">
        <v>12</v>
      </c>
      <c r="D80" s="227">
        <v>0.5</v>
      </c>
      <c r="E80" s="227">
        <v>0.9</v>
      </c>
      <c r="F80" s="227">
        <v>4</v>
      </c>
      <c r="G80" s="227">
        <v>9.6999999999999993</v>
      </c>
      <c r="H80" s="227">
        <v>14.9</v>
      </c>
      <c r="I80" s="227">
        <v>18.399999999999999</v>
      </c>
      <c r="J80" s="227">
        <v>21</v>
      </c>
      <c r="K80" s="227">
        <v>20.7</v>
      </c>
      <c r="L80" s="227">
        <v>15.8</v>
      </c>
      <c r="M80" s="227">
        <v>11.6</v>
      </c>
      <c r="N80" s="227">
        <v>6.3</v>
      </c>
      <c r="O80" s="227">
        <v>0.7</v>
      </c>
      <c r="P80" s="227"/>
      <c r="Q80" s="227"/>
      <c r="R80" s="227"/>
      <c r="S80" s="227"/>
      <c r="T80" s="227"/>
      <c r="U80" s="227"/>
      <c r="V80" s="227"/>
      <c r="W80" s="227"/>
      <c r="X80" s="227" t="s">
        <v>106</v>
      </c>
      <c r="Y80" s="227">
        <v>1.2</v>
      </c>
      <c r="Z80" s="227">
        <v>1.95</v>
      </c>
      <c r="AA80" s="227">
        <v>2.62</v>
      </c>
      <c r="AB80" s="227">
        <v>3.59</v>
      </c>
      <c r="AC80" s="227">
        <v>4.66</v>
      </c>
      <c r="AD80" s="227">
        <v>5.23</v>
      </c>
      <c r="AE80" s="227">
        <v>5.44</v>
      </c>
      <c r="AF80" s="227">
        <v>5.27</v>
      </c>
      <c r="AG80" s="227">
        <v>4</v>
      </c>
      <c r="AH80" s="227">
        <v>2.33</v>
      </c>
      <c r="AI80" s="227">
        <v>1.4</v>
      </c>
      <c r="AJ80" s="227">
        <v>1.05</v>
      </c>
    </row>
    <row r="81" spans="1:36" ht="15.6" x14ac:dyDescent="0.35">
      <c r="D81" s="227"/>
      <c r="E81" s="227"/>
      <c r="F81" s="227"/>
      <c r="G81" s="227"/>
      <c r="H81" s="227"/>
      <c r="I81" s="227"/>
      <c r="J81" s="227"/>
      <c r="K81" s="227"/>
      <c r="L81" s="227"/>
      <c r="M81" s="227"/>
      <c r="N81" s="227"/>
      <c r="O81" s="227"/>
      <c r="P81" s="227"/>
      <c r="Q81" s="227"/>
      <c r="R81" s="227"/>
      <c r="S81" s="227"/>
      <c r="T81" s="227"/>
      <c r="U81" s="227"/>
      <c r="V81" s="227"/>
      <c r="W81" s="227"/>
      <c r="X81" s="227" t="s">
        <v>107</v>
      </c>
      <c r="Y81" s="227">
        <v>0.33</v>
      </c>
      <c r="Z81" s="227">
        <v>0.39</v>
      </c>
      <c r="AA81" s="227">
        <v>0.37</v>
      </c>
      <c r="AB81" s="227">
        <v>0.39</v>
      </c>
      <c r="AC81" s="227">
        <v>0.41</v>
      </c>
      <c r="AD81" s="227">
        <v>0.46</v>
      </c>
      <c r="AE81" s="227">
        <v>0.48</v>
      </c>
      <c r="AF81" s="227">
        <v>0.54</v>
      </c>
      <c r="AG81" s="227">
        <v>0.51</v>
      </c>
      <c r="AH81" s="227">
        <v>0.42</v>
      </c>
      <c r="AI81" s="227">
        <v>0.36</v>
      </c>
      <c r="AJ81" s="227">
        <v>0.34</v>
      </c>
    </row>
    <row r="90" spans="1:36" x14ac:dyDescent="0.25">
      <c r="A90" s="975" t="s">
        <v>823</v>
      </c>
      <c r="B90" s="975"/>
      <c r="C90" s="975"/>
      <c r="D90" s="975"/>
      <c r="E90" s="975"/>
      <c r="F90" s="975"/>
      <c r="G90" s="975"/>
      <c r="H90" s="975"/>
      <c r="I90" s="975"/>
      <c r="J90" s="975"/>
      <c r="K90" s="975"/>
      <c r="L90" s="975"/>
      <c r="M90" s="975"/>
      <c r="N90" s="975"/>
      <c r="O90" s="975"/>
      <c r="P90" s="975"/>
      <c r="Q90" s="975"/>
      <c r="R90" s="975"/>
      <c r="S90" s="975"/>
      <c r="T90" s="975"/>
      <c r="U90" s="975"/>
      <c r="V90" s="975"/>
      <c r="W90" s="975"/>
      <c r="X90" s="975"/>
      <c r="Y90" s="975"/>
      <c r="Z90" s="975"/>
      <c r="AA90" s="975"/>
    </row>
    <row r="92" spans="1:36" x14ac:dyDescent="0.25">
      <c r="A92" s="216"/>
      <c r="B92" s="217" t="s">
        <v>466</v>
      </c>
      <c r="C92" s="217" t="s">
        <v>950</v>
      </c>
      <c r="D92" s="195">
        <v>0</v>
      </c>
      <c r="E92" s="195">
        <v>1</v>
      </c>
      <c r="F92" s="195">
        <v>2</v>
      </c>
      <c r="G92" s="195">
        <v>3</v>
      </c>
      <c r="H92" s="195">
        <v>4</v>
      </c>
      <c r="I92" s="195">
        <v>5</v>
      </c>
      <c r="J92" s="195">
        <v>6</v>
      </c>
      <c r="K92" s="195">
        <v>7</v>
      </c>
      <c r="L92" s="195">
        <v>8</v>
      </c>
      <c r="M92" s="195">
        <v>9</v>
      </c>
      <c r="N92" s="195">
        <v>10</v>
      </c>
      <c r="O92" s="195">
        <v>11</v>
      </c>
      <c r="P92" s="195">
        <v>12</v>
      </c>
      <c r="Q92" s="195">
        <v>13</v>
      </c>
      <c r="R92" s="195">
        <v>14</v>
      </c>
      <c r="S92" s="195">
        <v>15</v>
      </c>
      <c r="T92" s="195">
        <v>16</v>
      </c>
      <c r="U92" s="195">
        <v>17</v>
      </c>
      <c r="V92" s="195">
        <v>18</v>
      </c>
      <c r="W92" s="195">
        <v>19</v>
      </c>
      <c r="X92" s="195">
        <v>20</v>
      </c>
      <c r="Y92" s="195">
        <v>21</v>
      </c>
      <c r="Z92" s="195">
        <v>22</v>
      </c>
      <c r="AA92" s="195">
        <v>23</v>
      </c>
      <c r="AB92" s="979" t="s">
        <v>843</v>
      </c>
      <c r="AC92" s="980"/>
      <c r="AD92" s="980"/>
      <c r="AE92" s="980"/>
      <c r="AF92" s="980"/>
      <c r="AG92" s="980"/>
      <c r="AH92" s="980"/>
      <c r="AI92" s="980"/>
      <c r="AJ92" s="980"/>
    </row>
    <row r="93" spans="1:36" ht="16.2" x14ac:dyDescent="0.35">
      <c r="A93" s="218" t="s">
        <v>167</v>
      </c>
      <c r="B93" s="217" t="s">
        <v>875</v>
      </c>
      <c r="C93" s="219" t="s">
        <v>946</v>
      </c>
      <c r="D93" s="228">
        <v>-0.8</v>
      </c>
      <c r="E93" s="228">
        <v>-0.9</v>
      </c>
      <c r="F93" s="228">
        <v>-1.5</v>
      </c>
      <c r="G93" s="228">
        <v>-1.8</v>
      </c>
      <c r="H93" s="228">
        <v>-1.5</v>
      </c>
      <c r="I93" s="228">
        <v>-1.7</v>
      </c>
      <c r="J93" s="228">
        <v>-1.7</v>
      </c>
      <c r="K93" s="228">
        <v>-1.6</v>
      </c>
      <c r="L93" s="228">
        <v>-1.3</v>
      </c>
      <c r="M93" s="228">
        <v>-0.6</v>
      </c>
      <c r="N93" s="228">
        <v>0.2</v>
      </c>
      <c r="O93" s="228">
        <v>1</v>
      </c>
      <c r="P93" s="228">
        <v>1.6</v>
      </c>
      <c r="Q93" s="228">
        <v>2.4</v>
      </c>
      <c r="R93" s="228">
        <v>2.2999999999999998</v>
      </c>
      <c r="S93" s="228">
        <v>2.2999999999999998</v>
      </c>
      <c r="T93" s="228">
        <v>2.2000000000000002</v>
      </c>
      <c r="U93" s="228">
        <v>1.1000000000000001</v>
      </c>
      <c r="V93" s="228">
        <v>0.5</v>
      </c>
      <c r="W93" s="228">
        <v>0.1</v>
      </c>
      <c r="X93" s="228">
        <v>-0.3</v>
      </c>
      <c r="Y93" s="228">
        <v>-0.4</v>
      </c>
      <c r="Z93" s="228">
        <v>-0.5</v>
      </c>
      <c r="AA93" s="228">
        <v>-0.7</v>
      </c>
      <c r="AB93" s="225" t="s">
        <v>877</v>
      </c>
      <c r="AC93" s="226" t="s">
        <v>947</v>
      </c>
      <c r="AD93" s="221">
        <v>21.2</v>
      </c>
      <c r="AE93" s="221">
        <v>33.5</v>
      </c>
      <c r="AF93" s="221">
        <v>46.2</v>
      </c>
      <c r="AG93" s="221">
        <v>62.4</v>
      </c>
      <c r="AH93" s="221">
        <v>38.9</v>
      </c>
      <c r="AI93" s="221">
        <v>24.4</v>
      </c>
      <c r="AJ93" s="221">
        <v>18.399999999999999</v>
      </c>
    </row>
    <row r="94" spans="1:36" ht="16.2" x14ac:dyDescent="0.35">
      <c r="A94" s="218" t="s">
        <v>168</v>
      </c>
      <c r="B94" s="217" t="s">
        <v>875</v>
      </c>
      <c r="C94" s="219" t="s">
        <v>946</v>
      </c>
      <c r="D94" s="228">
        <v>-2.2999999999999998</v>
      </c>
      <c r="E94" s="228">
        <v>-1.6</v>
      </c>
      <c r="F94" s="228">
        <v>-3</v>
      </c>
      <c r="G94" s="228">
        <v>-3.1</v>
      </c>
      <c r="H94" s="228">
        <v>-2.1</v>
      </c>
      <c r="I94" s="228">
        <v>-3.7</v>
      </c>
      <c r="J94" s="228">
        <v>-3.9</v>
      </c>
      <c r="K94" s="228">
        <v>-2.5</v>
      </c>
      <c r="L94" s="228">
        <v>-2.9</v>
      </c>
      <c r="M94" s="228">
        <v>-1.6</v>
      </c>
      <c r="N94" s="228">
        <v>0.4</v>
      </c>
      <c r="O94" s="228">
        <v>1.4</v>
      </c>
      <c r="P94" s="228">
        <v>2.6</v>
      </c>
      <c r="Q94" s="228">
        <v>3.7</v>
      </c>
      <c r="R94" s="228">
        <v>4.0999999999999996</v>
      </c>
      <c r="S94" s="228">
        <v>3.9</v>
      </c>
      <c r="T94" s="228">
        <v>3.6</v>
      </c>
      <c r="U94" s="228">
        <v>2.4</v>
      </c>
      <c r="V94" s="228">
        <v>1.1000000000000001</v>
      </c>
      <c r="W94" s="228">
        <v>1.1000000000000001</v>
      </c>
      <c r="X94" s="228">
        <v>-0.3</v>
      </c>
      <c r="Y94" s="228">
        <v>-0.7</v>
      </c>
      <c r="Z94" s="228">
        <v>-0.4</v>
      </c>
      <c r="AA94" s="228">
        <v>-2</v>
      </c>
      <c r="AB94" s="225" t="s">
        <v>878</v>
      </c>
      <c r="AC94" s="226" t="s">
        <v>947</v>
      </c>
      <c r="AD94" s="221">
        <v>36.799999999999997</v>
      </c>
      <c r="AE94" s="221">
        <v>56.9</v>
      </c>
      <c r="AF94" s="221">
        <v>67</v>
      </c>
      <c r="AG94" s="221">
        <v>84.3</v>
      </c>
      <c r="AH94" s="221">
        <v>66.599999999999994</v>
      </c>
      <c r="AI94" s="221">
        <v>42.8</v>
      </c>
      <c r="AJ94" s="221">
        <v>32.6</v>
      </c>
    </row>
    <row r="95" spans="1:36" ht="16.2" x14ac:dyDescent="0.35">
      <c r="A95" s="218" t="s">
        <v>923</v>
      </c>
      <c r="B95" s="217" t="s">
        <v>875</v>
      </c>
      <c r="C95" s="219" t="s">
        <v>946</v>
      </c>
      <c r="D95" s="228">
        <v>3.1</v>
      </c>
      <c r="E95" s="228">
        <v>2.6</v>
      </c>
      <c r="F95" s="228">
        <v>2.2000000000000002</v>
      </c>
      <c r="G95" s="228">
        <v>1.9</v>
      </c>
      <c r="H95" s="228">
        <v>2</v>
      </c>
      <c r="I95" s="228">
        <v>1.8</v>
      </c>
      <c r="J95" s="228">
        <v>1.7</v>
      </c>
      <c r="K95" s="228">
        <v>1.9</v>
      </c>
      <c r="L95" s="228">
        <v>3.1</v>
      </c>
      <c r="M95" s="228">
        <v>4.5</v>
      </c>
      <c r="N95" s="228">
        <v>5.8</v>
      </c>
      <c r="O95" s="228">
        <v>6.7</v>
      </c>
      <c r="P95" s="228">
        <v>7.3</v>
      </c>
      <c r="Q95" s="228">
        <v>8</v>
      </c>
      <c r="R95" s="228">
        <v>8.4</v>
      </c>
      <c r="S95" s="228">
        <v>8.4</v>
      </c>
      <c r="T95" s="228">
        <v>8.4</v>
      </c>
      <c r="U95" s="228">
        <v>7.6</v>
      </c>
      <c r="V95" s="228">
        <v>6.8</v>
      </c>
      <c r="W95" s="228">
        <v>6</v>
      </c>
      <c r="X95" s="228">
        <v>5.2</v>
      </c>
      <c r="Y95" s="228">
        <v>4.5999999999999996</v>
      </c>
      <c r="Z95" s="228">
        <v>4.2</v>
      </c>
      <c r="AA95" s="228">
        <v>3.6</v>
      </c>
      <c r="AB95" s="225" t="s">
        <v>879</v>
      </c>
      <c r="AC95" s="226" t="s">
        <v>947</v>
      </c>
      <c r="AD95" s="221">
        <v>66.3</v>
      </c>
      <c r="AE95" s="221">
        <v>93</v>
      </c>
      <c r="AF95" s="221">
        <v>87.1</v>
      </c>
      <c r="AG95" s="221">
        <v>83.8</v>
      </c>
      <c r="AH95" s="221">
        <v>104.3</v>
      </c>
      <c r="AI95" s="221">
        <v>75.8</v>
      </c>
      <c r="AJ95" s="221">
        <v>60.3</v>
      </c>
    </row>
    <row r="96" spans="1:36" ht="16.2" x14ac:dyDescent="0.35">
      <c r="A96" s="218" t="s">
        <v>924</v>
      </c>
      <c r="B96" s="217" t="s">
        <v>875</v>
      </c>
      <c r="C96" s="219" t="s">
        <v>946</v>
      </c>
      <c r="D96" s="228">
        <v>9.1999999999999993</v>
      </c>
      <c r="E96" s="228">
        <v>8.3000000000000007</v>
      </c>
      <c r="F96" s="228">
        <v>8.1</v>
      </c>
      <c r="G96" s="228">
        <v>7.7</v>
      </c>
      <c r="H96" s="228">
        <v>7.3</v>
      </c>
      <c r="I96" s="228">
        <v>7.6</v>
      </c>
      <c r="J96" s="228">
        <v>7.9</v>
      </c>
      <c r="K96" s="228">
        <v>8.1</v>
      </c>
      <c r="L96" s="228">
        <v>8.9</v>
      </c>
      <c r="M96" s="228">
        <v>9.9</v>
      </c>
      <c r="N96" s="228">
        <v>11.6</v>
      </c>
      <c r="O96" s="228">
        <v>12.2</v>
      </c>
      <c r="P96" s="228">
        <v>12.9</v>
      </c>
      <c r="Q96" s="228">
        <v>14</v>
      </c>
      <c r="R96" s="228">
        <v>13.7</v>
      </c>
      <c r="S96" s="228">
        <v>13.5</v>
      </c>
      <c r="T96" s="228">
        <v>13.2</v>
      </c>
      <c r="U96" s="228">
        <v>12.7</v>
      </c>
      <c r="V96" s="228">
        <v>12</v>
      </c>
      <c r="W96" s="228">
        <v>11.1</v>
      </c>
      <c r="X96" s="228">
        <v>10.7</v>
      </c>
      <c r="Y96" s="228">
        <v>10.1</v>
      </c>
      <c r="Z96" s="228">
        <v>9.5</v>
      </c>
      <c r="AA96" s="228">
        <v>9.5</v>
      </c>
      <c r="AB96" s="225" t="s">
        <v>880</v>
      </c>
      <c r="AC96" s="226" t="s">
        <v>947</v>
      </c>
      <c r="AD96" s="221">
        <v>36.799999999999997</v>
      </c>
      <c r="AE96" s="221">
        <v>56.9</v>
      </c>
      <c r="AF96" s="221">
        <v>67</v>
      </c>
      <c r="AG96" s="221">
        <v>84.3</v>
      </c>
      <c r="AH96" s="221">
        <v>66.599999999999994</v>
      </c>
      <c r="AI96" s="221">
        <v>42.8</v>
      </c>
      <c r="AJ96" s="221">
        <v>32.6</v>
      </c>
    </row>
    <row r="97" spans="1:36" ht="16.2" x14ac:dyDescent="0.35">
      <c r="A97" s="976" t="s">
        <v>169</v>
      </c>
      <c r="B97" s="217" t="s">
        <v>875</v>
      </c>
      <c r="C97" s="219" t="s">
        <v>946</v>
      </c>
      <c r="D97" s="228">
        <v>11.8</v>
      </c>
      <c r="E97" s="228">
        <v>11.2</v>
      </c>
      <c r="F97" s="228">
        <v>10.9</v>
      </c>
      <c r="G97" s="228">
        <v>10.6</v>
      </c>
      <c r="H97" s="228">
        <v>10.3</v>
      </c>
      <c r="I97" s="228">
        <v>10.7</v>
      </c>
      <c r="J97" s="228">
        <v>11.4</v>
      </c>
      <c r="K97" s="228">
        <v>12.2</v>
      </c>
      <c r="L97" s="228">
        <v>13.3</v>
      </c>
      <c r="M97" s="228">
        <v>14.5</v>
      </c>
      <c r="N97" s="228">
        <v>15.5</v>
      </c>
      <c r="O97" s="228">
        <v>16.5</v>
      </c>
      <c r="P97" s="228">
        <v>17.100000000000001</v>
      </c>
      <c r="Q97" s="228">
        <v>17.899999999999999</v>
      </c>
      <c r="R97" s="228">
        <v>18.399999999999999</v>
      </c>
      <c r="S97" s="228">
        <v>18.3</v>
      </c>
      <c r="T97" s="228">
        <v>18.2</v>
      </c>
      <c r="U97" s="228">
        <v>17.899999999999999</v>
      </c>
      <c r="V97" s="228">
        <v>17.2</v>
      </c>
      <c r="W97" s="228">
        <v>16.600000000000001</v>
      </c>
      <c r="X97" s="228">
        <v>15.7</v>
      </c>
      <c r="Y97" s="228">
        <v>14.9</v>
      </c>
      <c r="Z97" s="228">
        <v>13.9</v>
      </c>
      <c r="AA97" s="228">
        <v>13</v>
      </c>
      <c r="AB97" s="225" t="s">
        <v>881</v>
      </c>
      <c r="AC97" s="226" t="s">
        <v>947</v>
      </c>
      <c r="AD97" s="221">
        <v>45.5</v>
      </c>
      <c r="AE97" s="221">
        <v>77.599999999999994</v>
      </c>
      <c r="AF97" s="221">
        <v>105.9</v>
      </c>
      <c r="AG97" s="221">
        <v>147.1</v>
      </c>
      <c r="AH97" s="221">
        <v>93.9</v>
      </c>
      <c r="AI97" s="221">
        <v>54</v>
      </c>
      <c r="AJ97" s="221">
        <v>39.1</v>
      </c>
    </row>
    <row r="98" spans="1:36" ht="15.6" x14ac:dyDescent="0.35">
      <c r="A98" s="976"/>
      <c r="B98" s="217" t="s">
        <v>876</v>
      </c>
      <c r="C98" s="219" t="s">
        <v>1</v>
      </c>
      <c r="D98" s="228">
        <v>76.900000000000006</v>
      </c>
      <c r="E98" s="228">
        <v>78.900000000000006</v>
      </c>
      <c r="F98" s="228">
        <v>79.599999999999994</v>
      </c>
      <c r="G98" s="228">
        <v>81.2</v>
      </c>
      <c r="H98" s="228">
        <v>81.900000000000006</v>
      </c>
      <c r="I98" s="228">
        <v>80.7</v>
      </c>
      <c r="J98" s="228">
        <v>79.2</v>
      </c>
      <c r="K98" s="228">
        <v>76.900000000000006</v>
      </c>
      <c r="L98" s="228">
        <v>73.8</v>
      </c>
      <c r="M98" s="228">
        <v>69</v>
      </c>
      <c r="N98" s="228">
        <v>64.400000000000006</v>
      </c>
      <c r="O98" s="228">
        <v>61</v>
      </c>
      <c r="P98" s="228">
        <v>59.3</v>
      </c>
      <c r="Q98" s="228">
        <v>57.2</v>
      </c>
      <c r="R98" s="228">
        <v>53.9</v>
      </c>
      <c r="S98" s="228">
        <v>54.1</v>
      </c>
      <c r="T98" s="228">
        <v>54.7</v>
      </c>
      <c r="U98" s="228">
        <v>55.8</v>
      </c>
      <c r="V98" s="228">
        <v>58.1</v>
      </c>
      <c r="W98" s="228">
        <v>60.5</v>
      </c>
      <c r="X98" s="228">
        <v>63.7</v>
      </c>
      <c r="Y98" s="228">
        <v>67.2</v>
      </c>
      <c r="Z98" s="228">
        <v>70.2</v>
      </c>
      <c r="AA98" s="228">
        <v>74.3</v>
      </c>
      <c r="AB98" s="227"/>
      <c r="AC98" s="443" t="s">
        <v>340</v>
      </c>
      <c r="AD98" s="443">
        <v>0.1</v>
      </c>
      <c r="AE98" s="443">
        <v>0</v>
      </c>
      <c r="AF98" s="443">
        <v>5.9</v>
      </c>
      <c r="AG98" s="443">
        <v>12.5</v>
      </c>
      <c r="AH98" s="443">
        <v>13.3</v>
      </c>
      <c r="AI98" s="443">
        <v>6.7</v>
      </c>
      <c r="AJ98" s="443">
        <v>0.8</v>
      </c>
    </row>
    <row r="99" spans="1:36" ht="15.6" x14ac:dyDescent="0.35">
      <c r="A99" s="976" t="s">
        <v>170</v>
      </c>
      <c r="B99" s="217" t="s">
        <v>875</v>
      </c>
      <c r="C99" s="219" t="s">
        <v>946</v>
      </c>
      <c r="D99" s="228">
        <v>15.4</v>
      </c>
      <c r="E99" s="228">
        <v>15.7</v>
      </c>
      <c r="F99" s="228">
        <v>14.5</v>
      </c>
      <c r="G99" s="228">
        <v>13.9</v>
      </c>
      <c r="H99" s="228">
        <v>14.3</v>
      </c>
      <c r="I99" s="228">
        <v>13.7</v>
      </c>
      <c r="J99" s="228">
        <v>15.5</v>
      </c>
      <c r="K99" s="228">
        <v>17.2</v>
      </c>
      <c r="L99" s="228">
        <v>18.3</v>
      </c>
      <c r="M99" s="228">
        <v>19.5</v>
      </c>
      <c r="N99" s="228">
        <v>20.7</v>
      </c>
      <c r="O99" s="228">
        <v>22.2</v>
      </c>
      <c r="P99" s="228">
        <v>23.2</v>
      </c>
      <c r="Q99" s="228">
        <v>22.7</v>
      </c>
      <c r="R99" s="228">
        <v>23.7</v>
      </c>
      <c r="S99" s="228">
        <v>23.6</v>
      </c>
      <c r="T99" s="228">
        <v>22.9</v>
      </c>
      <c r="U99" s="228">
        <v>22.5</v>
      </c>
      <c r="V99" s="228">
        <v>21.8</v>
      </c>
      <c r="W99" s="228">
        <v>20.8</v>
      </c>
      <c r="X99" s="228">
        <v>18.7</v>
      </c>
      <c r="Y99" s="228">
        <v>18.100000000000001</v>
      </c>
      <c r="Z99" s="228">
        <v>17.899999999999999</v>
      </c>
      <c r="AA99" s="228">
        <v>16.3</v>
      </c>
      <c r="AB99" s="977" t="s">
        <v>853</v>
      </c>
      <c r="AC99" s="978"/>
      <c r="AD99" s="978"/>
      <c r="AE99" s="978"/>
      <c r="AF99" s="978"/>
      <c r="AG99" s="978"/>
      <c r="AH99" s="978"/>
      <c r="AI99" s="978"/>
      <c r="AJ99" s="978"/>
    </row>
    <row r="100" spans="1:36" ht="16.2" x14ac:dyDescent="0.35">
      <c r="A100" s="976"/>
      <c r="B100" s="217" t="s">
        <v>876</v>
      </c>
      <c r="C100" s="219" t="s">
        <v>1</v>
      </c>
      <c r="D100" s="228">
        <v>85.6</v>
      </c>
      <c r="E100" s="228">
        <v>78.8</v>
      </c>
      <c r="F100" s="228">
        <v>86.4</v>
      </c>
      <c r="G100" s="228">
        <v>89.7</v>
      </c>
      <c r="H100" s="228">
        <v>83.5</v>
      </c>
      <c r="I100" s="228">
        <v>91.8</v>
      </c>
      <c r="J100" s="228">
        <v>86.9</v>
      </c>
      <c r="K100" s="228">
        <v>74.400000000000006</v>
      </c>
      <c r="L100" s="228">
        <v>75.599999999999994</v>
      </c>
      <c r="M100" s="228">
        <v>72.400000000000006</v>
      </c>
      <c r="N100" s="228">
        <v>63.4</v>
      </c>
      <c r="O100" s="228">
        <v>62.2</v>
      </c>
      <c r="P100" s="228">
        <v>59.2</v>
      </c>
      <c r="Q100" s="228">
        <v>56</v>
      </c>
      <c r="R100" s="228">
        <v>56.4</v>
      </c>
      <c r="S100" s="228">
        <v>56.5</v>
      </c>
      <c r="T100" s="228">
        <v>52</v>
      </c>
      <c r="U100" s="228">
        <v>58.6</v>
      </c>
      <c r="V100" s="228">
        <v>62</v>
      </c>
      <c r="W100" s="228">
        <v>61.9</v>
      </c>
      <c r="X100" s="228">
        <v>75.400000000000006</v>
      </c>
      <c r="Y100" s="228">
        <v>75.099999999999994</v>
      </c>
      <c r="Z100" s="228">
        <v>70.2</v>
      </c>
      <c r="AA100" s="228">
        <v>82</v>
      </c>
      <c r="AB100" s="225" t="s">
        <v>877</v>
      </c>
      <c r="AC100" s="226" t="s">
        <v>947</v>
      </c>
      <c r="AD100" s="221">
        <v>76.8</v>
      </c>
      <c r="AE100" s="221">
        <v>83.4</v>
      </c>
      <c r="AF100" s="221">
        <v>82.7</v>
      </c>
      <c r="AG100" s="221">
        <v>74.5</v>
      </c>
      <c r="AH100" s="221">
        <v>58.7</v>
      </c>
      <c r="AI100" s="227"/>
      <c r="AJ100" s="227"/>
    </row>
    <row r="101" spans="1:36" ht="16.2" x14ac:dyDescent="0.35">
      <c r="A101" s="976" t="s">
        <v>171</v>
      </c>
      <c r="B101" s="217" t="s">
        <v>875</v>
      </c>
      <c r="C101" s="219" t="s">
        <v>946</v>
      </c>
      <c r="D101" s="228">
        <v>17.5</v>
      </c>
      <c r="E101" s="228">
        <v>17.100000000000001</v>
      </c>
      <c r="F101" s="228">
        <v>16.7</v>
      </c>
      <c r="G101" s="228">
        <v>16.3</v>
      </c>
      <c r="H101" s="228">
        <v>15.8</v>
      </c>
      <c r="I101" s="228">
        <v>16.600000000000001</v>
      </c>
      <c r="J101" s="228">
        <v>17.399999999999999</v>
      </c>
      <c r="K101" s="228">
        <v>18.100000000000001</v>
      </c>
      <c r="L101" s="228">
        <v>19.5</v>
      </c>
      <c r="M101" s="228">
        <v>20.8</v>
      </c>
      <c r="N101" s="228">
        <v>22.1</v>
      </c>
      <c r="O101" s="228">
        <v>22.8</v>
      </c>
      <c r="P101" s="228">
        <v>23.4</v>
      </c>
      <c r="Q101" s="228">
        <v>24</v>
      </c>
      <c r="R101" s="228">
        <v>23.9</v>
      </c>
      <c r="S101" s="228">
        <v>23.7</v>
      </c>
      <c r="T101" s="228">
        <v>23.5</v>
      </c>
      <c r="U101" s="228">
        <v>22.9</v>
      </c>
      <c r="V101" s="228">
        <v>22.2</v>
      </c>
      <c r="W101" s="228">
        <v>21.5</v>
      </c>
      <c r="X101" s="228">
        <v>20.5</v>
      </c>
      <c r="Y101" s="228">
        <v>19.5</v>
      </c>
      <c r="Z101" s="228">
        <v>18.600000000000001</v>
      </c>
      <c r="AA101" s="228">
        <v>18.100000000000001</v>
      </c>
      <c r="AB101" s="225" t="s">
        <v>878</v>
      </c>
      <c r="AC101" s="226" t="s">
        <v>947</v>
      </c>
      <c r="AD101" s="221">
        <v>106.9</v>
      </c>
      <c r="AE101" s="221">
        <v>120.4</v>
      </c>
      <c r="AF101" s="221">
        <v>124.9</v>
      </c>
      <c r="AG101" s="221">
        <v>125.2</v>
      </c>
      <c r="AH101" s="221">
        <v>104.1</v>
      </c>
      <c r="AI101" s="227"/>
      <c r="AJ101" s="227"/>
    </row>
    <row r="102" spans="1:36" ht="16.2" x14ac:dyDescent="0.35">
      <c r="A102" s="976"/>
      <c r="B102" s="217" t="s">
        <v>876</v>
      </c>
      <c r="C102" s="219" t="s">
        <v>1</v>
      </c>
      <c r="D102" s="228">
        <v>77.7</v>
      </c>
      <c r="E102" s="228">
        <v>78.5</v>
      </c>
      <c r="F102" s="228">
        <v>80.599999999999994</v>
      </c>
      <c r="G102" s="228">
        <v>82.5</v>
      </c>
      <c r="H102" s="228">
        <v>84.4</v>
      </c>
      <c r="I102" s="228">
        <v>81.900000000000006</v>
      </c>
      <c r="J102" s="228">
        <v>79.2</v>
      </c>
      <c r="K102" s="228">
        <v>76.599999999999994</v>
      </c>
      <c r="L102" s="228">
        <v>71.5</v>
      </c>
      <c r="M102" s="228">
        <v>66.8</v>
      </c>
      <c r="N102" s="228">
        <v>62.6</v>
      </c>
      <c r="O102" s="228">
        <v>59.9</v>
      </c>
      <c r="P102" s="228">
        <v>57.5</v>
      </c>
      <c r="Q102" s="228">
        <v>55</v>
      </c>
      <c r="R102" s="228">
        <v>55.9</v>
      </c>
      <c r="S102" s="228">
        <v>56.7</v>
      </c>
      <c r="T102" s="228">
        <v>57.6</v>
      </c>
      <c r="U102" s="228">
        <v>60</v>
      </c>
      <c r="V102" s="228">
        <v>62.6</v>
      </c>
      <c r="W102" s="228">
        <v>65.2</v>
      </c>
      <c r="X102" s="228">
        <v>68.2</v>
      </c>
      <c r="Y102" s="228">
        <v>71.599999999999994</v>
      </c>
      <c r="Z102" s="228">
        <v>74.7</v>
      </c>
      <c r="AA102" s="228">
        <v>75.8</v>
      </c>
      <c r="AB102" s="225" t="s">
        <v>879</v>
      </c>
      <c r="AC102" s="226" t="s">
        <v>947</v>
      </c>
      <c r="AD102" s="221">
        <v>90.2</v>
      </c>
      <c r="AE102" s="221">
        <v>96.7</v>
      </c>
      <c r="AF102" s="221">
        <v>104.7</v>
      </c>
      <c r="AG102" s="221">
        <v>127.9</v>
      </c>
      <c r="AH102" s="221">
        <v>136.5</v>
      </c>
      <c r="AI102" s="227"/>
      <c r="AJ102" s="227"/>
    </row>
    <row r="103" spans="1:36" ht="16.2" x14ac:dyDescent="0.35">
      <c r="A103" s="976" t="s">
        <v>172</v>
      </c>
      <c r="B103" s="217" t="s">
        <v>875</v>
      </c>
      <c r="C103" s="219" t="s">
        <v>946</v>
      </c>
      <c r="D103" s="228">
        <v>17.399999999999999</v>
      </c>
      <c r="E103" s="228">
        <v>16.399999999999999</v>
      </c>
      <c r="F103" s="228">
        <v>16.100000000000001</v>
      </c>
      <c r="G103" s="228">
        <v>15.6</v>
      </c>
      <c r="H103" s="228">
        <v>15</v>
      </c>
      <c r="I103" s="228">
        <v>15.6</v>
      </c>
      <c r="J103" s="228">
        <v>16.5</v>
      </c>
      <c r="K103" s="228">
        <v>17.3</v>
      </c>
      <c r="L103" s="228">
        <v>18.399999999999999</v>
      </c>
      <c r="M103" s="228">
        <v>20.2</v>
      </c>
      <c r="N103" s="228">
        <v>22.4</v>
      </c>
      <c r="O103" s="228">
        <v>23</v>
      </c>
      <c r="P103" s="228">
        <v>23.9</v>
      </c>
      <c r="Q103" s="228">
        <v>24.9</v>
      </c>
      <c r="R103" s="228">
        <v>24.8</v>
      </c>
      <c r="S103" s="228">
        <v>24.6</v>
      </c>
      <c r="T103" s="228">
        <v>24.5</v>
      </c>
      <c r="U103" s="228">
        <v>23.6</v>
      </c>
      <c r="V103" s="228">
        <v>22.6</v>
      </c>
      <c r="W103" s="228">
        <v>21.4</v>
      </c>
      <c r="X103" s="228">
        <v>21</v>
      </c>
      <c r="Y103" s="228">
        <v>20.3</v>
      </c>
      <c r="Z103" s="228">
        <v>18.399999999999999</v>
      </c>
      <c r="AA103" s="228">
        <v>18</v>
      </c>
      <c r="AB103" s="225" t="s">
        <v>880</v>
      </c>
      <c r="AC103" s="226" t="s">
        <v>947</v>
      </c>
      <c r="AD103" s="221">
        <v>106.9</v>
      </c>
      <c r="AE103" s="221">
        <v>120.4</v>
      </c>
      <c r="AF103" s="221">
        <v>124.9</v>
      </c>
      <c r="AG103" s="221">
        <v>125.2</v>
      </c>
      <c r="AH103" s="221">
        <v>104.1</v>
      </c>
      <c r="AI103" s="227"/>
      <c r="AJ103" s="227"/>
    </row>
    <row r="104" spans="1:36" ht="16.2" x14ac:dyDescent="0.35">
      <c r="A104" s="976"/>
      <c r="B104" s="217" t="s">
        <v>876</v>
      </c>
      <c r="C104" s="219" t="s">
        <v>1</v>
      </c>
      <c r="D104" s="228">
        <v>69.8</v>
      </c>
      <c r="E104" s="228">
        <v>73.400000000000006</v>
      </c>
      <c r="F104" s="228">
        <v>74.5</v>
      </c>
      <c r="G104" s="228">
        <v>76.5</v>
      </c>
      <c r="H104" s="228">
        <v>79.400000000000006</v>
      </c>
      <c r="I104" s="228">
        <v>77.900000000000006</v>
      </c>
      <c r="J104" s="228">
        <v>75.7</v>
      </c>
      <c r="K104" s="228">
        <v>72.599999999999994</v>
      </c>
      <c r="L104" s="228">
        <v>68.7</v>
      </c>
      <c r="M104" s="228">
        <v>62.7</v>
      </c>
      <c r="N104" s="228">
        <v>55.9</v>
      </c>
      <c r="O104" s="228">
        <v>53.3</v>
      </c>
      <c r="P104" s="228">
        <v>50.2</v>
      </c>
      <c r="Q104" s="228">
        <v>46.5</v>
      </c>
      <c r="R104" s="228">
        <v>46.5</v>
      </c>
      <c r="S104" s="228">
        <v>46.5</v>
      </c>
      <c r="T104" s="228">
        <v>46.3</v>
      </c>
      <c r="U104" s="228">
        <v>49</v>
      </c>
      <c r="V104" s="228">
        <v>53.1</v>
      </c>
      <c r="W104" s="228">
        <v>57.5</v>
      </c>
      <c r="X104" s="228">
        <v>58.7</v>
      </c>
      <c r="Y104" s="228">
        <v>60.2</v>
      </c>
      <c r="Z104" s="228">
        <v>66</v>
      </c>
      <c r="AA104" s="228">
        <v>67.400000000000006</v>
      </c>
      <c r="AB104" s="225" t="s">
        <v>881</v>
      </c>
      <c r="AC104" s="226" t="s">
        <v>947</v>
      </c>
      <c r="AD104" s="221">
        <v>191.6</v>
      </c>
      <c r="AE104" s="221">
        <v>215.4</v>
      </c>
      <c r="AF104" s="221">
        <v>223.8</v>
      </c>
      <c r="AG104" s="221">
        <v>217</v>
      </c>
      <c r="AH104" s="221">
        <v>164</v>
      </c>
      <c r="AI104" s="227"/>
      <c r="AJ104" s="227"/>
    </row>
    <row r="105" spans="1:36" ht="15.6" x14ac:dyDescent="0.35">
      <c r="A105" s="976" t="s">
        <v>173</v>
      </c>
      <c r="B105" s="217" t="s">
        <v>875</v>
      </c>
      <c r="C105" s="219" t="s">
        <v>946</v>
      </c>
      <c r="D105" s="228">
        <v>14.1</v>
      </c>
      <c r="E105" s="228">
        <v>13.5</v>
      </c>
      <c r="F105" s="228">
        <v>13.2</v>
      </c>
      <c r="G105" s="228">
        <v>12.8</v>
      </c>
      <c r="H105" s="228">
        <v>12.4</v>
      </c>
      <c r="I105" s="228">
        <v>12.6</v>
      </c>
      <c r="J105" s="228">
        <v>12.8</v>
      </c>
      <c r="K105" s="228">
        <v>13.1</v>
      </c>
      <c r="L105" s="228">
        <v>14.7</v>
      </c>
      <c r="M105" s="228">
        <v>16.5</v>
      </c>
      <c r="N105" s="228">
        <v>18.3</v>
      </c>
      <c r="O105" s="228">
        <v>19.399999999999999</v>
      </c>
      <c r="P105" s="228">
        <v>20.5</v>
      </c>
      <c r="Q105" s="228">
        <v>21.6</v>
      </c>
      <c r="R105" s="228">
        <v>21.4</v>
      </c>
      <c r="S105" s="228">
        <v>21.3</v>
      </c>
      <c r="T105" s="228">
        <v>21.2</v>
      </c>
      <c r="U105" s="228">
        <v>20</v>
      </c>
      <c r="V105" s="228">
        <v>18.8</v>
      </c>
      <c r="W105" s="228">
        <v>17.600000000000001</v>
      </c>
      <c r="X105" s="228">
        <v>16.8</v>
      </c>
      <c r="Y105" s="228">
        <v>16</v>
      </c>
      <c r="Z105" s="228">
        <v>15.2</v>
      </c>
      <c r="AA105" s="228">
        <v>14.6</v>
      </c>
      <c r="AB105" s="227"/>
      <c r="AC105" s="227"/>
      <c r="AD105" s="448">
        <v>17.399999999999999</v>
      </c>
      <c r="AE105" s="448">
        <v>21.4</v>
      </c>
      <c r="AF105" s="448">
        <v>24</v>
      </c>
      <c r="AG105" s="448">
        <v>23.4</v>
      </c>
      <c r="AH105" s="448">
        <v>19.2</v>
      </c>
      <c r="AI105" s="227"/>
      <c r="AJ105" s="227"/>
    </row>
    <row r="106" spans="1:36" ht="15.6" x14ac:dyDescent="0.35">
      <c r="A106" s="976"/>
      <c r="B106" s="217" t="s">
        <v>876</v>
      </c>
      <c r="C106" s="219" t="s">
        <v>1</v>
      </c>
      <c r="D106" s="228">
        <v>72</v>
      </c>
      <c r="E106" s="228">
        <v>74.3</v>
      </c>
      <c r="F106" s="228">
        <v>75.5</v>
      </c>
      <c r="G106" s="228">
        <v>77</v>
      </c>
      <c r="H106" s="228">
        <v>78.3</v>
      </c>
      <c r="I106" s="228">
        <v>77.7</v>
      </c>
      <c r="J106" s="228">
        <v>77</v>
      </c>
      <c r="K106" s="228">
        <v>76.2</v>
      </c>
      <c r="L106" s="228">
        <v>69.599999999999994</v>
      </c>
      <c r="M106" s="228">
        <v>63</v>
      </c>
      <c r="N106" s="228">
        <v>57.6</v>
      </c>
      <c r="O106" s="228">
        <v>52.8</v>
      </c>
      <c r="P106" s="228">
        <v>48.8</v>
      </c>
      <c r="Q106" s="228">
        <v>45.4</v>
      </c>
      <c r="R106" s="228">
        <v>46</v>
      </c>
      <c r="S106" s="228">
        <v>46.9</v>
      </c>
      <c r="T106" s="228">
        <v>48</v>
      </c>
      <c r="U106" s="228">
        <v>51.6</v>
      </c>
      <c r="V106" s="228">
        <v>55.9</v>
      </c>
      <c r="W106" s="228">
        <v>60.4</v>
      </c>
      <c r="X106" s="228">
        <v>62.9</v>
      </c>
      <c r="Y106" s="228">
        <v>95.3</v>
      </c>
      <c r="Z106" s="228">
        <v>67.7</v>
      </c>
      <c r="AA106" s="228">
        <v>70</v>
      </c>
      <c r="AB106" s="227"/>
      <c r="AC106" s="227"/>
      <c r="AD106" s="227"/>
      <c r="AE106" s="227">
        <v>3</v>
      </c>
      <c r="AF106" s="227" t="s">
        <v>740</v>
      </c>
      <c r="AG106" s="227"/>
      <c r="AH106" s="227"/>
      <c r="AI106" s="227"/>
      <c r="AJ106" s="227"/>
    </row>
    <row r="107" spans="1:36" ht="15.6" x14ac:dyDescent="0.35">
      <c r="A107" s="218" t="s">
        <v>174</v>
      </c>
      <c r="B107" s="217" t="s">
        <v>875</v>
      </c>
      <c r="C107" s="219" t="s">
        <v>946</v>
      </c>
      <c r="D107" s="228">
        <v>8.6</v>
      </c>
      <c r="E107" s="228">
        <v>9.1999999999999993</v>
      </c>
      <c r="F107" s="228">
        <v>7.7</v>
      </c>
      <c r="G107" s="228">
        <v>7.6</v>
      </c>
      <c r="H107" s="228">
        <v>8.1</v>
      </c>
      <c r="I107" s="228">
        <v>6.9</v>
      </c>
      <c r="J107" s="228">
        <v>6.6</v>
      </c>
      <c r="K107" s="228">
        <v>8.4</v>
      </c>
      <c r="L107" s="228">
        <v>9.3000000000000007</v>
      </c>
      <c r="M107" s="228">
        <v>11</v>
      </c>
      <c r="N107" s="228">
        <v>12.5</v>
      </c>
      <c r="O107" s="228">
        <v>14.3</v>
      </c>
      <c r="P107" s="228">
        <v>15.5</v>
      </c>
      <c r="Q107" s="228">
        <v>16</v>
      </c>
      <c r="R107" s="228">
        <v>16.7</v>
      </c>
      <c r="S107" s="228">
        <v>16.399999999999999</v>
      </c>
      <c r="T107" s="228">
        <v>15.6</v>
      </c>
      <c r="U107" s="228">
        <v>13.4</v>
      </c>
      <c r="V107" s="228">
        <v>12.1</v>
      </c>
      <c r="W107" s="228">
        <v>12</v>
      </c>
      <c r="X107" s="228">
        <v>10.5</v>
      </c>
      <c r="Y107" s="228">
        <v>9.8000000000000007</v>
      </c>
      <c r="Z107" s="228">
        <v>10.3</v>
      </c>
      <c r="AA107" s="228">
        <v>8.6</v>
      </c>
      <c r="AB107" s="985" t="s">
        <v>854</v>
      </c>
      <c r="AC107" s="986"/>
      <c r="AD107" s="227"/>
      <c r="AE107" s="237" t="s">
        <v>851</v>
      </c>
      <c r="AF107" s="227">
        <v>0.1</v>
      </c>
      <c r="AG107" s="227" t="s">
        <v>852</v>
      </c>
      <c r="AH107" s="227"/>
      <c r="AI107" s="227"/>
      <c r="AJ107" s="227"/>
    </row>
    <row r="108" spans="1:36" ht="15.6" x14ac:dyDescent="0.35">
      <c r="A108" s="218" t="s">
        <v>175</v>
      </c>
      <c r="B108" s="217" t="s">
        <v>875</v>
      </c>
      <c r="C108" s="219" t="s">
        <v>946</v>
      </c>
      <c r="D108" s="228">
        <v>3.9</v>
      </c>
      <c r="E108" s="228">
        <v>3.7</v>
      </c>
      <c r="F108" s="228">
        <v>3.2</v>
      </c>
      <c r="G108" s="228">
        <v>3.1</v>
      </c>
      <c r="H108" s="228">
        <v>2.9</v>
      </c>
      <c r="I108" s="228">
        <v>2.6</v>
      </c>
      <c r="J108" s="228">
        <v>2.4</v>
      </c>
      <c r="K108" s="228">
        <v>2.8</v>
      </c>
      <c r="L108" s="228">
        <v>3.6</v>
      </c>
      <c r="M108" s="228">
        <v>4.5999999999999996</v>
      </c>
      <c r="N108" s="228">
        <v>5.7</v>
      </c>
      <c r="O108" s="228">
        <v>6.5</v>
      </c>
      <c r="P108" s="228">
        <v>7.4</v>
      </c>
      <c r="Q108" s="228">
        <v>8.1999999999999993</v>
      </c>
      <c r="R108" s="228">
        <v>8.3000000000000007</v>
      </c>
      <c r="S108" s="228">
        <v>8.1999999999999993</v>
      </c>
      <c r="T108" s="228">
        <v>7.6</v>
      </c>
      <c r="U108" s="228">
        <v>6.5</v>
      </c>
      <c r="V108" s="228">
        <v>6</v>
      </c>
      <c r="W108" s="228">
        <v>5.9</v>
      </c>
      <c r="X108" s="228">
        <v>5.0999999999999996</v>
      </c>
      <c r="Y108" s="228">
        <v>4.8</v>
      </c>
      <c r="Z108" s="228">
        <v>4.8</v>
      </c>
      <c r="AA108" s="228">
        <v>4.0999999999999996</v>
      </c>
      <c r="AB108" s="231">
        <v>2600</v>
      </c>
      <c r="AC108" s="232"/>
      <c r="AD108" s="227"/>
      <c r="AE108" s="227">
        <v>23</v>
      </c>
      <c r="AF108" s="227" t="s">
        <v>478</v>
      </c>
      <c r="AG108" s="227"/>
      <c r="AH108" s="227"/>
      <c r="AI108" s="227"/>
      <c r="AJ108" s="227"/>
    </row>
    <row r="109" spans="1:36" ht="15.6" x14ac:dyDescent="0.35">
      <c r="A109" s="218" t="s">
        <v>176</v>
      </c>
      <c r="B109" s="217" t="s">
        <v>875</v>
      </c>
      <c r="C109" s="219" t="s">
        <v>946</v>
      </c>
      <c r="D109" s="228">
        <v>0.4</v>
      </c>
      <c r="E109" s="228">
        <v>0.1</v>
      </c>
      <c r="F109" s="228">
        <v>0.1</v>
      </c>
      <c r="G109" s="228">
        <v>0</v>
      </c>
      <c r="H109" s="228">
        <v>-0.2</v>
      </c>
      <c r="I109" s="228">
        <v>-0.1</v>
      </c>
      <c r="J109" s="228">
        <v>-0.3</v>
      </c>
      <c r="K109" s="228">
        <v>-0.2</v>
      </c>
      <c r="L109" s="228">
        <v>-0.1</v>
      </c>
      <c r="M109" s="228">
        <v>0.5</v>
      </c>
      <c r="N109" s="228">
        <v>1.3</v>
      </c>
      <c r="O109" s="228">
        <v>2.2000000000000002</v>
      </c>
      <c r="P109" s="228">
        <v>1.8</v>
      </c>
      <c r="Q109" s="228">
        <v>2.7</v>
      </c>
      <c r="R109" s="228">
        <v>3.1</v>
      </c>
      <c r="S109" s="228">
        <v>2.8</v>
      </c>
      <c r="T109" s="228">
        <v>1.9</v>
      </c>
      <c r="U109" s="228">
        <v>1.6</v>
      </c>
      <c r="V109" s="228">
        <v>1.3</v>
      </c>
      <c r="W109" s="228">
        <v>1.1000000000000001</v>
      </c>
      <c r="X109" s="228">
        <v>0.7</v>
      </c>
      <c r="Y109" s="228">
        <v>0.7</v>
      </c>
      <c r="Z109" s="228">
        <v>0.4</v>
      </c>
      <c r="AA109" s="228">
        <v>0.4</v>
      </c>
      <c r="AB109" s="227"/>
      <c r="AC109" s="227"/>
      <c r="AD109" s="227"/>
      <c r="AE109" s="227">
        <v>15</v>
      </c>
      <c r="AF109" s="227" t="s">
        <v>472</v>
      </c>
      <c r="AG109" s="227"/>
      <c r="AH109" s="227"/>
      <c r="AI109" s="227"/>
      <c r="AJ109" s="227"/>
    </row>
    <row r="110" spans="1:36" ht="15.6" x14ac:dyDescent="0.35">
      <c r="A110" s="487" t="s">
        <v>1096</v>
      </c>
      <c r="C110" s="488" t="s">
        <v>12</v>
      </c>
      <c r="D110" s="227">
        <v>0.1</v>
      </c>
      <c r="E110" s="227">
        <v>0</v>
      </c>
      <c r="F110" s="227">
        <v>5.9</v>
      </c>
      <c r="G110" s="227">
        <v>12.5</v>
      </c>
      <c r="H110" s="227">
        <v>17.399999999999999</v>
      </c>
      <c r="I110" s="227">
        <v>21.4</v>
      </c>
      <c r="J110" s="227">
        <v>24</v>
      </c>
      <c r="K110" s="227">
        <v>23.4</v>
      </c>
      <c r="L110" s="227">
        <v>19.2</v>
      </c>
      <c r="M110" s="227">
        <v>13.3</v>
      </c>
      <c r="N110" s="227">
        <v>6.7</v>
      </c>
      <c r="O110" s="227">
        <v>0.8</v>
      </c>
      <c r="P110" s="227"/>
      <c r="Q110" s="227"/>
      <c r="R110" s="227"/>
      <c r="S110" s="227"/>
      <c r="T110" s="227"/>
      <c r="U110" s="227"/>
      <c r="V110" s="227"/>
      <c r="W110" s="227"/>
      <c r="X110" s="227" t="s">
        <v>106</v>
      </c>
      <c r="Y110" s="227">
        <v>1.0900000000000001</v>
      </c>
      <c r="Z110" s="227">
        <v>1.86</v>
      </c>
      <c r="AA110" s="227">
        <v>2.54</v>
      </c>
      <c r="AB110" s="227">
        <v>3.53</v>
      </c>
      <c r="AC110" s="227">
        <v>4.5999999999999996</v>
      </c>
      <c r="AD110" s="227">
        <v>5.17</v>
      </c>
      <c r="AE110" s="227">
        <v>5.37</v>
      </c>
      <c r="AF110" s="227">
        <v>5.21</v>
      </c>
      <c r="AG110" s="227">
        <v>3.94</v>
      </c>
      <c r="AH110" s="227">
        <v>2.25</v>
      </c>
      <c r="AI110" s="227">
        <v>1.3</v>
      </c>
      <c r="AJ110" s="227">
        <v>0.94</v>
      </c>
    </row>
    <row r="111" spans="1:36" ht="15.6" x14ac:dyDescent="0.35">
      <c r="D111" s="227"/>
      <c r="E111" s="227"/>
      <c r="F111" s="227"/>
      <c r="G111" s="227"/>
      <c r="H111" s="227"/>
      <c r="I111" s="227"/>
      <c r="J111" s="227"/>
      <c r="K111" s="227"/>
      <c r="L111" s="227"/>
      <c r="M111" s="227"/>
      <c r="N111" s="227"/>
      <c r="O111" s="227"/>
      <c r="P111" s="227"/>
      <c r="Q111" s="227"/>
      <c r="R111" s="227"/>
      <c r="S111" s="227"/>
      <c r="T111" s="227"/>
      <c r="U111" s="227"/>
      <c r="V111" s="227"/>
      <c r="W111" s="227"/>
      <c r="X111" s="227" t="s">
        <v>107</v>
      </c>
      <c r="Y111" s="227">
        <v>0.3</v>
      </c>
      <c r="Z111" s="227">
        <v>0.38</v>
      </c>
      <c r="AA111" s="227">
        <v>0.36</v>
      </c>
      <c r="AB111" s="227">
        <v>0.38</v>
      </c>
      <c r="AC111" s="227">
        <v>0.43</v>
      </c>
      <c r="AD111" s="227">
        <v>0.45</v>
      </c>
      <c r="AE111" s="227">
        <v>0.48</v>
      </c>
      <c r="AF111" s="227">
        <v>0.53</v>
      </c>
      <c r="AG111" s="227">
        <v>0.5</v>
      </c>
      <c r="AH111" s="227">
        <v>0.4</v>
      </c>
      <c r="AI111" s="227">
        <v>0.33</v>
      </c>
      <c r="AJ111" s="227">
        <v>0.31</v>
      </c>
    </row>
    <row r="120" spans="1:36" x14ac:dyDescent="0.25">
      <c r="A120" s="975" t="s">
        <v>822</v>
      </c>
      <c r="B120" s="975"/>
      <c r="C120" s="975"/>
      <c r="D120" s="975"/>
      <c r="E120" s="975"/>
      <c r="F120" s="975"/>
      <c r="G120" s="975"/>
      <c r="H120" s="975"/>
      <c r="I120" s="975"/>
      <c r="J120" s="975"/>
      <c r="K120" s="975"/>
      <c r="L120" s="975"/>
      <c r="M120" s="975"/>
      <c r="N120" s="975"/>
      <c r="O120" s="975"/>
      <c r="P120" s="975"/>
      <c r="Q120" s="975"/>
      <c r="R120" s="975"/>
      <c r="S120" s="975"/>
      <c r="T120" s="975"/>
      <c r="U120" s="975"/>
      <c r="V120" s="975"/>
      <c r="W120" s="975"/>
      <c r="X120" s="975"/>
      <c r="Y120" s="975"/>
      <c r="Z120" s="975"/>
      <c r="AA120" s="975"/>
    </row>
    <row r="122" spans="1:36" x14ac:dyDescent="0.25">
      <c r="A122" s="216"/>
      <c r="B122" s="217" t="s">
        <v>466</v>
      </c>
      <c r="C122" s="217" t="s">
        <v>950</v>
      </c>
      <c r="D122" s="195">
        <v>0</v>
      </c>
      <c r="E122" s="195">
        <v>1</v>
      </c>
      <c r="F122" s="195">
        <v>2</v>
      </c>
      <c r="G122" s="195">
        <v>3</v>
      </c>
      <c r="H122" s="195">
        <v>4</v>
      </c>
      <c r="I122" s="195">
        <v>5</v>
      </c>
      <c r="J122" s="195">
        <v>6</v>
      </c>
      <c r="K122" s="195">
        <v>7</v>
      </c>
      <c r="L122" s="195">
        <v>8</v>
      </c>
      <c r="M122" s="195">
        <v>9</v>
      </c>
      <c r="N122" s="195">
        <v>10</v>
      </c>
      <c r="O122" s="195">
        <v>11</v>
      </c>
      <c r="P122" s="195">
        <v>12</v>
      </c>
      <c r="Q122" s="195">
        <v>13</v>
      </c>
      <c r="R122" s="195">
        <v>14</v>
      </c>
      <c r="S122" s="195">
        <v>15</v>
      </c>
      <c r="T122" s="195">
        <v>16</v>
      </c>
      <c r="U122" s="195">
        <v>17</v>
      </c>
      <c r="V122" s="195">
        <v>18</v>
      </c>
      <c r="W122" s="195">
        <v>19</v>
      </c>
      <c r="X122" s="195">
        <v>20</v>
      </c>
      <c r="Y122" s="195">
        <v>21</v>
      </c>
      <c r="Z122" s="195">
        <v>22</v>
      </c>
      <c r="AA122" s="195">
        <v>23</v>
      </c>
      <c r="AB122" s="979" t="s">
        <v>843</v>
      </c>
      <c r="AC122" s="980"/>
      <c r="AD122" s="980"/>
      <c r="AE122" s="980"/>
      <c r="AF122" s="980"/>
      <c r="AG122" s="980"/>
      <c r="AH122" s="980"/>
      <c r="AI122" s="980"/>
      <c r="AJ122" s="980"/>
    </row>
    <row r="123" spans="1:36" ht="16.2" x14ac:dyDescent="0.35">
      <c r="A123" s="218" t="s">
        <v>167</v>
      </c>
      <c r="B123" s="217" t="s">
        <v>875</v>
      </c>
      <c r="C123" s="219" t="s">
        <v>946</v>
      </c>
      <c r="D123" s="228">
        <v>-0.8</v>
      </c>
      <c r="E123" s="228">
        <v>-0.9</v>
      </c>
      <c r="F123" s="228">
        <v>-1.5</v>
      </c>
      <c r="G123" s="228">
        <v>-1.8</v>
      </c>
      <c r="H123" s="228">
        <v>-1.5</v>
      </c>
      <c r="I123" s="228">
        <v>-1.7</v>
      </c>
      <c r="J123" s="228">
        <v>-1.7</v>
      </c>
      <c r="K123" s="228">
        <v>-1.6</v>
      </c>
      <c r="L123" s="228">
        <v>-1.3</v>
      </c>
      <c r="M123" s="228">
        <v>-0.6</v>
      </c>
      <c r="N123" s="228">
        <v>0.2</v>
      </c>
      <c r="O123" s="228">
        <v>1</v>
      </c>
      <c r="P123" s="228">
        <v>1.6</v>
      </c>
      <c r="Q123" s="228">
        <v>2.4</v>
      </c>
      <c r="R123" s="228">
        <v>2.2999999999999998</v>
      </c>
      <c r="S123" s="228">
        <v>2.2999999999999998</v>
      </c>
      <c r="T123" s="228">
        <v>2.2000000000000002</v>
      </c>
      <c r="U123" s="228">
        <v>1.1000000000000001</v>
      </c>
      <c r="V123" s="228">
        <v>0.5</v>
      </c>
      <c r="W123" s="228">
        <v>0.1</v>
      </c>
      <c r="X123" s="228">
        <v>-0.3</v>
      </c>
      <c r="Y123" s="228">
        <v>-0.4</v>
      </c>
      <c r="Z123" s="228">
        <v>-0.5</v>
      </c>
      <c r="AA123" s="228">
        <v>-0.7</v>
      </c>
      <c r="AB123" s="225" t="s">
        <v>877</v>
      </c>
      <c r="AC123" s="226" t="s">
        <v>947</v>
      </c>
      <c r="AD123" s="221">
        <v>23</v>
      </c>
      <c r="AE123" s="221">
        <v>33.700000000000003</v>
      </c>
      <c r="AF123" s="221">
        <v>49</v>
      </c>
      <c r="AG123" s="221">
        <v>59.8</v>
      </c>
      <c r="AH123" s="221">
        <v>39</v>
      </c>
      <c r="AI123" s="221">
        <v>24.7</v>
      </c>
      <c r="AJ123" s="221">
        <v>19.7</v>
      </c>
    </row>
    <row r="124" spans="1:36" ht="16.2" x14ac:dyDescent="0.35">
      <c r="A124" s="218" t="s">
        <v>168</v>
      </c>
      <c r="B124" s="217" t="s">
        <v>875</v>
      </c>
      <c r="C124" s="219" t="s">
        <v>946</v>
      </c>
      <c r="D124" s="228">
        <v>-2.2999999999999998</v>
      </c>
      <c r="E124" s="228">
        <v>-1.6</v>
      </c>
      <c r="F124" s="228">
        <v>-3</v>
      </c>
      <c r="G124" s="228">
        <v>-3.1</v>
      </c>
      <c r="H124" s="228">
        <v>-2.1</v>
      </c>
      <c r="I124" s="228">
        <v>-3.7</v>
      </c>
      <c r="J124" s="228">
        <v>-3.9</v>
      </c>
      <c r="K124" s="228">
        <v>-2.5</v>
      </c>
      <c r="L124" s="228">
        <v>-2.9</v>
      </c>
      <c r="M124" s="228">
        <v>-1.6</v>
      </c>
      <c r="N124" s="228">
        <v>0.4</v>
      </c>
      <c r="O124" s="228">
        <v>1.4</v>
      </c>
      <c r="P124" s="228">
        <v>2.6</v>
      </c>
      <c r="Q124" s="228">
        <v>3.7</v>
      </c>
      <c r="R124" s="228">
        <v>4.0999999999999996</v>
      </c>
      <c r="S124" s="228">
        <v>3.9</v>
      </c>
      <c r="T124" s="228">
        <v>3.6</v>
      </c>
      <c r="U124" s="228">
        <v>2.4</v>
      </c>
      <c r="V124" s="228">
        <v>1.1000000000000001</v>
      </c>
      <c r="W124" s="228">
        <v>1.1000000000000001</v>
      </c>
      <c r="X124" s="228">
        <v>-0.3</v>
      </c>
      <c r="Y124" s="228">
        <v>-0.7</v>
      </c>
      <c r="Z124" s="228">
        <v>-0.4</v>
      </c>
      <c r="AA124" s="228">
        <v>-2</v>
      </c>
      <c r="AB124" s="225" t="s">
        <v>878</v>
      </c>
      <c r="AC124" s="226" t="s">
        <v>947</v>
      </c>
      <c r="AD124" s="221">
        <v>40.6</v>
      </c>
      <c r="AE124" s="221">
        <v>54.9</v>
      </c>
      <c r="AF124" s="221">
        <v>73.7</v>
      </c>
      <c r="AG124" s="221">
        <v>76.5</v>
      </c>
      <c r="AH124" s="221">
        <v>63.6</v>
      </c>
      <c r="AI124" s="221">
        <v>41.5</v>
      </c>
      <c r="AJ124" s="221">
        <v>34.9</v>
      </c>
    </row>
    <row r="125" spans="1:36" ht="16.2" x14ac:dyDescent="0.35">
      <c r="A125" s="218" t="s">
        <v>923</v>
      </c>
      <c r="B125" s="217" t="s">
        <v>875</v>
      </c>
      <c r="C125" s="219" t="s">
        <v>946</v>
      </c>
      <c r="D125" s="228">
        <v>3.1</v>
      </c>
      <c r="E125" s="228">
        <v>2.6</v>
      </c>
      <c r="F125" s="228">
        <v>2.2000000000000002</v>
      </c>
      <c r="G125" s="228">
        <v>1.9</v>
      </c>
      <c r="H125" s="228">
        <v>2</v>
      </c>
      <c r="I125" s="228">
        <v>1.8</v>
      </c>
      <c r="J125" s="228">
        <v>1.7</v>
      </c>
      <c r="K125" s="228">
        <v>1.9</v>
      </c>
      <c r="L125" s="228">
        <v>3.1</v>
      </c>
      <c r="M125" s="228">
        <v>4.5</v>
      </c>
      <c r="N125" s="228">
        <v>5.8</v>
      </c>
      <c r="O125" s="228">
        <v>6.7</v>
      </c>
      <c r="P125" s="228">
        <v>7.3</v>
      </c>
      <c r="Q125" s="228">
        <v>8</v>
      </c>
      <c r="R125" s="228">
        <v>8.4</v>
      </c>
      <c r="S125" s="228">
        <v>8.4</v>
      </c>
      <c r="T125" s="228">
        <v>8.4</v>
      </c>
      <c r="U125" s="228">
        <v>7.6</v>
      </c>
      <c r="V125" s="228">
        <v>6.8</v>
      </c>
      <c r="W125" s="228">
        <v>6</v>
      </c>
      <c r="X125" s="228">
        <v>5.2</v>
      </c>
      <c r="Y125" s="228">
        <v>4.5999999999999996</v>
      </c>
      <c r="Z125" s="228">
        <v>4.2</v>
      </c>
      <c r="AA125" s="228">
        <v>3.6</v>
      </c>
      <c r="AB125" s="225" t="s">
        <v>879</v>
      </c>
      <c r="AC125" s="226" t="s">
        <v>947</v>
      </c>
      <c r="AD125" s="221">
        <v>73</v>
      </c>
      <c r="AE125" s="221">
        <v>87.2</v>
      </c>
      <c r="AF125" s="221">
        <v>96.1</v>
      </c>
      <c r="AG125" s="221">
        <v>72.400000000000006</v>
      </c>
      <c r="AH125" s="221">
        <v>96.4</v>
      </c>
      <c r="AI125" s="221">
        <v>71.8</v>
      </c>
      <c r="AJ125" s="221">
        <v>64</v>
      </c>
    </row>
    <row r="126" spans="1:36" ht="16.2" x14ac:dyDescent="0.35">
      <c r="A126" s="218" t="s">
        <v>924</v>
      </c>
      <c r="B126" s="217" t="s">
        <v>875</v>
      </c>
      <c r="C126" s="219" t="s">
        <v>946</v>
      </c>
      <c r="D126" s="228">
        <v>9.1999999999999993</v>
      </c>
      <c r="E126" s="228">
        <v>8.3000000000000007</v>
      </c>
      <c r="F126" s="228">
        <v>8.1</v>
      </c>
      <c r="G126" s="228">
        <v>7.7</v>
      </c>
      <c r="H126" s="228">
        <v>7.3</v>
      </c>
      <c r="I126" s="228">
        <v>7.6</v>
      </c>
      <c r="J126" s="228">
        <v>7.9</v>
      </c>
      <c r="K126" s="228">
        <v>8.1</v>
      </c>
      <c r="L126" s="228">
        <v>8.9</v>
      </c>
      <c r="M126" s="228">
        <v>9.9</v>
      </c>
      <c r="N126" s="228">
        <v>11.6</v>
      </c>
      <c r="O126" s="228">
        <v>12.2</v>
      </c>
      <c r="P126" s="228">
        <v>12.9</v>
      </c>
      <c r="Q126" s="228">
        <v>14</v>
      </c>
      <c r="R126" s="228">
        <v>13.7</v>
      </c>
      <c r="S126" s="228">
        <v>13.5</v>
      </c>
      <c r="T126" s="228">
        <v>13.2</v>
      </c>
      <c r="U126" s="228">
        <v>12.7</v>
      </c>
      <c r="V126" s="228">
        <v>12</v>
      </c>
      <c r="W126" s="228">
        <v>11.1</v>
      </c>
      <c r="X126" s="228">
        <v>10.7</v>
      </c>
      <c r="Y126" s="228">
        <v>10.1</v>
      </c>
      <c r="Z126" s="228">
        <v>9.5</v>
      </c>
      <c r="AA126" s="228">
        <v>9.5</v>
      </c>
      <c r="AB126" s="225" t="s">
        <v>880</v>
      </c>
      <c r="AC126" s="226" t="s">
        <v>947</v>
      </c>
      <c r="AD126" s="221">
        <v>40.6</v>
      </c>
      <c r="AE126" s="221">
        <v>54.9</v>
      </c>
      <c r="AF126" s="221">
        <v>73.7</v>
      </c>
      <c r="AG126" s="221">
        <v>76.5</v>
      </c>
      <c r="AH126" s="221">
        <v>63.6</v>
      </c>
      <c r="AI126" s="221">
        <v>41.5</v>
      </c>
      <c r="AJ126" s="221">
        <v>34.9</v>
      </c>
    </row>
    <row r="127" spans="1:36" ht="16.2" x14ac:dyDescent="0.35">
      <c r="A127" s="976" t="s">
        <v>169</v>
      </c>
      <c r="B127" s="217" t="s">
        <v>875</v>
      </c>
      <c r="C127" s="219" t="s">
        <v>946</v>
      </c>
      <c r="D127" s="228">
        <v>11.8</v>
      </c>
      <c r="E127" s="228">
        <v>11.2</v>
      </c>
      <c r="F127" s="228">
        <v>10.9</v>
      </c>
      <c r="G127" s="228">
        <v>10.6</v>
      </c>
      <c r="H127" s="228">
        <v>10.3</v>
      </c>
      <c r="I127" s="228">
        <v>10.7</v>
      </c>
      <c r="J127" s="228">
        <v>11.4</v>
      </c>
      <c r="K127" s="228">
        <v>12.2</v>
      </c>
      <c r="L127" s="228">
        <v>13.3</v>
      </c>
      <c r="M127" s="228">
        <v>14.5</v>
      </c>
      <c r="N127" s="228">
        <v>15.5</v>
      </c>
      <c r="O127" s="228">
        <v>16.5</v>
      </c>
      <c r="P127" s="228">
        <v>17.100000000000001</v>
      </c>
      <c r="Q127" s="228">
        <v>17.899999999999999</v>
      </c>
      <c r="R127" s="228">
        <v>18.399999999999999</v>
      </c>
      <c r="S127" s="228">
        <v>18.3</v>
      </c>
      <c r="T127" s="228">
        <v>18.2</v>
      </c>
      <c r="U127" s="228">
        <v>17.899999999999999</v>
      </c>
      <c r="V127" s="228">
        <v>17.2</v>
      </c>
      <c r="W127" s="228">
        <v>16.600000000000001</v>
      </c>
      <c r="X127" s="228">
        <v>15.7</v>
      </c>
      <c r="Y127" s="228">
        <v>14.9</v>
      </c>
      <c r="Z127" s="228">
        <v>13.9</v>
      </c>
      <c r="AA127" s="228">
        <v>13</v>
      </c>
      <c r="AB127" s="225" t="s">
        <v>881</v>
      </c>
      <c r="AC127" s="226" t="s">
        <v>947</v>
      </c>
      <c r="AD127" s="221">
        <v>50.6</v>
      </c>
      <c r="AE127" s="221">
        <v>76.5</v>
      </c>
      <c r="AF127" s="221">
        <v>116.5</v>
      </c>
      <c r="AG127" s="221">
        <v>135</v>
      </c>
      <c r="AH127" s="221">
        <v>91.7</v>
      </c>
      <c r="AI127" s="221">
        <v>53.7</v>
      </c>
      <c r="AJ127" s="221">
        <v>42.3</v>
      </c>
    </row>
    <row r="128" spans="1:36" ht="15.6" x14ac:dyDescent="0.35">
      <c r="A128" s="976"/>
      <c r="B128" s="217" t="s">
        <v>876</v>
      </c>
      <c r="C128" s="219" t="s">
        <v>1</v>
      </c>
      <c r="D128" s="228">
        <v>76.900000000000006</v>
      </c>
      <c r="E128" s="228">
        <v>78.900000000000006</v>
      </c>
      <c r="F128" s="228">
        <v>79.599999999999994</v>
      </c>
      <c r="G128" s="228">
        <v>81.2</v>
      </c>
      <c r="H128" s="228">
        <v>81.900000000000006</v>
      </c>
      <c r="I128" s="228">
        <v>80.7</v>
      </c>
      <c r="J128" s="228">
        <v>79.2</v>
      </c>
      <c r="K128" s="228">
        <v>76.900000000000006</v>
      </c>
      <c r="L128" s="228">
        <v>73.8</v>
      </c>
      <c r="M128" s="228">
        <v>69</v>
      </c>
      <c r="N128" s="228">
        <v>64.400000000000006</v>
      </c>
      <c r="O128" s="228">
        <v>61</v>
      </c>
      <c r="P128" s="228">
        <v>59.3</v>
      </c>
      <c r="Q128" s="228">
        <v>57.2</v>
      </c>
      <c r="R128" s="228">
        <v>53.9</v>
      </c>
      <c r="S128" s="228">
        <v>54.1</v>
      </c>
      <c r="T128" s="228">
        <v>54.7</v>
      </c>
      <c r="U128" s="228">
        <v>55.8</v>
      </c>
      <c r="V128" s="228">
        <v>58.1</v>
      </c>
      <c r="W128" s="228">
        <v>60.5</v>
      </c>
      <c r="X128" s="228">
        <v>63.7</v>
      </c>
      <c r="Y128" s="228">
        <v>67.2</v>
      </c>
      <c r="Z128" s="228">
        <v>70.2</v>
      </c>
      <c r="AA128" s="228">
        <v>74.3</v>
      </c>
      <c r="AB128" s="227"/>
      <c r="AC128" s="443" t="s">
        <v>340</v>
      </c>
      <c r="AD128" s="443">
        <v>-0.2</v>
      </c>
      <c r="AE128" s="443">
        <v>1.3</v>
      </c>
      <c r="AF128" s="443">
        <v>5.7</v>
      </c>
      <c r="AG128" s="443">
        <v>12.7</v>
      </c>
      <c r="AH128" s="443">
        <v>12.8</v>
      </c>
      <c r="AI128" s="443">
        <v>6.2</v>
      </c>
      <c r="AJ128" s="443">
        <v>0.4</v>
      </c>
    </row>
    <row r="129" spans="1:36" ht="15.6" x14ac:dyDescent="0.35">
      <c r="A129" s="976" t="s">
        <v>170</v>
      </c>
      <c r="B129" s="217" t="s">
        <v>875</v>
      </c>
      <c r="C129" s="219" t="s">
        <v>946</v>
      </c>
      <c r="D129" s="228">
        <v>15.4</v>
      </c>
      <c r="E129" s="228">
        <v>15.7</v>
      </c>
      <c r="F129" s="228">
        <v>14.5</v>
      </c>
      <c r="G129" s="228">
        <v>13.9</v>
      </c>
      <c r="H129" s="228">
        <v>14.3</v>
      </c>
      <c r="I129" s="228">
        <v>13.7</v>
      </c>
      <c r="J129" s="228">
        <v>15.5</v>
      </c>
      <c r="K129" s="228">
        <v>17.2</v>
      </c>
      <c r="L129" s="228">
        <v>18.3</v>
      </c>
      <c r="M129" s="228">
        <v>19.5</v>
      </c>
      <c r="N129" s="228">
        <v>20.7</v>
      </c>
      <c r="O129" s="228">
        <v>22.2</v>
      </c>
      <c r="P129" s="228">
        <v>23.2</v>
      </c>
      <c r="Q129" s="228">
        <v>22.7</v>
      </c>
      <c r="R129" s="228">
        <v>23.7</v>
      </c>
      <c r="S129" s="228">
        <v>23.6</v>
      </c>
      <c r="T129" s="228">
        <v>22.9</v>
      </c>
      <c r="U129" s="228">
        <v>22.5</v>
      </c>
      <c r="V129" s="228">
        <v>21.8</v>
      </c>
      <c r="W129" s="228">
        <v>20.8</v>
      </c>
      <c r="X129" s="228">
        <v>18.7</v>
      </c>
      <c r="Y129" s="228">
        <v>18.100000000000001</v>
      </c>
      <c r="Z129" s="228">
        <v>17.899999999999999</v>
      </c>
      <c r="AA129" s="228">
        <v>16.3</v>
      </c>
      <c r="AB129" s="977" t="s">
        <v>853</v>
      </c>
      <c r="AC129" s="978"/>
      <c r="AD129" s="978"/>
      <c r="AE129" s="978"/>
      <c r="AF129" s="978"/>
      <c r="AG129" s="978"/>
      <c r="AH129" s="978"/>
      <c r="AI129" s="978"/>
      <c r="AJ129" s="978"/>
    </row>
    <row r="130" spans="1:36" ht="16.2" x14ac:dyDescent="0.35">
      <c r="A130" s="976"/>
      <c r="B130" s="217" t="s">
        <v>876</v>
      </c>
      <c r="C130" s="219" t="s">
        <v>1</v>
      </c>
      <c r="D130" s="228">
        <v>85.6</v>
      </c>
      <c r="E130" s="228">
        <v>78.8</v>
      </c>
      <c r="F130" s="228">
        <v>86.4</v>
      </c>
      <c r="G130" s="228">
        <v>89.7</v>
      </c>
      <c r="H130" s="228">
        <v>83.5</v>
      </c>
      <c r="I130" s="228">
        <v>91.8</v>
      </c>
      <c r="J130" s="228">
        <v>86.9</v>
      </c>
      <c r="K130" s="228">
        <v>74.400000000000006</v>
      </c>
      <c r="L130" s="228">
        <v>75.599999999999994</v>
      </c>
      <c r="M130" s="228">
        <v>72.400000000000006</v>
      </c>
      <c r="N130" s="228">
        <v>63.4</v>
      </c>
      <c r="O130" s="228">
        <v>62.2</v>
      </c>
      <c r="P130" s="228">
        <v>59.2</v>
      </c>
      <c r="Q130" s="228">
        <v>56</v>
      </c>
      <c r="R130" s="228">
        <v>56.4</v>
      </c>
      <c r="S130" s="228">
        <v>56.5</v>
      </c>
      <c r="T130" s="228">
        <v>52</v>
      </c>
      <c r="U130" s="228">
        <v>58.6</v>
      </c>
      <c r="V130" s="228">
        <v>62</v>
      </c>
      <c r="W130" s="228">
        <v>61.9</v>
      </c>
      <c r="X130" s="228">
        <v>75.400000000000006</v>
      </c>
      <c r="Y130" s="228">
        <v>75.099999999999994</v>
      </c>
      <c r="Z130" s="228">
        <v>70.2</v>
      </c>
      <c r="AA130" s="228">
        <v>82</v>
      </c>
      <c r="AB130" s="225" t="s">
        <v>877</v>
      </c>
      <c r="AC130" s="226" t="s">
        <v>947</v>
      </c>
      <c r="AD130" s="221">
        <v>75.400000000000006</v>
      </c>
      <c r="AE130" s="221">
        <v>80.900000000000006</v>
      </c>
      <c r="AF130" s="221">
        <v>80.400000000000006</v>
      </c>
      <c r="AG130" s="221">
        <v>74.2</v>
      </c>
      <c r="AH130" s="221">
        <v>58</v>
      </c>
      <c r="AI130" s="227"/>
      <c r="AJ130" s="227"/>
    </row>
    <row r="131" spans="1:36" ht="16.2" x14ac:dyDescent="0.35">
      <c r="A131" s="976" t="s">
        <v>171</v>
      </c>
      <c r="B131" s="217" t="s">
        <v>875</v>
      </c>
      <c r="C131" s="219" t="s">
        <v>946</v>
      </c>
      <c r="D131" s="228">
        <v>17.5</v>
      </c>
      <c r="E131" s="228">
        <v>17.100000000000001</v>
      </c>
      <c r="F131" s="228">
        <v>16.7</v>
      </c>
      <c r="G131" s="228">
        <v>16.3</v>
      </c>
      <c r="H131" s="228">
        <v>15.8</v>
      </c>
      <c r="I131" s="228">
        <v>16.600000000000001</v>
      </c>
      <c r="J131" s="228">
        <v>17.399999999999999</v>
      </c>
      <c r="K131" s="228">
        <v>18.100000000000001</v>
      </c>
      <c r="L131" s="228">
        <v>19.5</v>
      </c>
      <c r="M131" s="228">
        <v>20.8</v>
      </c>
      <c r="N131" s="228">
        <v>22.1</v>
      </c>
      <c r="O131" s="228">
        <v>22.8</v>
      </c>
      <c r="P131" s="228">
        <v>23.4</v>
      </c>
      <c r="Q131" s="228">
        <v>24</v>
      </c>
      <c r="R131" s="228">
        <v>23.9</v>
      </c>
      <c r="S131" s="228">
        <v>23.7</v>
      </c>
      <c r="T131" s="228">
        <v>23.5</v>
      </c>
      <c r="U131" s="228">
        <v>22.9</v>
      </c>
      <c r="V131" s="228">
        <v>22.2</v>
      </c>
      <c r="W131" s="228">
        <v>21.5</v>
      </c>
      <c r="X131" s="228">
        <v>20.5</v>
      </c>
      <c r="Y131" s="228">
        <v>19.5</v>
      </c>
      <c r="Z131" s="228">
        <v>18.600000000000001</v>
      </c>
      <c r="AA131" s="228">
        <v>18.100000000000001</v>
      </c>
      <c r="AB131" s="225" t="s">
        <v>878</v>
      </c>
      <c r="AC131" s="226" t="s">
        <v>947</v>
      </c>
      <c r="AD131" s="221">
        <v>102</v>
      </c>
      <c r="AE131" s="221">
        <v>111.8</v>
      </c>
      <c r="AF131" s="221">
        <v>114.3</v>
      </c>
      <c r="AG131" s="221">
        <v>118</v>
      </c>
      <c r="AH131" s="221">
        <v>93.9</v>
      </c>
      <c r="AI131" s="227"/>
      <c r="AJ131" s="227"/>
    </row>
    <row r="132" spans="1:36" ht="16.2" x14ac:dyDescent="0.35">
      <c r="A132" s="976"/>
      <c r="B132" s="217" t="s">
        <v>876</v>
      </c>
      <c r="C132" s="219" t="s">
        <v>1</v>
      </c>
      <c r="D132" s="228">
        <v>77.7</v>
      </c>
      <c r="E132" s="228">
        <v>78.5</v>
      </c>
      <c r="F132" s="228">
        <v>80.599999999999994</v>
      </c>
      <c r="G132" s="228">
        <v>82.5</v>
      </c>
      <c r="H132" s="228">
        <v>84.4</v>
      </c>
      <c r="I132" s="228">
        <v>81.900000000000006</v>
      </c>
      <c r="J132" s="228">
        <v>79.2</v>
      </c>
      <c r="K132" s="228">
        <v>76.599999999999994</v>
      </c>
      <c r="L132" s="228">
        <v>71.5</v>
      </c>
      <c r="M132" s="228">
        <v>66.8</v>
      </c>
      <c r="N132" s="228">
        <v>62.6</v>
      </c>
      <c r="O132" s="228">
        <v>59.9</v>
      </c>
      <c r="P132" s="228">
        <v>57.5</v>
      </c>
      <c r="Q132" s="228">
        <v>55</v>
      </c>
      <c r="R132" s="228">
        <v>55.9</v>
      </c>
      <c r="S132" s="228">
        <v>56.7</v>
      </c>
      <c r="T132" s="228">
        <v>57.6</v>
      </c>
      <c r="U132" s="228">
        <v>60</v>
      </c>
      <c r="V132" s="228">
        <v>62.6</v>
      </c>
      <c r="W132" s="228">
        <v>65.2</v>
      </c>
      <c r="X132" s="228">
        <v>68.2</v>
      </c>
      <c r="Y132" s="228">
        <v>71.599999999999994</v>
      </c>
      <c r="Z132" s="228">
        <v>74.7</v>
      </c>
      <c r="AA132" s="228">
        <v>75.8</v>
      </c>
      <c r="AB132" s="225" t="s">
        <v>879</v>
      </c>
      <c r="AC132" s="226" t="s">
        <v>947</v>
      </c>
      <c r="AD132" s="221">
        <v>83.9</v>
      </c>
      <c r="AE132" s="221">
        <v>87.9</v>
      </c>
      <c r="AF132" s="221">
        <v>92.6</v>
      </c>
      <c r="AG132" s="221">
        <v>115.2</v>
      </c>
      <c r="AH132" s="221">
        <v>116.2</v>
      </c>
      <c r="AI132" s="227"/>
      <c r="AJ132" s="227"/>
    </row>
    <row r="133" spans="1:36" ht="16.2" x14ac:dyDescent="0.35">
      <c r="A133" s="976" t="s">
        <v>172</v>
      </c>
      <c r="B133" s="217" t="s">
        <v>875</v>
      </c>
      <c r="C133" s="219" t="s">
        <v>946</v>
      </c>
      <c r="D133" s="228">
        <v>17.399999999999999</v>
      </c>
      <c r="E133" s="228">
        <v>16.399999999999999</v>
      </c>
      <c r="F133" s="228">
        <v>16.100000000000001</v>
      </c>
      <c r="G133" s="228">
        <v>15.6</v>
      </c>
      <c r="H133" s="228">
        <v>15</v>
      </c>
      <c r="I133" s="228">
        <v>15.6</v>
      </c>
      <c r="J133" s="228">
        <v>16.5</v>
      </c>
      <c r="K133" s="228">
        <v>17.3</v>
      </c>
      <c r="L133" s="228">
        <v>18.399999999999999</v>
      </c>
      <c r="M133" s="228">
        <v>20.2</v>
      </c>
      <c r="N133" s="228">
        <v>22.4</v>
      </c>
      <c r="O133" s="228">
        <v>23</v>
      </c>
      <c r="P133" s="228">
        <v>23.9</v>
      </c>
      <c r="Q133" s="228">
        <v>24.9</v>
      </c>
      <c r="R133" s="228">
        <v>24.8</v>
      </c>
      <c r="S133" s="228">
        <v>24.6</v>
      </c>
      <c r="T133" s="228">
        <v>24.5</v>
      </c>
      <c r="U133" s="228">
        <v>23.6</v>
      </c>
      <c r="V133" s="228">
        <v>22.6</v>
      </c>
      <c r="W133" s="228">
        <v>21.4</v>
      </c>
      <c r="X133" s="228">
        <v>21</v>
      </c>
      <c r="Y133" s="228">
        <v>20.3</v>
      </c>
      <c r="Z133" s="228">
        <v>18.399999999999999</v>
      </c>
      <c r="AA133" s="228">
        <v>18</v>
      </c>
      <c r="AB133" s="225" t="s">
        <v>880</v>
      </c>
      <c r="AC133" s="226" t="s">
        <v>947</v>
      </c>
      <c r="AD133" s="221">
        <v>102</v>
      </c>
      <c r="AE133" s="221">
        <v>111.8</v>
      </c>
      <c r="AF133" s="221">
        <v>114.3</v>
      </c>
      <c r="AG133" s="221">
        <v>118</v>
      </c>
      <c r="AH133" s="221">
        <v>93.9</v>
      </c>
      <c r="AI133" s="227"/>
      <c r="AJ133" s="227"/>
    </row>
    <row r="134" spans="1:36" ht="16.2" x14ac:dyDescent="0.35">
      <c r="A134" s="976"/>
      <c r="B134" s="217" t="s">
        <v>876</v>
      </c>
      <c r="C134" s="219" t="s">
        <v>1</v>
      </c>
      <c r="D134" s="228">
        <v>69.8</v>
      </c>
      <c r="E134" s="228">
        <v>73.400000000000006</v>
      </c>
      <c r="F134" s="228">
        <v>74.5</v>
      </c>
      <c r="G134" s="228">
        <v>76.5</v>
      </c>
      <c r="H134" s="228">
        <v>79.400000000000006</v>
      </c>
      <c r="I134" s="228">
        <v>77.900000000000006</v>
      </c>
      <c r="J134" s="228">
        <v>75.7</v>
      </c>
      <c r="K134" s="228">
        <v>72.599999999999994</v>
      </c>
      <c r="L134" s="228">
        <v>68.7</v>
      </c>
      <c r="M134" s="228">
        <v>92.7</v>
      </c>
      <c r="N134" s="228">
        <v>55.9</v>
      </c>
      <c r="O134" s="228">
        <v>53.3</v>
      </c>
      <c r="P134" s="228">
        <v>50.2</v>
      </c>
      <c r="Q134" s="228">
        <v>46.5</v>
      </c>
      <c r="R134" s="228">
        <v>46.5</v>
      </c>
      <c r="S134" s="228">
        <v>46.5</v>
      </c>
      <c r="T134" s="228">
        <v>46.3</v>
      </c>
      <c r="U134" s="228">
        <v>49</v>
      </c>
      <c r="V134" s="228">
        <v>53.1</v>
      </c>
      <c r="W134" s="228">
        <v>57.5</v>
      </c>
      <c r="X134" s="228">
        <v>58.7</v>
      </c>
      <c r="Y134" s="228">
        <v>60.2</v>
      </c>
      <c r="Z134" s="228">
        <v>66</v>
      </c>
      <c r="AA134" s="228">
        <v>67.400000000000006</v>
      </c>
      <c r="AB134" s="225" t="s">
        <v>881</v>
      </c>
      <c r="AC134" s="226" t="s">
        <v>947</v>
      </c>
      <c r="AD134" s="221">
        <v>182.9</v>
      </c>
      <c r="AE134" s="221">
        <v>199</v>
      </c>
      <c r="AF134" s="221">
        <v>204.7</v>
      </c>
      <c r="AG134" s="221">
        <v>206.8</v>
      </c>
      <c r="AH134" s="221">
        <v>152</v>
      </c>
      <c r="AI134" s="227"/>
      <c r="AJ134" s="227"/>
    </row>
    <row r="135" spans="1:36" ht="15.6" x14ac:dyDescent="0.35">
      <c r="A135" s="976" t="s">
        <v>173</v>
      </c>
      <c r="B135" s="217" t="s">
        <v>875</v>
      </c>
      <c r="C135" s="219" t="s">
        <v>946</v>
      </c>
      <c r="D135" s="228">
        <v>14.1</v>
      </c>
      <c r="E135" s="228">
        <v>13.5</v>
      </c>
      <c r="F135" s="228">
        <v>13.2</v>
      </c>
      <c r="G135" s="228">
        <v>12.8</v>
      </c>
      <c r="H135" s="228">
        <v>12.4</v>
      </c>
      <c r="I135" s="228">
        <v>12.6</v>
      </c>
      <c r="J135" s="228">
        <v>12.8</v>
      </c>
      <c r="K135" s="228">
        <v>13.1</v>
      </c>
      <c r="L135" s="228">
        <v>14.7</v>
      </c>
      <c r="M135" s="228">
        <v>16.5</v>
      </c>
      <c r="N135" s="228">
        <v>18.3</v>
      </c>
      <c r="O135" s="228">
        <v>19.399999999999999</v>
      </c>
      <c r="P135" s="228">
        <v>20.5</v>
      </c>
      <c r="Q135" s="228">
        <v>21.6</v>
      </c>
      <c r="R135" s="228">
        <v>21.4</v>
      </c>
      <c r="S135" s="228">
        <v>21.3</v>
      </c>
      <c r="T135" s="228">
        <v>21.2</v>
      </c>
      <c r="U135" s="228">
        <v>20</v>
      </c>
      <c r="V135" s="228">
        <v>18.8</v>
      </c>
      <c r="W135" s="228">
        <v>17.600000000000001</v>
      </c>
      <c r="X135" s="228">
        <v>16.8</v>
      </c>
      <c r="Y135" s="228">
        <v>16</v>
      </c>
      <c r="Z135" s="228">
        <v>15.2</v>
      </c>
      <c r="AA135" s="228">
        <v>14.6</v>
      </c>
      <c r="AB135" s="227"/>
      <c r="AC135" s="227"/>
      <c r="AD135" s="448">
        <v>17.399999999999999</v>
      </c>
      <c r="AE135" s="448">
        <v>21.1</v>
      </c>
      <c r="AF135" s="448">
        <v>23.6</v>
      </c>
      <c r="AG135" s="448">
        <v>23</v>
      </c>
      <c r="AH135" s="448">
        <v>19.100000000000001</v>
      </c>
      <c r="AI135" s="227"/>
      <c r="AJ135" s="227"/>
    </row>
    <row r="136" spans="1:36" ht="15.6" x14ac:dyDescent="0.35">
      <c r="A136" s="976"/>
      <c r="B136" s="217" t="s">
        <v>876</v>
      </c>
      <c r="C136" s="219" t="s">
        <v>1</v>
      </c>
      <c r="D136" s="228">
        <v>72</v>
      </c>
      <c r="E136" s="228">
        <v>74.3</v>
      </c>
      <c r="F136" s="228">
        <v>75.5</v>
      </c>
      <c r="G136" s="228">
        <v>77</v>
      </c>
      <c r="H136" s="228">
        <v>78.3</v>
      </c>
      <c r="I136" s="228">
        <v>77.7</v>
      </c>
      <c r="J136" s="228">
        <v>77</v>
      </c>
      <c r="K136" s="228">
        <v>76.2</v>
      </c>
      <c r="L136" s="228">
        <v>69.599999999999994</v>
      </c>
      <c r="M136" s="228">
        <v>63</v>
      </c>
      <c r="N136" s="228">
        <v>57.6</v>
      </c>
      <c r="O136" s="228">
        <v>52.8</v>
      </c>
      <c r="P136" s="228">
        <v>48.8</v>
      </c>
      <c r="Q136" s="228">
        <v>45.4</v>
      </c>
      <c r="R136" s="228">
        <v>46</v>
      </c>
      <c r="S136" s="228">
        <v>46.9</v>
      </c>
      <c r="T136" s="228">
        <v>48</v>
      </c>
      <c r="U136" s="228">
        <v>51.6</v>
      </c>
      <c r="V136" s="228">
        <v>55.9</v>
      </c>
      <c r="W136" s="228">
        <v>60.4</v>
      </c>
      <c r="X136" s="228">
        <v>62.9</v>
      </c>
      <c r="Y136" s="228">
        <v>65.3</v>
      </c>
      <c r="Z136" s="228">
        <v>67.7</v>
      </c>
      <c r="AA136" s="228">
        <v>70</v>
      </c>
      <c r="AB136" s="227"/>
      <c r="AC136" s="227"/>
      <c r="AD136" s="227"/>
      <c r="AE136" s="227">
        <v>4</v>
      </c>
      <c r="AF136" s="227" t="s">
        <v>740</v>
      </c>
      <c r="AG136" s="227"/>
      <c r="AH136" s="227"/>
      <c r="AI136" s="227"/>
      <c r="AJ136" s="227"/>
    </row>
    <row r="137" spans="1:36" ht="15.6" x14ac:dyDescent="0.35">
      <c r="A137" s="218" t="s">
        <v>174</v>
      </c>
      <c r="B137" s="217" t="s">
        <v>875</v>
      </c>
      <c r="C137" s="219" t="s">
        <v>946</v>
      </c>
      <c r="D137" s="228">
        <v>8.6</v>
      </c>
      <c r="E137" s="228">
        <v>9.1999999999999993</v>
      </c>
      <c r="F137" s="228">
        <v>7.7</v>
      </c>
      <c r="G137" s="228">
        <v>7.6</v>
      </c>
      <c r="H137" s="228">
        <v>8.1</v>
      </c>
      <c r="I137" s="228">
        <v>6.9</v>
      </c>
      <c r="J137" s="228">
        <v>6.6</v>
      </c>
      <c r="K137" s="228">
        <v>8.4</v>
      </c>
      <c r="L137" s="228">
        <v>9.3000000000000007</v>
      </c>
      <c r="M137" s="228">
        <v>11</v>
      </c>
      <c r="N137" s="228">
        <v>12.5</v>
      </c>
      <c r="O137" s="228">
        <v>14.3</v>
      </c>
      <c r="P137" s="228">
        <v>15.5</v>
      </c>
      <c r="Q137" s="228">
        <v>16</v>
      </c>
      <c r="R137" s="228">
        <v>16.7</v>
      </c>
      <c r="S137" s="228">
        <v>16.399999999999999</v>
      </c>
      <c r="T137" s="228">
        <v>15.6</v>
      </c>
      <c r="U137" s="228">
        <v>13.4</v>
      </c>
      <c r="V137" s="228">
        <v>12.1</v>
      </c>
      <c r="W137" s="228">
        <v>12</v>
      </c>
      <c r="X137" s="228">
        <v>10.5</v>
      </c>
      <c r="Y137" s="228">
        <v>9.8000000000000007</v>
      </c>
      <c r="Z137" s="228">
        <v>10.3</v>
      </c>
      <c r="AA137" s="228">
        <v>8.6</v>
      </c>
      <c r="AB137" s="985" t="s">
        <v>854</v>
      </c>
      <c r="AC137" s="986"/>
      <c r="AD137" s="227"/>
      <c r="AE137" s="237" t="s">
        <v>851</v>
      </c>
      <c r="AF137" s="227">
        <v>-0.2</v>
      </c>
      <c r="AG137" s="227" t="s">
        <v>852</v>
      </c>
      <c r="AH137" s="227"/>
      <c r="AI137" s="227"/>
      <c r="AJ137" s="227"/>
    </row>
    <row r="138" spans="1:36" ht="15.6" x14ac:dyDescent="0.35">
      <c r="A138" s="218" t="s">
        <v>175</v>
      </c>
      <c r="B138" s="217" t="s">
        <v>875</v>
      </c>
      <c r="C138" s="219" t="s">
        <v>946</v>
      </c>
      <c r="D138" s="228">
        <v>3.9</v>
      </c>
      <c r="E138" s="228">
        <v>3.7</v>
      </c>
      <c r="F138" s="228">
        <v>3.2</v>
      </c>
      <c r="G138" s="228">
        <v>3.1</v>
      </c>
      <c r="H138" s="228">
        <v>2.9</v>
      </c>
      <c r="I138" s="228">
        <v>2.6</v>
      </c>
      <c r="J138" s="228">
        <v>2.4</v>
      </c>
      <c r="K138" s="228">
        <v>2.8</v>
      </c>
      <c r="L138" s="228">
        <v>3.6</v>
      </c>
      <c r="M138" s="228">
        <v>4.5999999999999996</v>
      </c>
      <c r="N138" s="228">
        <v>5.7</v>
      </c>
      <c r="O138" s="228">
        <v>6.5</v>
      </c>
      <c r="P138" s="228">
        <v>7.4</v>
      </c>
      <c r="Q138" s="228">
        <v>8.1999999999999993</v>
      </c>
      <c r="R138" s="228">
        <v>8.3000000000000007</v>
      </c>
      <c r="S138" s="228">
        <v>8.1999999999999993</v>
      </c>
      <c r="T138" s="228">
        <v>7.6</v>
      </c>
      <c r="U138" s="228">
        <v>6.5</v>
      </c>
      <c r="V138" s="228">
        <v>6</v>
      </c>
      <c r="W138" s="228">
        <v>5.9</v>
      </c>
      <c r="X138" s="228">
        <v>5.0999999999999996</v>
      </c>
      <c r="Y138" s="228">
        <v>4.8</v>
      </c>
      <c r="Z138" s="228">
        <v>4.8</v>
      </c>
      <c r="AA138" s="228">
        <v>4.0999999999999996</v>
      </c>
      <c r="AB138" s="231">
        <v>2700</v>
      </c>
      <c r="AC138" s="232"/>
      <c r="AD138" s="227"/>
      <c r="AE138" s="227">
        <v>16</v>
      </c>
      <c r="AF138" s="227" t="s">
        <v>478</v>
      </c>
      <c r="AG138" s="227"/>
      <c r="AH138" s="227"/>
      <c r="AI138" s="227"/>
      <c r="AJ138" s="227"/>
    </row>
    <row r="139" spans="1:36" ht="15.6" x14ac:dyDescent="0.35">
      <c r="A139" s="218" t="s">
        <v>176</v>
      </c>
      <c r="B139" s="217" t="s">
        <v>875</v>
      </c>
      <c r="C139" s="219" t="s">
        <v>946</v>
      </c>
      <c r="D139" s="228">
        <v>0.4</v>
      </c>
      <c r="E139" s="228">
        <v>0.1</v>
      </c>
      <c r="F139" s="228">
        <v>0.1</v>
      </c>
      <c r="G139" s="228">
        <v>0</v>
      </c>
      <c r="H139" s="228">
        <v>-0.2</v>
      </c>
      <c r="I139" s="228">
        <v>-0.1</v>
      </c>
      <c r="J139" s="228">
        <v>-0.3</v>
      </c>
      <c r="K139" s="228">
        <v>-0.2</v>
      </c>
      <c r="L139" s="228">
        <v>-0.1</v>
      </c>
      <c r="M139" s="228">
        <v>0.5</v>
      </c>
      <c r="N139" s="228">
        <v>1.3</v>
      </c>
      <c r="O139" s="228">
        <v>2.2000000000000002</v>
      </c>
      <c r="P139" s="228">
        <v>1.8</v>
      </c>
      <c r="Q139" s="228">
        <v>2.7</v>
      </c>
      <c r="R139" s="228">
        <v>3.1</v>
      </c>
      <c r="S139" s="228">
        <v>2.8</v>
      </c>
      <c r="T139" s="228">
        <v>1.9</v>
      </c>
      <c r="U139" s="228">
        <v>1.6</v>
      </c>
      <c r="V139" s="228">
        <v>1.3</v>
      </c>
      <c r="W139" s="228">
        <v>1.1000000000000001</v>
      </c>
      <c r="X139" s="228">
        <v>0.7</v>
      </c>
      <c r="Y139" s="228">
        <v>0.7</v>
      </c>
      <c r="Z139" s="228">
        <v>0.4</v>
      </c>
      <c r="AA139" s="228">
        <v>0.4</v>
      </c>
      <c r="AB139" s="227"/>
      <c r="AC139" s="227"/>
      <c r="AD139" s="227"/>
      <c r="AE139" s="227">
        <v>23</v>
      </c>
      <c r="AF139" s="227" t="s">
        <v>472</v>
      </c>
      <c r="AG139" s="227"/>
      <c r="AH139" s="227"/>
      <c r="AI139" s="227"/>
      <c r="AJ139" s="227"/>
    </row>
    <row r="140" spans="1:36" ht="15.6" x14ac:dyDescent="0.35">
      <c r="A140" s="487" t="s">
        <v>1096</v>
      </c>
      <c r="C140" s="488" t="s">
        <v>12</v>
      </c>
      <c r="D140" s="227">
        <v>-0.2</v>
      </c>
      <c r="E140" s="227">
        <v>1.3</v>
      </c>
      <c r="F140" s="227">
        <v>5.7</v>
      </c>
      <c r="G140" s="227">
        <v>12.7</v>
      </c>
      <c r="H140" s="227">
        <v>17.399999999999999</v>
      </c>
      <c r="I140" s="227">
        <v>21.1</v>
      </c>
      <c r="J140" s="227">
        <v>23.6</v>
      </c>
      <c r="K140" s="227">
        <v>23</v>
      </c>
      <c r="L140" s="227">
        <v>19.100000000000001</v>
      </c>
      <c r="M140" s="227">
        <v>12.8</v>
      </c>
      <c r="N140" s="227">
        <v>6.2</v>
      </c>
      <c r="O140" s="227">
        <v>0.4</v>
      </c>
      <c r="P140" s="227"/>
      <c r="Q140" s="227"/>
      <c r="R140" s="227"/>
      <c r="S140" s="227"/>
      <c r="T140" s="227"/>
      <c r="U140" s="227"/>
      <c r="V140" s="227"/>
      <c r="W140" s="227"/>
      <c r="X140" s="227" t="s">
        <v>106</v>
      </c>
      <c r="Y140" s="227">
        <v>1.21</v>
      </c>
      <c r="Z140" s="227">
        <v>1.84</v>
      </c>
      <c r="AA140" s="227">
        <v>2.8</v>
      </c>
      <c r="AB140" s="227">
        <v>3.24</v>
      </c>
      <c r="AC140" s="227">
        <v>4.3899999999999997</v>
      </c>
      <c r="AD140" s="227">
        <v>4.78</v>
      </c>
      <c r="AE140" s="227">
        <v>4.91</v>
      </c>
      <c r="AF140" s="227">
        <v>4.96</v>
      </c>
      <c r="AG140" s="227">
        <v>3.65</v>
      </c>
      <c r="AH140" s="227">
        <v>2.2000000000000002</v>
      </c>
      <c r="AI140" s="227">
        <v>1.29</v>
      </c>
      <c r="AJ140" s="227">
        <v>1.02</v>
      </c>
    </row>
    <row r="141" spans="1:36" ht="15.6" x14ac:dyDescent="0.35">
      <c r="D141" s="227"/>
      <c r="E141" s="227"/>
      <c r="F141" s="227"/>
      <c r="G141" s="227"/>
      <c r="H141" s="227"/>
      <c r="I141" s="227"/>
      <c r="J141" s="227"/>
      <c r="K141" s="227"/>
      <c r="L141" s="227"/>
      <c r="M141" s="227"/>
      <c r="N141" s="227"/>
      <c r="O141" s="227"/>
      <c r="P141" s="227"/>
      <c r="Q141" s="227"/>
      <c r="R141" s="227"/>
      <c r="S141" s="227"/>
      <c r="T141" s="227"/>
      <c r="U141" s="227"/>
      <c r="V141" s="227"/>
      <c r="W141" s="227"/>
      <c r="X141" s="227" t="s">
        <v>107</v>
      </c>
      <c r="Y141" s="227">
        <v>0.33</v>
      </c>
      <c r="Z141" s="227">
        <v>0.36</v>
      </c>
      <c r="AA141" s="227">
        <v>0.39</v>
      </c>
      <c r="AB141" s="227">
        <v>0.35</v>
      </c>
      <c r="AC141" s="227">
        <v>0.41</v>
      </c>
      <c r="AD141" s="227">
        <v>0.42</v>
      </c>
      <c r="AE141" s="227">
        <v>0.45</v>
      </c>
      <c r="AF141" s="227">
        <v>0.5</v>
      </c>
      <c r="AG141" s="227">
        <v>0.47</v>
      </c>
      <c r="AH141" s="227">
        <v>0.39</v>
      </c>
      <c r="AI141" s="227">
        <v>0.32</v>
      </c>
      <c r="AJ141" s="227">
        <v>0.32</v>
      </c>
    </row>
    <row r="150" spans="1:36" x14ac:dyDescent="0.25">
      <c r="A150" s="975" t="s">
        <v>820</v>
      </c>
      <c r="B150" s="975"/>
      <c r="C150" s="975"/>
      <c r="D150" s="975"/>
      <c r="E150" s="975"/>
      <c r="F150" s="975"/>
      <c r="G150" s="975"/>
      <c r="H150" s="975"/>
      <c r="I150" s="975"/>
      <c r="J150" s="975"/>
      <c r="K150" s="975"/>
      <c r="L150" s="975"/>
      <c r="M150" s="975"/>
      <c r="N150" s="975"/>
      <c r="O150" s="975"/>
      <c r="P150" s="975"/>
      <c r="Q150" s="975"/>
      <c r="R150" s="975"/>
      <c r="S150" s="975"/>
      <c r="T150" s="975"/>
      <c r="U150" s="975"/>
      <c r="V150" s="975"/>
      <c r="W150" s="975"/>
      <c r="X150" s="975"/>
      <c r="Y150" s="975"/>
      <c r="Z150" s="975"/>
      <c r="AA150" s="975"/>
    </row>
    <row r="152" spans="1:36" x14ac:dyDescent="0.25">
      <c r="A152" s="216"/>
      <c r="B152" s="217" t="s">
        <v>466</v>
      </c>
      <c r="C152" s="217" t="s">
        <v>950</v>
      </c>
      <c r="D152" s="195">
        <v>0</v>
      </c>
      <c r="E152" s="195">
        <v>1</v>
      </c>
      <c r="F152" s="195">
        <v>2</v>
      </c>
      <c r="G152" s="195">
        <v>3</v>
      </c>
      <c r="H152" s="195">
        <v>4</v>
      </c>
      <c r="I152" s="195">
        <v>5</v>
      </c>
      <c r="J152" s="195">
        <v>6</v>
      </c>
      <c r="K152" s="195">
        <v>7</v>
      </c>
      <c r="L152" s="195">
        <v>8</v>
      </c>
      <c r="M152" s="195">
        <v>9</v>
      </c>
      <c r="N152" s="195">
        <v>10</v>
      </c>
      <c r="O152" s="195">
        <v>11</v>
      </c>
      <c r="P152" s="195">
        <v>12</v>
      </c>
      <c r="Q152" s="195">
        <v>13</v>
      </c>
      <c r="R152" s="195">
        <v>14</v>
      </c>
      <c r="S152" s="195">
        <v>15</v>
      </c>
      <c r="T152" s="195">
        <v>16</v>
      </c>
      <c r="U152" s="195">
        <v>17</v>
      </c>
      <c r="V152" s="195">
        <v>18</v>
      </c>
      <c r="W152" s="195">
        <v>19</v>
      </c>
      <c r="X152" s="195">
        <v>20</v>
      </c>
      <c r="Y152" s="195">
        <v>21</v>
      </c>
      <c r="Z152" s="195">
        <v>22</v>
      </c>
      <c r="AA152" s="195">
        <v>23</v>
      </c>
      <c r="AB152" s="979" t="s">
        <v>843</v>
      </c>
      <c r="AC152" s="980"/>
      <c r="AD152" s="980"/>
      <c r="AE152" s="980"/>
      <c r="AF152" s="980"/>
      <c r="AG152" s="980"/>
      <c r="AH152" s="980"/>
      <c r="AI152" s="980"/>
      <c r="AJ152" s="980"/>
    </row>
    <row r="153" spans="1:36" ht="16.2" x14ac:dyDescent="0.35">
      <c r="A153" s="218" t="s">
        <v>167</v>
      </c>
      <c r="B153" s="217" t="s">
        <v>875</v>
      </c>
      <c r="C153" s="219" t="s">
        <v>946</v>
      </c>
      <c r="D153" s="221">
        <v>2.8</v>
      </c>
      <c r="E153" s="221">
        <v>2.5</v>
      </c>
      <c r="F153" s="221">
        <v>2.2999999999999998</v>
      </c>
      <c r="G153" s="221">
        <v>2.2999999999999998</v>
      </c>
      <c r="H153" s="221">
        <v>2.2000000000000002</v>
      </c>
      <c r="I153" s="221">
        <v>2</v>
      </c>
      <c r="J153" s="221">
        <v>1.9</v>
      </c>
      <c r="K153" s="221">
        <v>2</v>
      </c>
      <c r="L153" s="221">
        <v>2.6</v>
      </c>
      <c r="M153" s="221">
        <v>3.5</v>
      </c>
      <c r="N153" s="221">
        <v>4.5999999999999996</v>
      </c>
      <c r="O153" s="221">
        <v>5.0999999999999996</v>
      </c>
      <c r="P153" s="221">
        <v>5.7</v>
      </c>
      <c r="Q153" s="221">
        <v>5.9</v>
      </c>
      <c r="R153" s="221">
        <v>5.6</v>
      </c>
      <c r="S153" s="221">
        <v>5.0999999999999996</v>
      </c>
      <c r="T153" s="221">
        <v>4.7</v>
      </c>
      <c r="U153" s="221">
        <v>4</v>
      </c>
      <c r="V153" s="221">
        <v>3.6</v>
      </c>
      <c r="W153" s="221">
        <v>3.4</v>
      </c>
      <c r="X153" s="221">
        <v>2.9</v>
      </c>
      <c r="Y153" s="221">
        <v>2.9</v>
      </c>
      <c r="Z153" s="221">
        <v>3</v>
      </c>
      <c r="AA153" s="221">
        <v>2.7</v>
      </c>
      <c r="AB153" s="225" t="s">
        <v>877</v>
      </c>
      <c r="AC153" s="226" t="s">
        <v>947</v>
      </c>
      <c r="AD153" s="221">
        <v>23.9</v>
      </c>
      <c r="AE153" s="221">
        <v>36.5</v>
      </c>
      <c r="AF153" s="221">
        <v>49.6</v>
      </c>
      <c r="AG153" s="221">
        <v>65.599999999999994</v>
      </c>
      <c r="AH153" s="221">
        <v>41.8</v>
      </c>
      <c r="AI153" s="221">
        <v>27.2</v>
      </c>
      <c r="AJ153" s="221">
        <v>21</v>
      </c>
    </row>
    <row r="154" spans="1:36" ht="16.2" x14ac:dyDescent="0.35">
      <c r="A154" s="218" t="s">
        <v>168</v>
      </c>
      <c r="B154" s="217" t="s">
        <v>875</v>
      </c>
      <c r="C154" s="219" t="s">
        <v>946</v>
      </c>
      <c r="D154" s="221">
        <v>1.7</v>
      </c>
      <c r="E154" s="221">
        <v>1.6</v>
      </c>
      <c r="F154" s="221">
        <v>1.6</v>
      </c>
      <c r="G154" s="221">
        <v>1.6</v>
      </c>
      <c r="H154" s="221">
        <v>1.9</v>
      </c>
      <c r="I154" s="221">
        <v>1.8</v>
      </c>
      <c r="J154" s="221">
        <v>1.7</v>
      </c>
      <c r="K154" s="221">
        <v>1.7</v>
      </c>
      <c r="L154" s="221">
        <v>2.5</v>
      </c>
      <c r="M154" s="221">
        <v>3.7</v>
      </c>
      <c r="N154" s="221">
        <v>4.9000000000000004</v>
      </c>
      <c r="O154" s="221">
        <v>5.4</v>
      </c>
      <c r="P154" s="221">
        <v>6</v>
      </c>
      <c r="Q154" s="221">
        <v>6.7</v>
      </c>
      <c r="R154" s="221">
        <v>6.4</v>
      </c>
      <c r="S154" s="221">
        <v>6</v>
      </c>
      <c r="T154" s="221">
        <v>5.6</v>
      </c>
      <c r="U154" s="221">
        <v>4.8</v>
      </c>
      <c r="V154" s="221">
        <v>4.0999999999999996</v>
      </c>
      <c r="W154" s="221">
        <v>3.5</v>
      </c>
      <c r="X154" s="221">
        <v>3</v>
      </c>
      <c r="Y154" s="221">
        <v>2.5</v>
      </c>
      <c r="Z154" s="221">
        <v>2.5</v>
      </c>
      <c r="AA154" s="221">
        <v>2.2999999999999998</v>
      </c>
      <c r="AB154" s="225" t="s">
        <v>878</v>
      </c>
      <c r="AC154" s="226" t="s">
        <v>947</v>
      </c>
      <c r="AD154" s="221">
        <v>43</v>
      </c>
      <c r="AE154" s="221">
        <v>64.900000000000006</v>
      </c>
      <c r="AF154" s="221">
        <v>74.900000000000006</v>
      </c>
      <c r="AG154" s="221">
        <v>92.4</v>
      </c>
      <c r="AH154" s="221">
        <v>75.099999999999994</v>
      </c>
      <c r="AI154" s="221">
        <v>49.6</v>
      </c>
      <c r="AJ154" s="221">
        <v>38.299999999999997</v>
      </c>
    </row>
    <row r="155" spans="1:36" ht="16.2" x14ac:dyDescent="0.35">
      <c r="A155" s="218" t="s">
        <v>923</v>
      </c>
      <c r="B155" s="217" t="s">
        <v>875</v>
      </c>
      <c r="C155" s="219" t="s">
        <v>946</v>
      </c>
      <c r="D155" s="221">
        <v>3.7</v>
      </c>
      <c r="E155" s="221">
        <v>3.7</v>
      </c>
      <c r="F155" s="221">
        <v>3.6</v>
      </c>
      <c r="G155" s="221">
        <v>3.5</v>
      </c>
      <c r="H155" s="221">
        <v>3.4</v>
      </c>
      <c r="I155" s="221">
        <v>3.5</v>
      </c>
      <c r="J155" s="221">
        <v>3.6</v>
      </c>
      <c r="K155" s="221">
        <v>3.7</v>
      </c>
      <c r="L155" s="221">
        <v>4.5</v>
      </c>
      <c r="M155" s="221">
        <v>5.4</v>
      </c>
      <c r="N155" s="221">
        <v>6.3</v>
      </c>
      <c r="O155" s="221">
        <v>6.6</v>
      </c>
      <c r="P155" s="221">
        <v>7</v>
      </c>
      <c r="Q155" s="221">
        <v>7.4</v>
      </c>
      <c r="R155" s="221">
        <v>7.1</v>
      </c>
      <c r="S155" s="221">
        <v>6.8</v>
      </c>
      <c r="T155" s="221">
        <v>6.4</v>
      </c>
      <c r="U155" s="221">
        <v>5.9</v>
      </c>
      <c r="V155" s="221">
        <v>5.3</v>
      </c>
      <c r="W155" s="221">
        <v>4.8</v>
      </c>
      <c r="X155" s="221">
        <v>4.5</v>
      </c>
      <c r="Y155" s="221">
        <v>4.3</v>
      </c>
      <c r="Z155" s="221">
        <v>4</v>
      </c>
      <c r="AA155" s="221">
        <v>3.9</v>
      </c>
      <c r="AB155" s="225" t="s">
        <v>879</v>
      </c>
      <c r="AC155" s="226" t="s">
        <v>947</v>
      </c>
      <c r="AD155" s="221">
        <v>77.3</v>
      </c>
      <c r="AE155" s="221">
        <v>105.8</v>
      </c>
      <c r="AF155" s="221">
        <v>97.1</v>
      </c>
      <c r="AG155" s="221">
        <v>91.5</v>
      </c>
      <c r="AH155" s="221">
        <v>117.4</v>
      </c>
      <c r="AI155" s="221">
        <v>87.7</v>
      </c>
      <c r="AJ155" s="221">
        <v>70.8</v>
      </c>
    </row>
    <row r="156" spans="1:36" ht="16.2" x14ac:dyDescent="0.35">
      <c r="A156" s="218" t="s">
        <v>924</v>
      </c>
      <c r="B156" s="217" t="s">
        <v>875</v>
      </c>
      <c r="C156" s="219" t="s">
        <v>946</v>
      </c>
      <c r="D156" s="221">
        <v>8</v>
      </c>
      <c r="E156" s="221">
        <v>8</v>
      </c>
      <c r="F156" s="221">
        <v>7.6</v>
      </c>
      <c r="G156" s="221">
        <v>7.5</v>
      </c>
      <c r="H156" s="221">
        <v>7.4</v>
      </c>
      <c r="I156" s="221">
        <v>7.4</v>
      </c>
      <c r="J156" s="221">
        <v>8.4</v>
      </c>
      <c r="K156" s="221">
        <v>9.5</v>
      </c>
      <c r="L156" s="221">
        <v>11</v>
      </c>
      <c r="M156" s="221">
        <v>12</v>
      </c>
      <c r="N156" s="221">
        <v>13</v>
      </c>
      <c r="O156" s="221">
        <v>13</v>
      </c>
      <c r="P156" s="221">
        <v>13</v>
      </c>
      <c r="Q156" s="221">
        <v>13</v>
      </c>
      <c r="R156" s="221">
        <v>13</v>
      </c>
      <c r="S156" s="221">
        <v>13</v>
      </c>
      <c r="T156" s="221">
        <v>12</v>
      </c>
      <c r="U156" s="221">
        <v>11</v>
      </c>
      <c r="V156" s="221">
        <v>11</v>
      </c>
      <c r="W156" s="221">
        <v>9.8000000000000007</v>
      </c>
      <c r="X156" s="221">
        <v>9.3000000000000007</v>
      </c>
      <c r="Y156" s="221">
        <v>9.1</v>
      </c>
      <c r="Z156" s="221">
        <v>8.8000000000000007</v>
      </c>
      <c r="AA156" s="221">
        <v>8.5</v>
      </c>
      <c r="AB156" s="225" t="s">
        <v>880</v>
      </c>
      <c r="AC156" s="226" t="s">
        <v>947</v>
      </c>
      <c r="AD156" s="221">
        <v>43</v>
      </c>
      <c r="AE156" s="221">
        <v>64.900000000000006</v>
      </c>
      <c r="AF156" s="221">
        <v>74.900000000000006</v>
      </c>
      <c r="AG156" s="221">
        <v>92.4</v>
      </c>
      <c r="AH156" s="221">
        <v>75.099999999999994</v>
      </c>
      <c r="AI156" s="221">
        <v>49.6</v>
      </c>
      <c r="AJ156" s="221">
        <v>38.299999999999997</v>
      </c>
    </row>
    <row r="157" spans="1:36" ht="16.2" x14ac:dyDescent="0.35">
      <c r="A157" s="976" t="s">
        <v>169</v>
      </c>
      <c r="B157" s="217" t="s">
        <v>875</v>
      </c>
      <c r="C157" s="219" t="s">
        <v>946</v>
      </c>
      <c r="D157" s="221">
        <v>13.3</v>
      </c>
      <c r="E157" s="221">
        <v>13.1</v>
      </c>
      <c r="F157" s="221">
        <v>12.9</v>
      </c>
      <c r="G157" s="221">
        <v>12.7</v>
      </c>
      <c r="H157" s="221">
        <v>12.5</v>
      </c>
      <c r="I157" s="221">
        <v>13.4</v>
      </c>
      <c r="J157" s="221">
        <v>14.3</v>
      </c>
      <c r="K157" s="221">
        <v>15.2</v>
      </c>
      <c r="L157" s="221">
        <v>16.100000000000001</v>
      </c>
      <c r="M157" s="221">
        <v>17.2</v>
      </c>
      <c r="N157" s="221">
        <v>18.2</v>
      </c>
      <c r="O157" s="221">
        <v>18.100000000000001</v>
      </c>
      <c r="P157" s="221">
        <v>18.100000000000001</v>
      </c>
      <c r="Q157" s="221">
        <v>18.100000000000001</v>
      </c>
      <c r="R157" s="221">
        <v>17.8</v>
      </c>
      <c r="S157" s="221">
        <v>17.5</v>
      </c>
      <c r="T157" s="221">
        <v>17.2</v>
      </c>
      <c r="U157" s="221">
        <v>16.600000000000001</v>
      </c>
      <c r="V157" s="221">
        <v>15.9</v>
      </c>
      <c r="W157" s="221">
        <v>15.3</v>
      </c>
      <c r="X157" s="221">
        <v>14.8</v>
      </c>
      <c r="Y157" s="221">
        <v>14.3</v>
      </c>
      <c r="Z157" s="221">
        <v>13.9</v>
      </c>
      <c r="AA157" s="221">
        <v>13.6</v>
      </c>
      <c r="AB157" s="225" t="s">
        <v>881</v>
      </c>
      <c r="AC157" s="226" t="s">
        <v>947</v>
      </c>
      <c r="AD157" s="221">
        <v>53.5</v>
      </c>
      <c r="AE157" s="221">
        <v>88.5</v>
      </c>
      <c r="AF157" s="221">
        <v>118.7</v>
      </c>
      <c r="AG157" s="221">
        <v>116.4</v>
      </c>
      <c r="AH157" s="221">
        <v>106</v>
      </c>
      <c r="AI157" s="221">
        <v>62.8</v>
      </c>
      <c r="AJ157" s="221">
        <v>46.3</v>
      </c>
    </row>
    <row r="158" spans="1:36" ht="15.6" x14ac:dyDescent="0.35">
      <c r="A158" s="976"/>
      <c r="B158" s="217" t="s">
        <v>876</v>
      </c>
      <c r="C158" s="219" t="s">
        <v>1</v>
      </c>
      <c r="D158" s="221">
        <v>78</v>
      </c>
      <c r="E158" s="221">
        <v>77</v>
      </c>
      <c r="F158" s="221">
        <v>79</v>
      </c>
      <c r="G158" s="221">
        <v>80</v>
      </c>
      <c r="H158" s="221">
        <v>81</v>
      </c>
      <c r="I158" s="221">
        <v>79</v>
      </c>
      <c r="J158" s="221">
        <v>76</v>
      </c>
      <c r="K158" s="221">
        <v>74</v>
      </c>
      <c r="L158" s="221">
        <v>71</v>
      </c>
      <c r="M158" s="221">
        <v>68</v>
      </c>
      <c r="N158" s="221">
        <v>65</v>
      </c>
      <c r="O158" s="221">
        <v>66</v>
      </c>
      <c r="P158" s="221">
        <v>67</v>
      </c>
      <c r="Q158" s="221">
        <v>68</v>
      </c>
      <c r="R158" s="221">
        <v>69</v>
      </c>
      <c r="S158" s="221">
        <v>69</v>
      </c>
      <c r="T158" s="221">
        <v>70</v>
      </c>
      <c r="U158" s="221">
        <v>73</v>
      </c>
      <c r="V158" s="221">
        <v>75</v>
      </c>
      <c r="W158" s="221">
        <v>78</v>
      </c>
      <c r="X158" s="221">
        <v>78</v>
      </c>
      <c r="Y158" s="221">
        <v>78</v>
      </c>
      <c r="Z158" s="221">
        <v>77</v>
      </c>
      <c r="AA158" s="221">
        <v>78</v>
      </c>
      <c r="AB158" s="227"/>
      <c r="AC158" s="443" t="s">
        <v>340</v>
      </c>
      <c r="AD158" s="443">
        <v>2.2000000000000002</v>
      </c>
      <c r="AE158" s="443">
        <v>2.9</v>
      </c>
      <c r="AF158" s="443">
        <v>5.7</v>
      </c>
      <c r="AG158" s="443">
        <v>10.9</v>
      </c>
      <c r="AH158" s="443">
        <v>14.5</v>
      </c>
      <c r="AI158" s="443">
        <v>9.4</v>
      </c>
      <c r="AJ158" s="443">
        <v>4.5999999999999996</v>
      </c>
    </row>
    <row r="159" spans="1:36" ht="15.6" x14ac:dyDescent="0.35">
      <c r="A159" s="976" t="s">
        <v>170</v>
      </c>
      <c r="B159" s="217" t="s">
        <v>875</v>
      </c>
      <c r="C159" s="219" t="s">
        <v>946</v>
      </c>
      <c r="D159" s="221">
        <v>16</v>
      </c>
      <c r="E159" s="221">
        <v>16.8</v>
      </c>
      <c r="F159" s="221">
        <v>15.8</v>
      </c>
      <c r="G159" s="221">
        <v>15.3</v>
      </c>
      <c r="H159" s="221">
        <v>16.100000000000001</v>
      </c>
      <c r="I159" s="221">
        <v>15.9</v>
      </c>
      <c r="J159" s="221">
        <v>17.8</v>
      </c>
      <c r="K159" s="221">
        <v>19</v>
      </c>
      <c r="L159" s="221">
        <v>21.3</v>
      </c>
      <c r="M159" s="221">
        <v>22.5</v>
      </c>
      <c r="N159" s="221">
        <v>22.3</v>
      </c>
      <c r="O159" s="221">
        <v>23.8</v>
      </c>
      <c r="P159" s="221">
        <v>23.9</v>
      </c>
      <c r="Q159" s="221">
        <v>23.3</v>
      </c>
      <c r="R159" s="221">
        <v>24.1</v>
      </c>
      <c r="S159" s="221">
        <v>23.8</v>
      </c>
      <c r="T159" s="221">
        <v>22.3</v>
      </c>
      <c r="U159" s="221">
        <v>22.2</v>
      </c>
      <c r="V159" s="221">
        <v>20.9</v>
      </c>
      <c r="W159" s="221">
        <v>19.5</v>
      </c>
      <c r="X159" s="221">
        <v>17.8</v>
      </c>
      <c r="Y159" s="221">
        <v>17.600000000000001</v>
      </c>
      <c r="Z159" s="221">
        <v>17.399999999999999</v>
      </c>
      <c r="AA159" s="221">
        <v>16.399999999999999</v>
      </c>
      <c r="AB159" s="977" t="s">
        <v>853</v>
      </c>
      <c r="AC159" s="978"/>
      <c r="AD159" s="978"/>
      <c r="AE159" s="978"/>
      <c r="AF159" s="978"/>
      <c r="AG159" s="978"/>
      <c r="AH159" s="978"/>
      <c r="AI159" s="978"/>
      <c r="AJ159" s="978"/>
    </row>
    <row r="160" spans="1:36" ht="16.2" x14ac:dyDescent="0.35">
      <c r="A160" s="976"/>
      <c r="B160" s="217" t="s">
        <v>876</v>
      </c>
      <c r="C160" s="219" t="s">
        <v>1</v>
      </c>
      <c r="D160" s="221">
        <v>89</v>
      </c>
      <c r="E160" s="221">
        <v>89</v>
      </c>
      <c r="F160" s="221">
        <v>90</v>
      </c>
      <c r="G160" s="221">
        <v>91</v>
      </c>
      <c r="H160" s="221">
        <v>88</v>
      </c>
      <c r="I160" s="221">
        <v>89</v>
      </c>
      <c r="J160" s="221">
        <v>83</v>
      </c>
      <c r="K160" s="221">
        <v>79</v>
      </c>
      <c r="L160" s="221">
        <v>69</v>
      </c>
      <c r="M160" s="221">
        <v>65</v>
      </c>
      <c r="N160" s="221">
        <v>71</v>
      </c>
      <c r="O160" s="221">
        <v>59</v>
      </c>
      <c r="P160" s="221">
        <v>60</v>
      </c>
      <c r="Q160" s="221">
        <v>70</v>
      </c>
      <c r="R160" s="221">
        <v>59</v>
      </c>
      <c r="S160" s="221">
        <v>59</v>
      </c>
      <c r="T160" s="221">
        <v>73</v>
      </c>
      <c r="U160" s="221">
        <v>65</v>
      </c>
      <c r="V160" s="221">
        <v>72</v>
      </c>
      <c r="W160" s="221">
        <v>82</v>
      </c>
      <c r="X160" s="221">
        <v>86</v>
      </c>
      <c r="Y160" s="221">
        <v>87</v>
      </c>
      <c r="Z160" s="221">
        <v>89</v>
      </c>
      <c r="AA160" s="221">
        <v>88</v>
      </c>
      <c r="AB160" s="225" t="s">
        <v>877</v>
      </c>
      <c r="AC160" s="226" t="s">
        <v>947</v>
      </c>
      <c r="AD160" s="221">
        <v>79.3</v>
      </c>
      <c r="AE160" s="221">
        <v>85.4</v>
      </c>
      <c r="AF160" s="221">
        <v>84.2</v>
      </c>
      <c r="AG160" s="221">
        <v>75.599999999999994</v>
      </c>
      <c r="AH160" s="221">
        <v>60.6</v>
      </c>
      <c r="AI160" s="227"/>
      <c r="AJ160" s="227"/>
    </row>
    <row r="161" spans="1:36" ht="16.2" x14ac:dyDescent="0.35">
      <c r="A161" s="976" t="s">
        <v>171</v>
      </c>
      <c r="B161" s="217" t="s">
        <v>875</v>
      </c>
      <c r="C161" s="219" t="s">
        <v>946</v>
      </c>
      <c r="D161" s="221">
        <v>18.8</v>
      </c>
      <c r="E161" s="221">
        <v>19.8</v>
      </c>
      <c r="F161" s="221">
        <v>18.5</v>
      </c>
      <c r="G161" s="221">
        <v>18.2</v>
      </c>
      <c r="H161" s="221">
        <v>19.2</v>
      </c>
      <c r="I161" s="221">
        <v>18.5</v>
      </c>
      <c r="J161" s="221">
        <v>20.5</v>
      </c>
      <c r="K161" s="221">
        <v>22</v>
      </c>
      <c r="L161" s="221">
        <v>24.1</v>
      </c>
      <c r="M161" s="221">
        <v>25.5</v>
      </c>
      <c r="N161" s="221">
        <v>25.9</v>
      </c>
      <c r="O161" s="221">
        <v>26.6</v>
      </c>
      <c r="P161" s="221">
        <v>26.8</v>
      </c>
      <c r="Q161" s="221">
        <v>26.5</v>
      </c>
      <c r="R161" s="221">
        <v>26.8</v>
      </c>
      <c r="S161" s="221">
        <v>26.5</v>
      </c>
      <c r="T161" s="221">
        <v>25.7</v>
      </c>
      <c r="U161" s="221">
        <v>25.1</v>
      </c>
      <c r="V161" s="221">
        <v>24</v>
      </c>
      <c r="W161" s="221">
        <v>22.9</v>
      </c>
      <c r="X161" s="221">
        <v>21.1</v>
      </c>
      <c r="Y161" s="221">
        <v>20.2</v>
      </c>
      <c r="Z161" s="221">
        <v>20.8</v>
      </c>
      <c r="AA161" s="221">
        <v>19.100000000000001</v>
      </c>
      <c r="AB161" s="225" t="s">
        <v>878</v>
      </c>
      <c r="AC161" s="226" t="s">
        <v>947</v>
      </c>
      <c r="AD161" s="221">
        <v>115.5</v>
      </c>
      <c r="AE161" s="221">
        <v>129.30000000000001</v>
      </c>
      <c r="AF161" s="221">
        <v>133.9</v>
      </c>
      <c r="AG161" s="221">
        <v>134.30000000000001</v>
      </c>
      <c r="AH161" s="221">
        <v>113.3</v>
      </c>
      <c r="AI161" s="227"/>
      <c r="AJ161" s="227"/>
    </row>
    <row r="162" spans="1:36" ht="16.2" x14ac:dyDescent="0.35">
      <c r="A162" s="976"/>
      <c r="B162" s="217" t="s">
        <v>876</v>
      </c>
      <c r="C162" s="219" t="s">
        <v>1</v>
      </c>
      <c r="D162" s="221">
        <v>87</v>
      </c>
      <c r="E162" s="221">
        <v>82</v>
      </c>
      <c r="F162" s="221">
        <v>89</v>
      </c>
      <c r="G162" s="221">
        <v>89</v>
      </c>
      <c r="H162" s="221">
        <v>83</v>
      </c>
      <c r="I162" s="221">
        <v>88</v>
      </c>
      <c r="J162" s="221">
        <v>81</v>
      </c>
      <c r="K162" s="221">
        <v>77</v>
      </c>
      <c r="L162" s="221">
        <v>68</v>
      </c>
      <c r="M162" s="221">
        <v>61</v>
      </c>
      <c r="N162" s="221">
        <v>65</v>
      </c>
      <c r="O162" s="221">
        <v>55</v>
      </c>
      <c r="P162" s="221">
        <v>56</v>
      </c>
      <c r="Q162" s="221">
        <v>65</v>
      </c>
      <c r="R162" s="221">
        <v>55</v>
      </c>
      <c r="S162" s="221">
        <v>57</v>
      </c>
      <c r="T162" s="221">
        <v>67</v>
      </c>
      <c r="U162" s="221">
        <v>62</v>
      </c>
      <c r="V162" s="221">
        <v>66</v>
      </c>
      <c r="W162" s="221">
        <v>74</v>
      </c>
      <c r="X162" s="221">
        <v>80</v>
      </c>
      <c r="Y162" s="221">
        <v>84</v>
      </c>
      <c r="Z162" s="221">
        <v>81</v>
      </c>
      <c r="AA162" s="221">
        <v>86</v>
      </c>
      <c r="AB162" s="225" t="s">
        <v>879</v>
      </c>
      <c r="AC162" s="226" t="s">
        <v>947</v>
      </c>
      <c r="AD162" s="221">
        <v>97.1</v>
      </c>
      <c r="AE162" s="221">
        <v>103.7</v>
      </c>
      <c r="AF162" s="221">
        <v>112</v>
      </c>
      <c r="AG162" s="221">
        <v>136.80000000000001</v>
      </c>
      <c r="AH162" s="221">
        <v>148.19999999999999</v>
      </c>
      <c r="AI162" s="227"/>
      <c r="AJ162" s="227"/>
    </row>
    <row r="163" spans="1:36" ht="16.2" x14ac:dyDescent="0.35">
      <c r="A163" s="976" t="s">
        <v>172</v>
      </c>
      <c r="B163" s="217" t="s">
        <v>875</v>
      </c>
      <c r="C163" s="219" t="s">
        <v>946</v>
      </c>
      <c r="D163" s="221">
        <v>19.100000000000001</v>
      </c>
      <c r="E163" s="221">
        <v>18.8</v>
      </c>
      <c r="F163" s="221">
        <v>18.5</v>
      </c>
      <c r="G163" s="221">
        <v>18.3</v>
      </c>
      <c r="H163" s="221">
        <v>18</v>
      </c>
      <c r="I163" s="221">
        <v>18.7</v>
      </c>
      <c r="J163" s="221">
        <v>19.5</v>
      </c>
      <c r="K163" s="221">
        <v>20</v>
      </c>
      <c r="L163" s="221">
        <v>21.5</v>
      </c>
      <c r="M163" s="221">
        <v>22.9</v>
      </c>
      <c r="N163" s="221">
        <v>24.3</v>
      </c>
      <c r="O163" s="221">
        <v>24.6</v>
      </c>
      <c r="P163" s="221">
        <v>24.9</v>
      </c>
      <c r="Q163" s="221">
        <v>25.3</v>
      </c>
      <c r="R163" s="221">
        <v>25.1</v>
      </c>
      <c r="S163" s="221">
        <v>24.8</v>
      </c>
      <c r="T163" s="221">
        <v>24.5</v>
      </c>
      <c r="U163" s="221">
        <v>23.5</v>
      </c>
      <c r="V163" s="221">
        <v>22.5</v>
      </c>
      <c r="W163" s="221">
        <v>21.5</v>
      </c>
      <c r="X163" s="221">
        <v>20.9</v>
      </c>
      <c r="Y163" s="221">
        <v>20.3</v>
      </c>
      <c r="Z163" s="221">
        <v>19.8</v>
      </c>
      <c r="AA163" s="221">
        <v>19.5</v>
      </c>
      <c r="AB163" s="225" t="s">
        <v>880</v>
      </c>
      <c r="AC163" s="226" t="s">
        <v>947</v>
      </c>
      <c r="AD163" s="221">
        <v>115.5</v>
      </c>
      <c r="AE163" s="221">
        <v>129.30000000000001</v>
      </c>
      <c r="AF163" s="221">
        <v>133.9</v>
      </c>
      <c r="AG163" s="221">
        <v>134.30000000000001</v>
      </c>
      <c r="AH163" s="221">
        <v>113.3</v>
      </c>
      <c r="AI163" s="227"/>
      <c r="AJ163" s="227"/>
    </row>
    <row r="164" spans="1:36" ht="16.2" x14ac:dyDescent="0.35">
      <c r="A164" s="976"/>
      <c r="B164" s="217" t="s">
        <v>876</v>
      </c>
      <c r="C164" s="219" t="s">
        <v>1</v>
      </c>
      <c r="D164" s="221">
        <v>87</v>
      </c>
      <c r="E164" s="221">
        <v>87</v>
      </c>
      <c r="F164" s="221">
        <v>89</v>
      </c>
      <c r="G164" s="221">
        <v>89</v>
      </c>
      <c r="H164" s="221">
        <v>90</v>
      </c>
      <c r="I164" s="221">
        <v>89</v>
      </c>
      <c r="J164" s="221">
        <v>87</v>
      </c>
      <c r="K164" s="221">
        <v>85</v>
      </c>
      <c r="L164" s="221">
        <v>81</v>
      </c>
      <c r="M164" s="221">
        <v>77</v>
      </c>
      <c r="N164" s="221">
        <v>73</v>
      </c>
      <c r="O164" s="221">
        <v>72</v>
      </c>
      <c r="P164" s="221">
        <v>71</v>
      </c>
      <c r="Q164" s="221">
        <v>68</v>
      </c>
      <c r="R164" s="221">
        <v>70</v>
      </c>
      <c r="S164" s="221">
        <v>71</v>
      </c>
      <c r="T164" s="221">
        <v>72</v>
      </c>
      <c r="U164" s="221">
        <v>75</v>
      </c>
      <c r="V164" s="221">
        <v>78</v>
      </c>
      <c r="W164" s="221">
        <v>81</v>
      </c>
      <c r="X164" s="221">
        <v>83</v>
      </c>
      <c r="Y164" s="221">
        <v>85</v>
      </c>
      <c r="Z164" s="221">
        <v>86</v>
      </c>
      <c r="AA164" s="221">
        <v>87</v>
      </c>
      <c r="AB164" s="225" t="s">
        <v>881</v>
      </c>
      <c r="AC164" s="226" t="s">
        <v>947</v>
      </c>
      <c r="AD164" s="221">
        <v>206.9</v>
      </c>
      <c r="AE164" s="221">
        <v>231.2</v>
      </c>
      <c r="AF164" s="221">
        <v>239.9</v>
      </c>
      <c r="AG164" s="221">
        <v>233</v>
      </c>
      <c r="AH164" s="221">
        <v>178.7</v>
      </c>
      <c r="AI164" s="227"/>
      <c r="AJ164" s="227"/>
    </row>
    <row r="165" spans="1:36" ht="15.6" x14ac:dyDescent="0.35">
      <c r="A165" s="976" t="s">
        <v>173</v>
      </c>
      <c r="B165" s="217" t="s">
        <v>875</v>
      </c>
      <c r="C165" s="219" t="s">
        <v>946</v>
      </c>
      <c r="D165" s="221">
        <v>15.3</v>
      </c>
      <c r="E165" s="221">
        <v>15.5</v>
      </c>
      <c r="F165" s="221">
        <v>15.2</v>
      </c>
      <c r="G165" s="221">
        <v>14.7</v>
      </c>
      <c r="H165" s="221">
        <v>14.7</v>
      </c>
      <c r="I165" s="221">
        <v>14.6</v>
      </c>
      <c r="J165" s="221">
        <v>15.5</v>
      </c>
      <c r="K165" s="221">
        <v>16.7</v>
      </c>
      <c r="L165" s="221">
        <v>18.399999999999999</v>
      </c>
      <c r="M165" s="221">
        <v>20.100000000000001</v>
      </c>
      <c r="N165" s="221">
        <v>21.8</v>
      </c>
      <c r="O165" s="221">
        <v>22</v>
      </c>
      <c r="P165" s="221">
        <v>22.8</v>
      </c>
      <c r="Q165" s="221">
        <v>23.1</v>
      </c>
      <c r="R165" s="221">
        <v>22.7</v>
      </c>
      <c r="S165" s="221">
        <v>22.2</v>
      </c>
      <c r="T165" s="221">
        <v>21.3</v>
      </c>
      <c r="U165" s="221">
        <v>20.5</v>
      </c>
      <c r="V165" s="221">
        <v>19.2</v>
      </c>
      <c r="W165" s="221">
        <v>17.899999999999999</v>
      </c>
      <c r="X165" s="221">
        <v>17.3</v>
      </c>
      <c r="Y165" s="221">
        <v>16.5</v>
      </c>
      <c r="Z165" s="221">
        <v>16.5</v>
      </c>
      <c r="AA165" s="221">
        <v>15.7</v>
      </c>
      <c r="AB165" s="227"/>
      <c r="AC165" s="227"/>
      <c r="AD165" s="227">
        <v>16</v>
      </c>
      <c r="AE165" s="227">
        <v>20.6</v>
      </c>
      <c r="AF165" s="227">
        <v>23.4</v>
      </c>
      <c r="AG165" s="227">
        <v>23.1</v>
      </c>
      <c r="AH165" s="227">
        <v>19.7</v>
      </c>
      <c r="AI165" s="227"/>
      <c r="AJ165" s="227"/>
    </row>
    <row r="166" spans="1:36" ht="15.6" x14ac:dyDescent="0.35">
      <c r="A166" s="976"/>
      <c r="B166" s="217" t="s">
        <v>876</v>
      </c>
      <c r="C166" s="219" t="s">
        <v>1</v>
      </c>
      <c r="D166" s="221">
        <v>80</v>
      </c>
      <c r="E166" s="221">
        <v>79</v>
      </c>
      <c r="F166" s="221">
        <v>80</v>
      </c>
      <c r="G166" s="221">
        <v>81</v>
      </c>
      <c r="H166" s="221">
        <v>80</v>
      </c>
      <c r="I166" s="221">
        <v>80</v>
      </c>
      <c r="J166" s="221">
        <v>78</v>
      </c>
      <c r="K166" s="221">
        <v>73</v>
      </c>
      <c r="L166" s="221">
        <v>67</v>
      </c>
      <c r="M166" s="221">
        <v>61</v>
      </c>
      <c r="N166" s="221">
        <v>58</v>
      </c>
      <c r="O166" s="221">
        <v>56</v>
      </c>
      <c r="P166" s="221">
        <v>55</v>
      </c>
      <c r="Q166" s="221">
        <v>56</v>
      </c>
      <c r="R166" s="221">
        <v>55</v>
      </c>
      <c r="S166" s="221">
        <v>58</v>
      </c>
      <c r="T166" s="221">
        <v>63</v>
      </c>
      <c r="U166" s="221">
        <v>64</v>
      </c>
      <c r="V166" s="221">
        <v>68</v>
      </c>
      <c r="W166" s="221">
        <v>73</v>
      </c>
      <c r="X166" s="221">
        <v>74</v>
      </c>
      <c r="Y166" s="221">
        <v>78</v>
      </c>
      <c r="Z166" s="221">
        <v>77</v>
      </c>
      <c r="AA166" s="221">
        <v>79</v>
      </c>
      <c r="AB166" s="227"/>
      <c r="AC166" s="227"/>
      <c r="AD166" s="227"/>
      <c r="AE166" s="227">
        <v>5</v>
      </c>
      <c r="AF166" s="227" t="s">
        <v>740</v>
      </c>
      <c r="AG166" s="227"/>
      <c r="AH166" s="227"/>
      <c r="AI166" s="227"/>
      <c r="AJ166" s="227"/>
    </row>
    <row r="167" spans="1:36" ht="15.6" x14ac:dyDescent="0.35">
      <c r="A167" s="218" t="s">
        <v>174</v>
      </c>
      <c r="B167" s="217" t="s">
        <v>875</v>
      </c>
      <c r="C167" s="219" t="s">
        <v>946</v>
      </c>
      <c r="D167" s="221">
        <v>11</v>
      </c>
      <c r="E167" s="221">
        <v>12</v>
      </c>
      <c r="F167" s="221">
        <v>11</v>
      </c>
      <c r="G167" s="221">
        <v>10</v>
      </c>
      <c r="H167" s="221">
        <v>12</v>
      </c>
      <c r="I167" s="221">
        <v>10</v>
      </c>
      <c r="J167" s="221">
        <v>10</v>
      </c>
      <c r="K167" s="221">
        <v>12</v>
      </c>
      <c r="L167" s="221">
        <v>13</v>
      </c>
      <c r="M167" s="221">
        <v>15</v>
      </c>
      <c r="N167" s="221">
        <v>16</v>
      </c>
      <c r="O167" s="221">
        <v>17</v>
      </c>
      <c r="P167" s="221">
        <v>18</v>
      </c>
      <c r="Q167" s="221">
        <v>18</v>
      </c>
      <c r="R167" s="221">
        <v>17</v>
      </c>
      <c r="S167" s="221">
        <v>17</v>
      </c>
      <c r="T167" s="221">
        <v>16</v>
      </c>
      <c r="U167" s="221">
        <v>14</v>
      </c>
      <c r="V167" s="221">
        <v>13</v>
      </c>
      <c r="W167" s="221">
        <v>14</v>
      </c>
      <c r="X167" s="221">
        <v>12</v>
      </c>
      <c r="Y167" s="221">
        <v>12</v>
      </c>
      <c r="Z167" s="221">
        <v>12</v>
      </c>
      <c r="AA167" s="221">
        <v>11</v>
      </c>
      <c r="AB167" s="985" t="s">
        <v>854</v>
      </c>
      <c r="AC167" s="986"/>
      <c r="AD167" s="227"/>
      <c r="AE167" s="237" t="s">
        <v>851</v>
      </c>
      <c r="AF167" s="227">
        <v>2.2000000000000002</v>
      </c>
      <c r="AG167" s="227" t="s">
        <v>852</v>
      </c>
      <c r="AH167" s="227"/>
      <c r="AI167" s="227"/>
      <c r="AJ167" s="227"/>
    </row>
    <row r="168" spans="1:36" ht="15.6" x14ac:dyDescent="0.35">
      <c r="A168" s="218" t="s">
        <v>175</v>
      </c>
      <c r="B168" s="217" t="s">
        <v>875</v>
      </c>
      <c r="C168" s="219" t="s">
        <v>946</v>
      </c>
      <c r="D168" s="221">
        <v>6.1</v>
      </c>
      <c r="E168" s="221">
        <v>7</v>
      </c>
      <c r="F168" s="221">
        <v>6</v>
      </c>
      <c r="G168" s="221">
        <v>5.9</v>
      </c>
      <c r="H168" s="221">
        <v>6.8</v>
      </c>
      <c r="I168" s="221">
        <v>5.0999999999999996</v>
      </c>
      <c r="J168" s="221">
        <v>4.9000000000000004</v>
      </c>
      <c r="K168" s="221">
        <v>6.6</v>
      </c>
      <c r="L168" s="221">
        <v>7.2</v>
      </c>
      <c r="M168" s="221">
        <v>8.9</v>
      </c>
      <c r="N168" s="221">
        <v>10</v>
      </c>
      <c r="O168" s="221">
        <v>11</v>
      </c>
      <c r="P168" s="221">
        <v>12</v>
      </c>
      <c r="Q168" s="221">
        <v>12</v>
      </c>
      <c r="R168" s="221">
        <v>12</v>
      </c>
      <c r="S168" s="221">
        <v>11</v>
      </c>
      <c r="T168" s="221">
        <v>10</v>
      </c>
      <c r="U168" s="221">
        <v>8.6999999999999993</v>
      </c>
      <c r="V168" s="221">
        <v>7.6</v>
      </c>
      <c r="W168" s="221">
        <v>7.9</v>
      </c>
      <c r="X168" s="221">
        <v>6.9</v>
      </c>
      <c r="Y168" s="221">
        <v>6.6</v>
      </c>
      <c r="Z168" s="221">
        <v>7.2</v>
      </c>
      <c r="AA168" s="221">
        <v>6.2</v>
      </c>
      <c r="AB168" s="231">
        <v>2300</v>
      </c>
      <c r="AC168" s="232"/>
      <c r="AD168" s="227"/>
      <c r="AE168" s="227">
        <v>25</v>
      </c>
      <c r="AF168" s="227" t="s">
        <v>478</v>
      </c>
      <c r="AG168" s="227"/>
      <c r="AH168" s="227"/>
      <c r="AI168" s="227"/>
      <c r="AJ168" s="227"/>
    </row>
    <row r="169" spans="1:36" ht="15.6" x14ac:dyDescent="0.35">
      <c r="A169" s="218" t="s">
        <v>176</v>
      </c>
      <c r="B169" s="217" t="s">
        <v>875</v>
      </c>
      <c r="C169" s="219" t="s">
        <v>946</v>
      </c>
      <c r="D169" s="221">
        <v>2.8</v>
      </c>
      <c r="E169" s="221">
        <v>2.7</v>
      </c>
      <c r="F169" s="221">
        <v>2.6</v>
      </c>
      <c r="G169" s="221">
        <v>2.6</v>
      </c>
      <c r="H169" s="221">
        <v>2.6</v>
      </c>
      <c r="I169" s="221">
        <v>2.6</v>
      </c>
      <c r="J169" s="221">
        <v>2.7</v>
      </c>
      <c r="K169" s="221">
        <v>2.6</v>
      </c>
      <c r="L169" s="221">
        <v>3.2</v>
      </c>
      <c r="M169" s="221">
        <v>3.7</v>
      </c>
      <c r="N169" s="221">
        <v>4.2</v>
      </c>
      <c r="O169" s="221">
        <v>4.8</v>
      </c>
      <c r="P169" s="221">
        <v>5.4</v>
      </c>
      <c r="Q169" s="221">
        <v>5.9</v>
      </c>
      <c r="R169" s="221">
        <v>5.5</v>
      </c>
      <c r="S169" s="221">
        <v>5</v>
      </c>
      <c r="T169" s="221">
        <v>4.5</v>
      </c>
      <c r="U169" s="221">
        <v>4.2</v>
      </c>
      <c r="V169" s="221">
        <v>4</v>
      </c>
      <c r="W169" s="221">
        <v>3.8</v>
      </c>
      <c r="X169" s="221">
        <v>3.6</v>
      </c>
      <c r="Y169" s="221">
        <v>3.3</v>
      </c>
      <c r="Z169" s="221">
        <v>3.1</v>
      </c>
      <c r="AA169" s="221">
        <v>2.9</v>
      </c>
      <c r="AB169" s="227"/>
      <c r="AC169" s="227"/>
      <c r="AD169" s="227"/>
      <c r="AE169" s="227">
        <v>19</v>
      </c>
      <c r="AF169" s="227" t="s">
        <v>472</v>
      </c>
      <c r="AG169" s="227"/>
      <c r="AH169" s="227"/>
      <c r="AI169" s="227"/>
      <c r="AJ169" s="227"/>
    </row>
    <row r="170" spans="1:36" ht="15.6" x14ac:dyDescent="0.35">
      <c r="A170" s="487" t="s">
        <v>1096</v>
      </c>
      <c r="C170" s="488" t="s">
        <v>12</v>
      </c>
      <c r="D170" s="227">
        <v>2.2000000000000002</v>
      </c>
      <c r="E170" s="227">
        <v>2.9</v>
      </c>
      <c r="F170" s="227">
        <v>5.7</v>
      </c>
      <c r="G170" s="227">
        <v>10.9</v>
      </c>
      <c r="H170" s="227">
        <v>16</v>
      </c>
      <c r="I170" s="227">
        <v>20.6</v>
      </c>
      <c r="J170" s="227">
        <v>23.4</v>
      </c>
      <c r="K170" s="227">
        <v>23.1</v>
      </c>
      <c r="L170" s="227">
        <v>19.7</v>
      </c>
      <c r="M170" s="227">
        <v>14.5</v>
      </c>
      <c r="N170" s="227">
        <v>9.4</v>
      </c>
      <c r="O170" s="227">
        <v>4.5999999999999996</v>
      </c>
      <c r="P170" s="227"/>
      <c r="Q170" s="227"/>
      <c r="R170" s="227"/>
      <c r="S170" s="227"/>
      <c r="T170" s="227"/>
      <c r="U170" s="227"/>
      <c r="V170" s="227"/>
      <c r="W170" s="227"/>
      <c r="X170" s="227" t="s">
        <v>106</v>
      </c>
      <c r="Y170" s="227">
        <v>1.28</v>
      </c>
      <c r="Z170" s="227">
        <v>2.12</v>
      </c>
      <c r="AA170" s="227">
        <v>2.85</v>
      </c>
      <c r="AB170" s="227">
        <v>3.87</v>
      </c>
      <c r="AC170" s="227">
        <v>4.97</v>
      </c>
      <c r="AD170" s="227">
        <v>5.55</v>
      </c>
      <c r="AE170" s="227">
        <v>5.76</v>
      </c>
      <c r="AF170" s="227">
        <v>5.59</v>
      </c>
      <c r="AG170" s="227">
        <v>4.29</v>
      </c>
      <c r="AH170" s="227">
        <v>2.54</v>
      </c>
      <c r="AI170" s="227">
        <v>1.51</v>
      </c>
      <c r="AJ170" s="227">
        <v>1.1100000000000001</v>
      </c>
    </row>
    <row r="171" spans="1:36" ht="15.6" x14ac:dyDescent="0.35">
      <c r="D171" s="227"/>
      <c r="E171" s="227"/>
      <c r="F171" s="227"/>
      <c r="G171" s="227"/>
      <c r="H171" s="227"/>
      <c r="I171" s="227"/>
      <c r="J171" s="227"/>
      <c r="K171" s="227"/>
      <c r="L171" s="227"/>
      <c r="M171" s="227"/>
      <c r="N171" s="227"/>
      <c r="O171" s="227"/>
      <c r="P171" s="227"/>
      <c r="Q171" s="227"/>
      <c r="R171" s="227"/>
      <c r="S171" s="227"/>
      <c r="T171" s="227"/>
      <c r="U171" s="227"/>
      <c r="V171" s="227"/>
      <c r="W171" s="227"/>
      <c r="X171" s="227" t="s">
        <v>107</v>
      </c>
      <c r="Y171" s="227">
        <v>0.34</v>
      </c>
      <c r="Z171" s="227">
        <v>0.41</v>
      </c>
      <c r="AA171" s="227">
        <v>0.43</v>
      </c>
      <c r="AB171" s="227">
        <v>0.42</v>
      </c>
      <c r="AC171" s="227">
        <v>0.46</v>
      </c>
      <c r="AD171" s="227">
        <v>0.49</v>
      </c>
      <c r="AE171" s="227">
        <v>0.52</v>
      </c>
      <c r="AF171" s="227">
        <v>0.56999999999999995</v>
      </c>
      <c r="AG171" s="227">
        <v>0.54</v>
      </c>
      <c r="AH171" s="227">
        <v>0.44</v>
      </c>
      <c r="AI171" s="227">
        <v>0.37</v>
      </c>
      <c r="AJ171" s="227">
        <v>0.33</v>
      </c>
    </row>
    <row r="180" spans="1:36" x14ac:dyDescent="0.25">
      <c r="A180" s="975" t="s">
        <v>819</v>
      </c>
      <c r="B180" s="975"/>
      <c r="C180" s="975"/>
      <c r="D180" s="975"/>
      <c r="E180" s="975"/>
      <c r="F180" s="975"/>
      <c r="G180" s="975"/>
      <c r="H180" s="975"/>
      <c r="I180" s="975"/>
      <c r="J180" s="975"/>
      <c r="K180" s="975"/>
      <c r="L180" s="975"/>
      <c r="M180" s="975"/>
      <c r="N180" s="975"/>
      <c r="O180" s="975"/>
      <c r="P180" s="975"/>
      <c r="Q180" s="975"/>
      <c r="R180" s="975"/>
      <c r="S180" s="975"/>
      <c r="T180" s="975"/>
      <c r="U180" s="975"/>
      <c r="V180" s="975"/>
      <c r="W180" s="975"/>
      <c r="X180" s="975"/>
      <c r="Y180" s="975"/>
      <c r="Z180" s="975"/>
      <c r="AA180" s="975"/>
    </row>
    <row r="182" spans="1:36" x14ac:dyDescent="0.25">
      <c r="A182" s="216"/>
      <c r="B182" s="217" t="s">
        <v>466</v>
      </c>
      <c r="C182" s="217" t="s">
        <v>950</v>
      </c>
      <c r="D182" s="195">
        <v>0</v>
      </c>
      <c r="E182" s="195">
        <v>1</v>
      </c>
      <c r="F182" s="195">
        <v>2</v>
      </c>
      <c r="G182" s="195">
        <v>3</v>
      </c>
      <c r="H182" s="195">
        <v>4</v>
      </c>
      <c r="I182" s="195">
        <v>5</v>
      </c>
      <c r="J182" s="195">
        <v>6</v>
      </c>
      <c r="K182" s="195">
        <v>7</v>
      </c>
      <c r="L182" s="195">
        <v>8</v>
      </c>
      <c r="M182" s="195">
        <v>9</v>
      </c>
      <c r="N182" s="195">
        <v>10</v>
      </c>
      <c r="O182" s="195">
        <v>11</v>
      </c>
      <c r="P182" s="195">
        <v>12</v>
      </c>
      <c r="Q182" s="195">
        <v>13</v>
      </c>
      <c r="R182" s="195">
        <v>14</v>
      </c>
      <c r="S182" s="195">
        <v>15</v>
      </c>
      <c r="T182" s="195">
        <v>16</v>
      </c>
      <c r="U182" s="195">
        <v>17</v>
      </c>
      <c r="V182" s="195">
        <v>18</v>
      </c>
      <c r="W182" s="195">
        <v>19</v>
      </c>
      <c r="X182" s="195">
        <v>20</v>
      </c>
      <c r="Y182" s="195">
        <v>21</v>
      </c>
      <c r="Z182" s="195">
        <v>22</v>
      </c>
      <c r="AA182" s="195">
        <v>23</v>
      </c>
      <c r="AB182" s="979" t="s">
        <v>843</v>
      </c>
      <c r="AC182" s="980"/>
      <c r="AD182" s="980"/>
      <c r="AE182" s="980"/>
      <c r="AF182" s="980"/>
      <c r="AG182" s="980"/>
      <c r="AH182" s="980"/>
      <c r="AI182" s="980"/>
      <c r="AJ182" s="980"/>
    </row>
    <row r="183" spans="1:36" ht="16.2" x14ac:dyDescent="0.35">
      <c r="A183" s="218" t="s">
        <v>167</v>
      </c>
      <c r="B183" s="217" t="s">
        <v>875</v>
      </c>
      <c r="C183" s="219" t="s">
        <v>946</v>
      </c>
      <c r="D183" s="221">
        <v>1</v>
      </c>
      <c r="E183" s="221">
        <v>0.9</v>
      </c>
      <c r="F183" s="221">
        <v>0.9</v>
      </c>
      <c r="G183" s="221">
        <v>0.9</v>
      </c>
      <c r="H183" s="221">
        <v>0.2</v>
      </c>
      <c r="I183" s="221">
        <v>0.2</v>
      </c>
      <c r="J183" s="221">
        <v>0</v>
      </c>
      <c r="K183" s="221">
        <v>0</v>
      </c>
      <c r="L183" s="221">
        <v>0.6</v>
      </c>
      <c r="M183" s="221">
        <v>1.7</v>
      </c>
      <c r="N183" s="221">
        <v>2.4</v>
      </c>
      <c r="O183" s="221">
        <v>3.9</v>
      </c>
      <c r="P183" s="221">
        <v>5.2</v>
      </c>
      <c r="Q183" s="221">
        <v>5.9</v>
      </c>
      <c r="R183" s="221">
        <v>6.2</v>
      </c>
      <c r="S183" s="221">
        <v>6.2</v>
      </c>
      <c r="T183" s="221">
        <v>5.9</v>
      </c>
      <c r="U183" s="221">
        <v>3.4</v>
      </c>
      <c r="V183" s="221">
        <v>2.7</v>
      </c>
      <c r="W183" s="221">
        <v>2.4</v>
      </c>
      <c r="X183" s="221">
        <v>2.1</v>
      </c>
      <c r="Y183" s="221">
        <v>2</v>
      </c>
      <c r="Z183" s="221">
        <v>1.3</v>
      </c>
      <c r="AA183" s="221">
        <v>1.1000000000000001</v>
      </c>
      <c r="AB183" s="225" t="s">
        <v>877</v>
      </c>
      <c r="AC183" s="226" t="s">
        <v>947</v>
      </c>
      <c r="AD183" s="221">
        <v>27.7</v>
      </c>
      <c r="AE183" s="221">
        <v>38.5</v>
      </c>
      <c r="AF183" s="221">
        <v>53.3</v>
      </c>
      <c r="AG183" s="221">
        <v>68.099999999999994</v>
      </c>
      <c r="AH183" s="221">
        <v>44</v>
      </c>
      <c r="AI183" s="221">
        <v>29.7</v>
      </c>
      <c r="AJ183" s="221">
        <v>23.5</v>
      </c>
    </row>
    <row r="184" spans="1:36" ht="16.2" x14ac:dyDescent="0.35">
      <c r="A184" s="218" t="s">
        <v>168</v>
      </c>
      <c r="B184" s="217" t="s">
        <v>875</v>
      </c>
      <c r="C184" s="219" t="s">
        <v>946</v>
      </c>
      <c r="D184" s="221">
        <v>0.5</v>
      </c>
      <c r="E184" s="221">
        <v>0</v>
      </c>
      <c r="F184" s="221">
        <v>0</v>
      </c>
      <c r="G184" s="221">
        <v>-1</v>
      </c>
      <c r="H184" s="221">
        <v>-1</v>
      </c>
      <c r="I184" s="221">
        <v>-1</v>
      </c>
      <c r="J184" s="221">
        <v>-1</v>
      </c>
      <c r="K184" s="221">
        <v>-1</v>
      </c>
      <c r="L184" s="221">
        <v>0.2</v>
      </c>
      <c r="M184" s="221">
        <v>1.8</v>
      </c>
      <c r="N184" s="221">
        <v>3.4</v>
      </c>
      <c r="O184" s="221">
        <v>4.7</v>
      </c>
      <c r="P184" s="221">
        <v>6</v>
      </c>
      <c r="Q184" s="221">
        <v>7.4</v>
      </c>
      <c r="R184" s="221">
        <v>7.5</v>
      </c>
      <c r="S184" s="221">
        <v>7.6</v>
      </c>
      <c r="T184" s="221">
        <v>7.7</v>
      </c>
      <c r="U184" s="221">
        <v>6.5</v>
      </c>
      <c r="V184" s="221">
        <v>5.3</v>
      </c>
      <c r="W184" s="221">
        <v>4.0999999999999996</v>
      </c>
      <c r="X184" s="221">
        <v>3.5</v>
      </c>
      <c r="Y184" s="221">
        <v>3</v>
      </c>
      <c r="Z184" s="221">
        <v>1.9</v>
      </c>
      <c r="AA184" s="221">
        <v>1.3</v>
      </c>
      <c r="AB184" s="225" t="s">
        <v>878</v>
      </c>
      <c r="AC184" s="226" t="s">
        <v>947</v>
      </c>
      <c r="AD184" s="221">
        <v>58.5</v>
      </c>
      <c r="AE184" s="221">
        <v>71.8</v>
      </c>
      <c r="AF184" s="221">
        <v>84.5</v>
      </c>
      <c r="AG184" s="221">
        <v>97.9</v>
      </c>
      <c r="AH184" s="221">
        <v>78.2</v>
      </c>
      <c r="AI184" s="221">
        <v>56.4</v>
      </c>
      <c r="AJ184" s="221">
        <v>47</v>
      </c>
    </row>
    <row r="185" spans="1:36" ht="16.2" x14ac:dyDescent="0.35">
      <c r="A185" s="218" t="s">
        <v>923</v>
      </c>
      <c r="B185" s="217" t="s">
        <v>875</v>
      </c>
      <c r="C185" s="219" t="s">
        <v>946</v>
      </c>
      <c r="D185" s="221">
        <v>4.3</v>
      </c>
      <c r="E185" s="221">
        <v>3.7</v>
      </c>
      <c r="F185" s="221">
        <v>3.3</v>
      </c>
      <c r="G185" s="221">
        <v>2.9</v>
      </c>
      <c r="H185" s="221">
        <v>2.5</v>
      </c>
      <c r="I185" s="221">
        <v>2.7</v>
      </c>
      <c r="J185" s="221">
        <v>2.6</v>
      </c>
      <c r="K185" s="221">
        <v>2.6</v>
      </c>
      <c r="L185" s="221">
        <v>4.3</v>
      </c>
      <c r="M185" s="221">
        <v>5.9</v>
      </c>
      <c r="N185" s="221">
        <v>7.6</v>
      </c>
      <c r="O185" s="221">
        <v>8.5</v>
      </c>
      <c r="P185" s="221">
        <v>9.5</v>
      </c>
      <c r="Q185" s="221">
        <v>11</v>
      </c>
      <c r="R185" s="221">
        <v>10</v>
      </c>
      <c r="S185" s="221">
        <v>10</v>
      </c>
      <c r="T185" s="221">
        <v>11</v>
      </c>
      <c r="U185" s="221">
        <v>9.6999999999999993</v>
      </c>
      <c r="V185" s="221">
        <v>8.6</v>
      </c>
      <c r="W185" s="221">
        <v>7.5</v>
      </c>
      <c r="X185" s="221">
        <v>6.9</v>
      </c>
      <c r="Y185" s="221">
        <v>6.2</v>
      </c>
      <c r="Z185" s="221">
        <v>5.5</v>
      </c>
      <c r="AA185" s="221">
        <v>5</v>
      </c>
      <c r="AB185" s="225" t="s">
        <v>879</v>
      </c>
      <c r="AC185" s="226" t="s">
        <v>947</v>
      </c>
      <c r="AD185" s="221">
        <v>109.5</v>
      </c>
      <c r="AE185" s="221">
        <v>118.4</v>
      </c>
      <c r="AF185" s="221">
        <v>111.4</v>
      </c>
      <c r="AG185" s="221">
        <v>97.3</v>
      </c>
      <c r="AH185" s="221">
        <v>121</v>
      </c>
      <c r="AI185" s="221">
        <v>100.5</v>
      </c>
      <c r="AJ185" s="221">
        <v>88.5</v>
      </c>
    </row>
    <row r="186" spans="1:36" ht="16.2" x14ac:dyDescent="0.35">
      <c r="A186" s="218" t="s">
        <v>924</v>
      </c>
      <c r="B186" s="217" t="s">
        <v>875</v>
      </c>
      <c r="C186" s="219" t="s">
        <v>946</v>
      </c>
      <c r="D186" s="221">
        <v>9.9</v>
      </c>
      <c r="E186" s="221">
        <v>9.1999999999999993</v>
      </c>
      <c r="F186" s="221">
        <v>8.8000000000000007</v>
      </c>
      <c r="G186" s="221">
        <v>7.9</v>
      </c>
      <c r="H186" s="221">
        <v>7.1</v>
      </c>
      <c r="I186" s="221">
        <v>7.8</v>
      </c>
      <c r="J186" s="221">
        <v>8.6999999999999993</v>
      </c>
      <c r="K186" s="221">
        <v>9.5</v>
      </c>
      <c r="L186" s="221">
        <v>10</v>
      </c>
      <c r="M186" s="221">
        <v>12</v>
      </c>
      <c r="N186" s="221">
        <v>14</v>
      </c>
      <c r="O186" s="221">
        <v>15</v>
      </c>
      <c r="P186" s="221">
        <v>16</v>
      </c>
      <c r="Q186" s="221">
        <v>17</v>
      </c>
      <c r="R186" s="221">
        <v>17</v>
      </c>
      <c r="S186" s="221">
        <v>17</v>
      </c>
      <c r="T186" s="221">
        <v>18</v>
      </c>
      <c r="U186" s="221">
        <v>17</v>
      </c>
      <c r="V186" s="221">
        <v>15</v>
      </c>
      <c r="W186" s="221">
        <v>14</v>
      </c>
      <c r="X186" s="221">
        <v>14</v>
      </c>
      <c r="Y186" s="221">
        <v>12</v>
      </c>
      <c r="Z186" s="221">
        <v>11</v>
      </c>
      <c r="AA186" s="221">
        <v>11</v>
      </c>
      <c r="AB186" s="225" t="s">
        <v>880</v>
      </c>
      <c r="AC186" s="226" t="s">
        <v>947</v>
      </c>
      <c r="AD186" s="221">
        <v>58.5</v>
      </c>
      <c r="AE186" s="221">
        <v>71.8</v>
      </c>
      <c r="AF186" s="221">
        <v>84.5</v>
      </c>
      <c r="AG186" s="221">
        <v>97.9</v>
      </c>
      <c r="AH186" s="221">
        <v>78.2</v>
      </c>
      <c r="AI186" s="221">
        <v>56.4</v>
      </c>
      <c r="AJ186" s="221">
        <v>47</v>
      </c>
    </row>
    <row r="187" spans="1:36" ht="16.2" x14ac:dyDescent="0.35">
      <c r="A187" s="976" t="s">
        <v>169</v>
      </c>
      <c r="B187" s="217" t="s">
        <v>875</v>
      </c>
      <c r="C187" s="219" t="s">
        <v>946</v>
      </c>
      <c r="D187" s="221">
        <v>14.9</v>
      </c>
      <c r="E187" s="221">
        <v>14.3</v>
      </c>
      <c r="F187" s="221">
        <v>13.8</v>
      </c>
      <c r="G187" s="221">
        <v>13.3</v>
      </c>
      <c r="H187" s="221">
        <v>12.7</v>
      </c>
      <c r="I187" s="221">
        <v>13.3</v>
      </c>
      <c r="J187" s="221">
        <v>13.9</v>
      </c>
      <c r="K187" s="221">
        <v>14.4</v>
      </c>
      <c r="L187" s="221">
        <v>16</v>
      </c>
      <c r="M187" s="221">
        <v>17.5</v>
      </c>
      <c r="N187" s="221">
        <v>19.100000000000001</v>
      </c>
      <c r="O187" s="221">
        <v>19.899999999999999</v>
      </c>
      <c r="P187" s="221">
        <v>20.7</v>
      </c>
      <c r="Q187" s="221">
        <v>21.6</v>
      </c>
      <c r="R187" s="221">
        <v>21.9</v>
      </c>
      <c r="S187" s="221">
        <v>22.1</v>
      </c>
      <c r="T187" s="221">
        <v>22.4</v>
      </c>
      <c r="U187" s="221">
        <v>21.2</v>
      </c>
      <c r="V187" s="221">
        <v>20</v>
      </c>
      <c r="W187" s="221">
        <v>18.899999999999999</v>
      </c>
      <c r="X187" s="221">
        <v>18</v>
      </c>
      <c r="Y187" s="221">
        <v>17.2</v>
      </c>
      <c r="Z187" s="221">
        <v>16.399999999999999</v>
      </c>
      <c r="AA187" s="221">
        <v>15.7</v>
      </c>
      <c r="AB187" s="225" t="s">
        <v>881</v>
      </c>
      <c r="AC187" s="226" t="s">
        <v>947</v>
      </c>
      <c r="AD187" s="221">
        <v>69.5</v>
      </c>
      <c r="AE187" s="221">
        <v>96.9</v>
      </c>
      <c r="AF187" s="221">
        <v>132.80000000000001</v>
      </c>
      <c r="AG187" s="221">
        <v>171</v>
      </c>
      <c r="AH187" s="221">
        <v>111.1</v>
      </c>
      <c r="AI187" s="221">
        <v>70.900000000000006</v>
      </c>
      <c r="AJ187" s="221">
        <v>55.3</v>
      </c>
    </row>
    <row r="188" spans="1:36" ht="15.6" x14ac:dyDescent="0.35">
      <c r="A188" s="976"/>
      <c r="B188" s="217" t="s">
        <v>876</v>
      </c>
      <c r="C188" s="219" t="s">
        <v>1</v>
      </c>
      <c r="D188" s="221">
        <v>73</v>
      </c>
      <c r="E188" s="221">
        <v>75</v>
      </c>
      <c r="F188" s="221">
        <v>77</v>
      </c>
      <c r="G188" s="221">
        <v>79</v>
      </c>
      <c r="H188" s="221">
        <v>81</v>
      </c>
      <c r="I188" s="221">
        <v>80</v>
      </c>
      <c r="J188" s="221">
        <v>77</v>
      </c>
      <c r="K188" s="221">
        <v>75</v>
      </c>
      <c r="L188" s="221">
        <v>70</v>
      </c>
      <c r="M188" s="221">
        <v>65</v>
      </c>
      <c r="N188" s="221">
        <v>61</v>
      </c>
      <c r="O188" s="221">
        <v>57</v>
      </c>
      <c r="P188" s="221">
        <v>54</v>
      </c>
      <c r="Q188" s="221">
        <v>52</v>
      </c>
      <c r="R188" s="221">
        <v>52</v>
      </c>
      <c r="S188" s="221">
        <v>51</v>
      </c>
      <c r="T188" s="221">
        <v>51</v>
      </c>
      <c r="U188" s="221">
        <v>55</v>
      </c>
      <c r="V188" s="221">
        <v>60</v>
      </c>
      <c r="W188" s="221">
        <v>65</v>
      </c>
      <c r="X188" s="221">
        <v>66</v>
      </c>
      <c r="Y188" s="221">
        <v>68</v>
      </c>
      <c r="Z188" s="221">
        <v>70</v>
      </c>
      <c r="AA188" s="221">
        <v>71</v>
      </c>
      <c r="AB188" s="227"/>
      <c r="AC188" s="443" t="s">
        <v>340</v>
      </c>
      <c r="AD188" s="443">
        <v>0.2</v>
      </c>
      <c r="AE188" s="443">
        <v>1.8</v>
      </c>
      <c r="AF188" s="443">
        <v>6.9</v>
      </c>
      <c r="AG188" s="443">
        <v>12.4</v>
      </c>
      <c r="AH188" s="443">
        <v>12.8</v>
      </c>
      <c r="AI188" s="443">
        <v>7.4</v>
      </c>
      <c r="AJ188" s="443">
        <v>1.9</v>
      </c>
    </row>
    <row r="189" spans="1:36" ht="15.6" x14ac:dyDescent="0.35">
      <c r="A189" s="976" t="s">
        <v>170</v>
      </c>
      <c r="B189" s="217" t="s">
        <v>875</v>
      </c>
      <c r="C189" s="219" t="s">
        <v>946</v>
      </c>
      <c r="D189" s="221">
        <v>19.600000000000001</v>
      </c>
      <c r="E189" s="221">
        <v>18.899999999999999</v>
      </c>
      <c r="F189" s="221">
        <v>18.100000000000001</v>
      </c>
      <c r="G189" s="221">
        <v>17.3</v>
      </c>
      <c r="H189" s="221">
        <v>16.5</v>
      </c>
      <c r="I189" s="221">
        <v>17.3</v>
      </c>
      <c r="J189" s="221">
        <v>18.2</v>
      </c>
      <c r="K189" s="221">
        <v>19.100000000000001</v>
      </c>
      <c r="L189" s="221">
        <v>20.8</v>
      </c>
      <c r="M189" s="221">
        <v>22.4</v>
      </c>
      <c r="N189" s="221">
        <v>24</v>
      </c>
      <c r="O189" s="221">
        <v>24.9</v>
      </c>
      <c r="P189" s="221">
        <v>25.9</v>
      </c>
      <c r="Q189" s="221">
        <v>26.8</v>
      </c>
      <c r="R189" s="221">
        <v>26.7</v>
      </c>
      <c r="S189" s="221">
        <v>26.6</v>
      </c>
      <c r="T189" s="221">
        <v>26.5</v>
      </c>
      <c r="U189" s="221">
        <v>25.6</v>
      </c>
      <c r="V189" s="221">
        <v>24.7</v>
      </c>
      <c r="W189" s="221">
        <v>23.8</v>
      </c>
      <c r="X189" s="221">
        <v>22.9</v>
      </c>
      <c r="Y189" s="221">
        <v>22</v>
      </c>
      <c r="Z189" s="221">
        <v>21</v>
      </c>
      <c r="AA189" s="221">
        <v>20.3</v>
      </c>
      <c r="AB189" s="977" t="s">
        <v>853</v>
      </c>
      <c r="AC189" s="978"/>
      <c r="AD189" s="978"/>
      <c r="AE189" s="978"/>
      <c r="AF189" s="978"/>
      <c r="AG189" s="978"/>
      <c r="AH189" s="978"/>
      <c r="AI189" s="978"/>
      <c r="AJ189" s="978"/>
    </row>
    <row r="190" spans="1:36" ht="16.2" x14ac:dyDescent="0.35">
      <c r="A190" s="976"/>
      <c r="B190" s="217" t="s">
        <v>876</v>
      </c>
      <c r="C190" s="219" t="s">
        <v>1</v>
      </c>
      <c r="D190" s="221">
        <v>76</v>
      </c>
      <c r="E190" s="221">
        <v>78</v>
      </c>
      <c r="F190" s="221">
        <v>79</v>
      </c>
      <c r="G190" s="221">
        <v>81</v>
      </c>
      <c r="H190" s="221">
        <v>83</v>
      </c>
      <c r="I190" s="221">
        <v>81</v>
      </c>
      <c r="J190" s="221">
        <v>78</v>
      </c>
      <c r="K190" s="221">
        <v>76</v>
      </c>
      <c r="L190" s="221">
        <v>69</v>
      </c>
      <c r="M190" s="221">
        <v>64</v>
      </c>
      <c r="N190" s="221">
        <v>59</v>
      </c>
      <c r="O190" s="221">
        <v>56</v>
      </c>
      <c r="P190" s="221">
        <v>53</v>
      </c>
      <c r="Q190" s="221">
        <v>50</v>
      </c>
      <c r="R190" s="221">
        <v>51</v>
      </c>
      <c r="S190" s="221">
        <v>53</v>
      </c>
      <c r="T190" s="221">
        <v>54</v>
      </c>
      <c r="U190" s="221">
        <v>57</v>
      </c>
      <c r="V190" s="221">
        <v>60</v>
      </c>
      <c r="W190" s="221">
        <v>63</v>
      </c>
      <c r="X190" s="221">
        <v>66</v>
      </c>
      <c r="Y190" s="221">
        <v>69</v>
      </c>
      <c r="Z190" s="221">
        <v>72</v>
      </c>
      <c r="AA190" s="221">
        <v>74</v>
      </c>
      <c r="AB190" s="225" t="s">
        <v>877</v>
      </c>
      <c r="AC190" s="226" t="s">
        <v>947</v>
      </c>
      <c r="AD190" s="221">
        <v>78.7</v>
      </c>
      <c r="AE190" s="221">
        <v>86.1</v>
      </c>
      <c r="AF190" s="221">
        <v>83.8</v>
      </c>
      <c r="AG190" s="221">
        <v>76.7</v>
      </c>
      <c r="AH190" s="221">
        <v>61.8</v>
      </c>
      <c r="AI190" s="227"/>
      <c r="AJ190" s="227"/>
    </row>
    <row r="191" spans="1:36" ht="16.2" x14ac:dyDescent="0.35">
      <c r="A191" s="976" t="s">
        <v>171</v>
      </c>
      <c r="B191" s="217" t="s">
        <v>875</v>
      </c>
      <c r="C191" s="219" t="s">
        <v>946</v>
      </c>
      <c r="D191" s="221">
        <v>19.899999999999999</v>
      </c>
      <c r="E191" s="221">
        <v>19.100000000000001</v>
      </c>
      <c r="F191" s="221">
        <v>18.600000000000001</v>
      </c>
      <c r="G191" s="221">
        <v>18</v>
      </c>
      <c r="H191" s="221">
        <v>17.5</v>
      </c>
      <c r="I191" s="221">
        <v>18.3</v>
      </c>
      <c r="J191" s="221">
        <v>19.100000000000001</v>
      </c>
      <c r="K191" s="221">
        <v>20</v>
      </c>
      <c r="L191" s="221">
        <v>21.3</v>
      </c>
      <c r="M191" s="221">
        <v>23.1</v>
      </c>
      <c r="N191" s="221">
        <v>25.1</v>
      </c>
      <c r="O191" s="221">
        <v>26</v>
      </c>
      <c r="P191" s="221">
        <v>26.9</v>
      </c>
      <c r="Q191" s="221">
        <v>27.9</v>
      </c>
      <c r="R191" s="221">
        <v>28</v>
      </c>
      <c r="S191" s="221">
        <v>28</v>
      </c>
      <c r="T191" s="221">
        <v>28.1</v>
      </c>
      <c r="U191" s="221">
        <v>27</v>
      </c>
      <c r="V191" s="221">
        <v>25.8</v>
      </c>
      <c r="W191" s="221">
        <v>24.6</v>
      </c>
      <c r="X191" s="221">
        <v>23.7</v>
      </c>
      <c r="Y191" s="221">
        <v>22.8</v>
      </c>
      <c r="Z191" s="221">
        <v>21.4</v>
      </c>
      <c r="AA191" s="221">
        <v>20.7</v>
      </c>
      <c r="AB191" s="225" t="s">
        <v>878</v>
      </c>
      <c r="AC191" s="226" t="s">
        <v>947</v>
      </c>
      <c r="AD191" s="221">
        <v>111.1</v>
      </c>
      <c r="AE191" s="221">
        <v>130.19999999999999</v>
      </c>
      <c r="AF191" s="221">
        <v>126.6</v>
      </c>
      <c r="AG191" s="221">
        <v>130.69999999999999</v>
      </c>
      <c r="AH191" s="221">
        <v>111.1</v>
      </c>
      <c r="AI191" s="227"/>
      <c r="AJ191" s="227"/>
    </row>
    <row r="192" spans="1:36" ht="16.2" x14ac:dyDescent="0.35">
      <c r="A192" s="976"/>
      <c r="B192" s="217" t="s">
        <v>876</v>
      </c>
      <c r="C192" s="219" t="s">
        <v>1</v>
      </c>
      <c r="D192" s="221">
        <v>78</v>
      </c>
      <c r="E192" s="221">
        <v>81</v>
      </c>
      <c r="F192" s="221">
        <v>83</v>
      </c>
      <c r="G192" s="221">
        <v>85</v>
      </c>
      <c r="H192" s="221">
        <v>86</v>
      </c>
      <c r="I192" s="221">
        <v>84</v>
      </c>
      <c r="J192" s="221">
        <v>82</v>
      </c>
      <c r="K192" s="221">
        <v>78</v>
      </c>
      <c r="L192" s="221">
        <v>73</v>
      </c>
      <c r="M192" s="221">
        <v>67</v>
      </c>
      <c r="N192" s="221">
        <v>60</v>
      </c>
      <c r="O192" s="221">
        <v>57</v>
      </c>
      <c r="P192" s="221">
        <v>55</v>
      </c>
      <c r="Q192" s="221">
        <v>52</v>
      </c>
      <c r="R192" s="221">
        <v>52</v>
      </c>
      <c r="S192" s="221">
        <v>52</v>
      </c>
      <c r="T192" s="221">
        <v>51</v>
      </c>
      <c r="U192" s="221">
        <v>55</v>
      </c>
      <c r="V192" s="221">
        <v>59</v>
      </c>
      <c r="W192" s="221">
        <v>64</v>
      </c>
      <c r="X192" s="221">
        <v>67</v>
      </c>
      <c r="Y192" s="221">
        <v>69</v>
      </c>
      <c r="Z192" s="221">
        <v>73</v>
      </c>
      <c r="AA192" s="221">
        <v>75</v>
      </c>
      <c r="AB192" s="225" t="s">
        <v>879</v>
      </c>
      <c r="AC192" s="226" t="s">
        <v>947</v>
      </c>
      <c r="AD192" s="221">
        <v>91.8</v>
      </c>
      <c r="AE192" s="221">
        <v>103.9</v>
      </c>
      <c r="AF192" s="221">
        <v>103.5</v>
      </c>
      <c r="AG192" s="221">
        <v>129.6</v>
      </c>
      <c r="AH192" s="221">
        <v>142</v>
      </c>
      <c r="AI192" s="227"/>
      <c r="AJ192" s="227"/>
    </row>
    <row r="193" spans="1:36" ht="16.2" x14ac:dyDescent="0.35">
      <c r="A193" s="976" t="s">
        <v>172</v>
      </c>
      <c r="B193" s="217" t="s">
        <v>875</v>
      </c>
      <c r="C193" s="219" t="s">
        <v>946</v>
      </c>
      <c r="D193" s="221">
        <v>20.100000000000001</v>
      </c>
      <c r="E193" s="221">
        <v>19.3</v>
      </c>
      <c r="F193" s="221">
        <v>18.8</v>
      </c>
      <c r="G193" s="221">
        <v>18.3</v>
      </c>
      <c r="H193" s="221">
        <v>17.399999999999999</v>
      </c>
      <c r="I193" s="221">
        <v>18.100000000000001</v>
      </c>
      <c r="J193" s="221">
        <v>18.899999999999999</v>
      </c>
      <c r="K193" s="221">
        <v>19.7</v>
      </c>
      <c r="L193" s="221">
        <v>21.5</v>
      </c>
      <c r="M193" s="221">
        <v>23.4</v>
      </c>
      <c r="N193" s="221">
        <v>25.3</v>
      </c>
      <c r="O193" s="221">
        <v>26.5</v>
      </c>
      <c r="P193" s="221">
        <v>27.7</v>
      </c>
      <c r="Q193" s="221">
        <v>28.9</v>
      </c>
      <c r="R193" s="221">
        <v>28.8</v>
      </c>
      <c r="S193" s="221">
        <v>28.8</v>
      </c>
      <c r="T193" s="221">
        <v>28.7</v>
      </c>
      <c r="U193" s="221">
        <v>27.4</v>
      </c>
      <c r="V193" s="221">
        <v>26.1</v>
      </c>
      <c r="W193" s="221">
        <v>24.7</v>
      </c>
      <c r="X193" s="221">
        <v>23.7</v>
      </c>
      <c r="Y193" s="221">
        <v>22.5</v>
      </c>
      <c r="Z193" s="221">
        <v>21.4</v>
      </c>
      <c r="AA193" s="221">
        <v>20.7</v>
      </c>
      <c r="AB193" s="225" t="s">
        <v>880</v>
      </c>
      <c r="AC193" s="226" t="s">
        <v>947</v>
      </c>
      <c r="AD193" s="221">
        <v>111.1</v>
      </c>
      <c r="AE193" s="221">
        <v>130.19999999999999</v>
      </c>
      <c r="AF193" s="221">
        <v>126.6</v>
      </c>
      <c r="AG193" s="221">
        <v>130.69999999999999</v>
      </c>
      <c r="AH193" s="221">
        <v>111.1</v>
      </c>
      <c r="AI193" s="227"/>
      <c r="AJ193" s="227"/>
    </row>
    <row r="194" spans="1:36" ht="16.2" x14ac:dyDescent="0.35">
      <c r="A194" s="976"/>
      <c r="B194" s="217" t="s">
        <v>876</v>
      </c>
      <c r="C194" s="219" t="s">
        <v>1</v>
      </c>
      <c r="D194" s="221">
        <v>69</v>
      </c>
      <c r="E194" s="221">
        <v>71</v>
      </c>
      <c r="F194" s="221">
        <v>73</v>
      </c>
      <c r="G194" s="221">
        <v>76</v>
      </c>
      <c r="H194" s="221">
        <v>78</v>
      </c>
      <c r="I194" s="221">
        <v>75</v>
      </c>
      <c r="J194" s="221">
        <v>72</v>
      </c>
      <c r="K194" s="221">
        <v>69</v>
      </c>
      <c r="L194" s="221">
        <v>62</v>
      </c>
      <c r="M194" s="221">
        <v>56</v>
      </c>
      <c r="N194" s="221">
        <v>50</v>
      </c>
      <c r="O194" s="221">
        <v>47</v>
      </c>
      <c r="P194" s="221">
        <v>44</v>
      </c>
      <c r="Q194" s="221">
        <v>41</v>
      </c>
      <c r="R194" s="221">
        <v>40</v>
      </c>
      <c r="S194" s="221">
        <v>39</v>
      </c>
      <c r="T194" s="221">
        <v>39</v>
      </c>
      <c r="U194" s="221">
        <v>43</v>
      </c>
      <c r="V194" s="221">
        <v>47</v>
      </c>
      <c r="W194" s="221">
        <v>52</v>
      </c>
      <c r="X194" s="221">
        <v>56</v>
      </c>
      <c r="Y194" s="221">
        <v>59</v>
      </c>
      <c r="Z194" s="221">
        <v>63</v>
      </c>
      <c r="AA194" s="221">
        <v>66</v>
      </c>
      <c r="AB194" s="225" t="s">
        <v>881</v>
      </c>
      <c r="AC194" s="226" t="s">
        <v>947</v>
      </c>
      <c r="AD194" s="221">
        <v>199.1</v>
      </c>
      <c r="AE194" s="221">
        <v>232.7</v>
      </c>
      <c r="AF194" s="221">
        <v>226.8</v>
      </c>
      <c r="AG194" s="221">
        <v>228.2</v>
      </c>
      <c r="AH194" s="221">
        <v>177.3</v>
      </c>
      <c r="AI194" s="227"/>
      <c r="AJ194" s="227"/>
    </row>
    <row r="195" spans="1:36" ht="15.6" x14ac:dyDescent="0.35">
      <c r="A195" s="976" t="s">
        <v>173</v>
      </c>
      <c r="B195" s="217" t="s">
        <v>875</v>
      </c>
      <c r="C195" s="219" t="s">
        <v>946</v>
      </c>
      <c r="D195" s="221">
        <v>16.7</v>
      </c>
      <c r="E195" s="221">
        <v>16</v>
      </c>
      <c r="F195" s="221">
        <v>15.4</v>
      </c>
      <c r="G195" s="221">
        <v>14.8</v>
      </c>
      <c r="H195" s="221">
        <v>14.2</v>
      </c>
      <c r="I195" s="221">
        <v>14.6</v>
      </c>
      <c r="J195" s="221">
        <v>15.1</v>
      </c>
      <c r="K195" s="221">
        <v>15.6</v>
      </c>
      <c r="L195" s="221">
        <v>17.600000000000001</v>
      </c>
      <c r="M195" s="221">
        <v>19.5</v>
      </c>
      <c r="N195" s="221">
        <v>21.5</v>
      </c>
      <c r="O195" s="221">
        <v>22.9</v>
      </c>
      <c r="P195" s="221">
        <v>24.2</v>
      </c>
      <c r="Q195" s="221">
        <v>25.6</v>
      </c>
      <c r="R195" s="221">
        <v>25.6</v>
      </c>
      <c r="S195" s="221">
        <v>25.6</v>
      </c>
      <c r="T195" s="221">
        <v>25.7</v>
      </c>
      <c r="U195" s="221">
        <v>24</v>
      </c>
      <c r="V195" s="221">
        <v>22.4</v>
      </c>
      <c r="W195" s="221">
        <v>20.9</v>
      </c>
      <c r="X195" s="221">
        <v>19.899999999999999</v>
      </c>
      <c r="Y195" s="221">
        <v>19</v>
      </c>
      <c r="Z195" s="221">
        <v>18</v>
      </c>
      <c r="AA195" s="221">
        <v>17.3</v>
      </c>
      <c r="AB195" s="227"/>
      <c r="AC195" s="227"/>
      <c r="AD195" s="227">
        <v>17.399999999999999</v>
      </c>
      <c r="AE195" s="227">
        <v>21.3</v>
      </c>
      <c r="AF195" s="227">
        <v>23.7</v>
      </c>
      <c r="AG195" s="227">
        <v>23</v>
      </c>
      <c r="AH195" s="227">
        <v>18.7</v>
      </c>
      <c r="AI195" s="227"/>
      <c r="AJ195" s="227"/>
    </row>
    <row r="196" spans="1:36" ht="15.6" x14ac:dyDescent="0.35">
      <c r="A196" s="976"/>
      <c r="B196" s="217" t="s">
        <v>876</v>
      </c>
      <c r="C196" s="219" t="s">
        <v>1</v>
      </c>
      <c r="D196" s="221">
        <v>76</v>
      </c>
      <c r="E196" s="221">
        <v>78</v>
      </c>
      <c r="F196" s="221">
        <v>81</v>
      </c>
      <c r="G196" s="221">
        <v>83</v>
      </c>
      <c r="H196" s="221">
        <v>86</v>
      </c>
      <c r="I196" s="221">
        <v>86</v>
      </c>
      <c r="J196" s="221">
        <v>85</v>
      </c>
      <c r="K196" s="221">
        <v>84</v>
      </c>
      <c r="L196" s="221">
        <v>76</v>
      </c>
      <c r="M196" s="221">
        <v>69</v>
      </c>
      <c r="N196" s="221">
        <v>63</v>
      </c>
      <c r="O196" s="221">
        <v>58</v>
      </c>
      <c r="P196" s="221">
        <v>54</v>
      </c>
      <c r="Q196" s="221">
        <v>50</v>
      </c>
      <c r="R196" s="221">
        <v>50</v>
      </c>
      <c r="S196" s="221">
        <v>50</v>
      </c>
      <c r="T196" s="221">
        <v>50</v>
      </c>
      <c r="U196" s="221">
        <v>54</v>
      </c>
      <c r="V196" s="221">
        <v>59</v>
      </c>
      <c r="W196" s="221">
        <v>64</v>
      </c>
      <c r="X196" s="221">
        <v>67</v>
      </c>
      <c r="Y196" s="221">
        <v>70</v>
      </c>
      <c r="Z196" s="221">
        <v>73</v>
      </c>
      <c r="AA196" s="221">
        <v>75</v>
      </c>
      <c r="AB196" s="227"/>
      <c r="AC196" s="227"/>
      <c r="AD196" s="227"/>
      <c r="AE196" s="227">
        <v>6</v>
      </c>
      <c r="AF196" s="227" t="s">
        <v>740</v>
      </c>
      <c r="AG196" s="227"/>
      <c r="AH196" s="227"/>
      <c r="AI196" s="227"/>
      <c r="AJ196" s="227"/>
    </row>
    <row r="197" spans="1:36" ht="15.6" x14ac:dyDescent="0.35">
      <c r="A197" s="218" t="s">
        <v>174</v>
      </c>
      <c r="B197" s="217" t="s">
        <v>875</v>
      </c>
      <c r="C197" s="219" t="s">
        <v>946</v>
      </c>
      <c r="D197" s="221">
        <v>12</v>
      </c>
      <c r="E197" s="221">
        <v>11</v>
      </c>
      <c r="F197" s="221">
        <v>11</v>
      </c>
      <c r="G197" s="221">
        <v>11</v>
      </c>
      <c r="H197" s="221">
        <v>10</v>
      </c>
      <c r="I197" s="221">
        <v>10</v>
      </c>
      <c r="J197" s="221">
        <v>10</v>
      </c>
      <c r="K197" s="221">
        <v>11</v>
      </c>
      <c r="L197" s="221">
        <v>13</v>
      </c>
      <c r="M197" s="221">
        <v>14</v>
      </c>
      <c r="N197" s="221">
        <v>15</v>
      </c>
      <c r="O197" s="221">
        <v>17</v>
      </c>
      <c r="P197" s="221">
        <v>18</v>
      </c>
      <c r="Q197" s="221">
        <v>18</v>
      </c>
      <c r="R197" s="221">
        <v>18</v>
      </c>
      <c r="S197" s="221">
        <v>18</v>
      </c>
      <c r="T197" s="221">
        <v>18</v>
      </c>
      <c r="U197" s="221">
        <v>16</v>
      </c>
      <c r="V197" s="221">
        <v>15</v>
      </c>
      <c r="W197" s="221">
        <v>14</v>
      </c>
      <c r="X197" s="221">
        <v>13</v>
      </c>
      <c r="Y197" s="221">
        <v>13</v>
      </c>
      <c r="Z197" s="221">
        <v>13</v>
      </c>
      <c r="AA197" s="221">
        <v>12</v>
      </c>
      <c r="AB197" s="985" t="s">
        <v>854</v>
      </c>
      <c r="AC197" s="986"/>
      <c r="AD197" s="227"/>
      <c r="AE197" s="237" t="s">
        <v>851</v>
      </c>
      <c r="AF197" s="227">
        <v>0.2</v>
      </c>
      <c r="AG197" s="227" t="s">
        <v>852</v>
      </c>
      <c r="AH197" s="227"/>
      <c r="AI197" s="227"/>
      <c r="AJ197" s="227"/>
    </row>
    <row r="198" spans="1:36" ht="15.6" x14ac:dyDescent="0.35">
      <c r="A198" s="218" t="s">
        <v>175</v>
      </c>
      <c r="B198" s="217" t="s">
        <v>875</v>
      </c>
      <c r="C198" s="219" t="s">
        <v>946</v>
      </c>
      <c r="D198" s="221">
        <v>5.5</v>
      </c>
      <c r="E198" s="221">
        <v>5</v>
      </c>
      <c r="F198" s="221">
        <v>5.0999999999999996</v>
      </c>
      <c r="G198" s="221">
        <v>4.7</v>
      </c>
      <c r="H198" s="221">
        <v>4.3</v>
      </c>
      <c r="I198" s="221">
        <v>4.2</v>
      </c>
      <c r="J198" s="221">
        <v>4.0999999999999996</v>
      </c>
      <c r="K198" s="221">
        <v>4</v>
      </c>
      <c r="L198" s="221">
        <v>4.3</v>
      </c>
      <c r="M198" s="221">
        <v>5</v>
      </c>
      <c r="N198" s="221">
        <v>7.1</v>
      </c>
      <c r="O198" s="221">
        <v>7.7</v>
      </c>
      <c r="P198" s="221">
        <v>8.6</v>
      </c>
      <c r="Q198" s="221">
        <v>9.9</v>
      </c>
      <c r="R198" s="221">
        <v>9.6999999999999993</v>
      </c>
      <c r="S198" s="221">
        <v>9.3000000000000007</v>
      </c>
      <c r="T198" s="221">
        <v>9</v>
      </c>
      <c r="U198" s="221">
        <v>8.4</v>
      </c>
      <c r="V198" s="221">
        <v>7.4</v>
      </c>
      <c r="W198" s="221">
        <v>6.4</v>
      </c>
      <c r="X198" s="221">
        <v>6.6</v>
      </c>
      <c r="Y198" s="221">
        <v>6.2</v>
      </c>
      <c r="Z198" s="221">
        <v>5.5</v>
      </c>
      <c r="AA198" s="221">
        <v>5.5</v>
      </c>
      <c r="AB198" s="231">
        <v>2400</v>
      </c>
      <c r="AC198" s="232"/>
      <c r="AD198" s="227"/>
      <c r="AE198" s="227">
        <v>24</v>
      </c>
      <c r="AF198" s="227" t="s">
        <v>478</v>
      </c>
      <c r="AG198" s="227"/>
      <c r="AH198" s="227"/>
      <c r="AI198" s="227"/>
      <c r="AJ198" s="227"/>
    </row>
    <row r="199" spans="1:36" ht="15.6" x14ac:dyDescent="0.35">
      <c r="A199" s="218" t="s">
        <v>176</v>
      </c>
      <c r="B199" s="217" t="s">
        <v>875</v>
      </c>
      <c r="C199" s="219" t="s">
        <v>946</v>
      </c>
      <c r="D199" s="221">
        <v>1</v>
      </c>
      <c r="E199" s="221">
        <v>0.5</v>
      </c>
      <c r="F199" s="221">
        <v>0.7</v>
      </c>
      <c r="G199" s="221">
        <v>0.6</v>
      </c>
      <c r="H199" s="221">
        <v>0</v>
      </c>
      <c r="I199" s="221">
        <v>0.5</v>
      </c>
      <c r="J199" s="221">
        <v>0.5</v>
      </c>
      <c r="K199" s="221">
        <v>0.6</v>
      </c>
      <c r="L199" s="221">
        <v>1.3</v>
      </c>
      <c r="M199" s="221">
        <v>2.6</v>
      </c>
      <c r="N199" s="221">
        <v>3.1</v>
      </c>
      <c r="O199" s="221">
        <v>4.7</v>
      </c>
      <c r="P199" s="221">
        <v>5.4</v>
      </c>
      <c r="Q199" s="221">
        <v>6.1</v>
      </c>
      <c r="R199" s="221">
        <v>6.3</v>
      </c>
      <c r="S199" s="221">
        <v>5.8</v>
      </c>
      <c r="T199" s="221">
        <v>5.9</v>
      </c>
      <c r="U199" s="221">
        <v>3.3</v>
      </c>
      <c r="V199" s="221">
        <v>2.2999999999999998</v>
      </c>
      <c r="W199" s="221">
        <v>2.2999999999999998</v>
      </c>
      <c r="X199" s="221">
        <v>2.2000000000000002</v>
      </c>
      <c r="Y199" s="221">
        <v>2</v>
      </c>
      <c r="Z199" s="221">
        <v>1.6</v>
      </c>
      <c r="AA199" s="221">
        <v>1</v>
      </c>
      <c r="AB199" s="227"/>
      <c r="AC199" s="227"/>
      <c r="AD199" s="227"/>
      <c r="AE199" s="227">
        <v>6</v>
      </c>
      <c r="AF199" s="227" t="s">
        <v>472</v>
      </c>
      <c r="AG199" s="227"/>
      <c r="AH199" s="227"/>
      <c r="AI199" s="227"/>
      <c r="AJ199" s="227"/>
    </row>
    <row r="200" spans="1:36" ht="15.6" x14ac:dyDescent="0.35">
      <c r="A200" s="487" t="s">
        <v>1096</v>
      </c>
      <c r="C200" s="488" t="s">
        <v>12</v>
      </c>
      <c r="D200" s="227">
        <v>0.2</v>
      </c>
      <c r="E200" s="227">
        <v>1.8</v>
      </c>
      <c r="F200" s="227">
        <v>6.9</v>
      </c>
      <c r="G200" s="227">
        <v>12.4</v>
      </c>
      <c r="H200" s="227">
        <v>17.399999999999999</v>
      </c>
      <c r="I200" s="227">
        <v>21.3</v>
      </c>
      <c r="J200" s="227">
        <v>23.7</v>
      </c>
      <c r="K200" s="227">
        <v>23</v>
      </c>
      <c r="L200" s="227">
        <v>18.7</v>
      </c>
      <c r="M200" s="227">
        <v>12.8</v>
      </c>
      <c r="N200" s="227">
        <v>7.4</v>
      </c>
      <c r="O200" s="227">
        <v>1.9</v>
      </c>
      <c r="P200" s="227"/>
      <c r="Q200" s="227"/>
      <c r="R200" s="227"/>
      <c r="S200" s="227"/>
      <c r="T200" s="227"/>
      <c r="U200" s="227"/>
      <c r="V200" s="227"/>
      <c r="W200" s="227"/>
      <c r="X200" s="227" t="s">
        <v>106</v>
      </c>
      <c r="Y200" s="227">
        <v>1.67</v>
      </c>
      <c r="Z200" s="227">
        <v>2.33</v>
      </c>
      <c r="AA200" s="227">
        <v>3.19</v>
      </c>
      <c r="AB200" s="227">
        <v>4.0999999999999996</v>
      </c>
      <c r="AC200" s="227">
        <v>4.78</v>
      </c>
      <c r="AD200" s="227">
        <v>5.58</v>
      </c>
      <c r="AE200" s="227">
        <v>5.44</v>
      </c>
      <c r="AF200" s="227">
        <v>5.48</v>
      </c>
      <c r="AG200" s="227">
        <v>4.26</v>
      </c>
      <c r="AH200" s="227">
        <v>2.67</v>
      </c>
      <c r="AI200" s="227">
        <v>1.7</v>
      </c>
      <c r="AJ200" s="227">
        <v>1.33</v>
      </c>
    </row>
    <row r="201" spans="1:36" ht="15.6" x14ac:dyDescent="0.35">
      <c r="D201" s="227"/>
      <c r="E201" s="227"/>
      <c r="F201" s="227"/>
      <c r="G201" s="227"/>
      <c r="H201" s="227"/>
      <c r="I201" s="227"/>
      <c r="J201" s="227"/>
      <c r="K201" s="227"/>
      <c r="L201" s="227"/>
      <c r="M201" s="227"/>
      <c r="N201" s="227"/>
      <c r="O201" s="227"/>
      <c r="P201" s="227"/>
      <c r="Q201" s="227"/>
      <c r="R201" s="227"/>
      <c r="S201" s="227"/>
      <c r="T201" s="227"/>
      <c r="U201" s="227"/>
      <c r="V201" s="227"/>
      <c r="W201" s="227"/>
      <c r="X201" s="227" t="s">
        <v>107</v>
      </c>
      <c r="Y201" s="227">
        <v>0.43</v>
      </c>
      <c r="Z201" s="227">
        <v>0.44</v>
      </c>
      <c r="AA201" s="227">
        <v>0.43</v>
      </c>
      <c r="AB201" s="227">
        <v>0.44</v>
      </c>
      <c r="AC201" s="227">
        <v>0.44</v>
      </c>
      <c r="AD201" s="227">
        <v>0.49</v>
      </c>
      <c r="AE201" s="227">
        <v>0.48</v>
      </c>
      <c r="AF201" s="227">
        <v>0.55000000000000004</v>
      </c>
      <c r="AG201" s="227">
        <v>0.53</v>
      </c>
      <c r="AH201" s="227">
        <v>0.46</v>
      </c>
      <c r="AI201" s="227">
        <v>0.41</v>
      </c>
      <c r="AJ201" s="227">
        <v>0.39</v>
      </c>
    </row>
    <row r="210" spans="1:36" x14ac:dyDescent="0.25">
      <c r="A210" s="975" t="s">
        <v>818</v>
      </c>
      <c r="B210" s="975"/>
      <c r="C210" s="975"/>
      <c r="D210" s="975"/>
      <c r="E210" s="975"/>
      <c r="F210" s="975"/>
      <c r="G210" s="975"/>
      <c r="H210" s="975"/>
      <c r="I210" s="975"/>
      <c r="J210" s="975"/>
      <c r="K210" s="975"/>
      <c r="L210" s="975"/>
      <c r="M210" s="975"/>
      <c r="N210" s="975"/>
      <c r="O210" s="975"/>
      <c r="P210" s="975"/>
      <c r="Q210" s="975"/>
      <c r="R210" s="975"/>
      <c r="S210" s="975"/>
      <c r="T210" s="975"/>
      <c r="U210" s="975"/>
      <c r="V210" s="975"/>
      <c r="W210" s="975"/>
      <c r="X210" s="975"/>
      <c r="Y210" s="975"/>
      <c r="Z210" s="975"/>
      <c r="AA210" s="975"/>
    </row>
    <row r="212" spans="1:36" x14ac:dyDescent="0.25">
      <c r="A212" s="216"/>
      <c r="B212" s="217" t="s">
        <v>466</v>
      </c>
      <c r="C212" s="217" t="s">
        <v>950</v>
      </c>
      <c r="D212" s="195">
        <v>0</v>
      </c>
      <c r="E212" s="195">
        <v>1</v>
      </c>
      <c r="F212" s="195">
        <v>2</v>
      </c>
      <c r="G212" s="195">
        <v>3</v>
      </c>
      <c r="H212" s="195">
        <v>4</v>
      </c>
      <c r="I212" s="195">
        <v>5</v>
      </c>
      <c r="J212" s="195">
        <v>6</v>
      </c>
      <c r="K212" s="195">
        <v>7</v>
      </c>
      <c r="L212" s="195">
        <v>8</v>
      </c>
      <c r="M212" s="195">
        <v>9</v>
      </c>
      <c r="N212" s="195">
        <v>10</v>
      </c>
      <c r="O212" s="195">
        <v>11</v>
      </c>
      <c r="P212" s="195">
        <v>12</v>
      </c>
      <c r="Q212" s="195">
        <v>13</v>
      </c>
      <c r="R212" s="195">
        <v>14</v>
      </c>
      <c r="S212" s="195">
        <v>15</v>
      </c>
      <c r="T212" s="195">
        <v>16</v>
      </c>
      <c r="U212" s="195">
        <v>17</v>
      </c>
      <c r="V212" s="195">
        <v>18</v>
      </c>
      <c r="W212" s="195">
        <v>19</v>
      </c>
      <c r="X212" s="195">
        <v>20</v>
      </c>
      <c r="Y212" s="195">
        <v>21</v>
      </c>
      <c r="Z212" s="195">
        <v>22</v>
      </c>
      <c r="AA212" s="195">
        <v>23</v>
      </c>
      <c r="AB212" s="979" t="s">
        <v>843</v>
      </c>
      <c r="AC212" s="980"/>
      <c r="AD212" s="980"/>
      <c r="AE212" s="980"/>
      <c r="AF212" s="980"/>
      <c r="AG212" s="980"/>
      <c r="AH212" s="980"/>
      <c r="AI212" s="980"/>
      <c r="AJ212" s="980"/>
    </row>
    <row r="213" spans="1:36" ht="16.2" x14ac:dyDescent="0.35">
      <c r="A213" s="218" t="s">
        <v>167</v>
      </c>
      <c r="B213" s="217" t="s">
        <v>875</v>
      </c>
      <c r="C213" s="219" t="s">
        <v>946</v>
      </c>
      <c r="D213" s="221">
        <v>-0.8</v>
      </c>
      <c r="E213" s="221">
        <v>-0.9</v>
      </c>
      <c r="F213" s="221">
        <v>-1.5</v>
      </c>
      <c r="G213" s="221">
        <v>-1.8</v>
      </c>
      <c r="H213" s="221">
        <v>-1.5</v>
      </c>
      <c r="I213" s="221">
        <v>-1.7</v>
      </c>
      <c r="J213" s="221">
        <v>-1.7</v>
      </c>
      <c r="K213" s="221">
        <v>-1.6</v>
      </c>
      <c r="L213" s="221">
        <v>-1.3</v>
      </c>
      <c r="M213" s="221">
        <v>-0.6</v>
      </c>
      <c r="N213" s="221">
        <v>0.2</v>
      </c>
      <c r="O213" s="221">
        <v>1</v>
      </c>
      <c r="P213" s="221">
        <v>1.6</v>
      </c>
      <c r="Q213" s="221">
        <v>2.4</v>
      </c>
      <c r="R213" s="221">
        <v>2.2999999999999998</v>
      </c>
      <c r="S213" s="221">
        <v>2.2999999999999998</v>
      </c>
      <c r="T213" s="221">
        <v>2.2000000000000002</v>
      </c>
      <c r="U213" s="221">
        <v>1.1000000000000001</v>
      </c>
      <c r="V213" s="221">
        <v>0.5</v>
      </c>
      <c r="W213" s="221">
        <v>0.1</v>
      </c>
      <c r="X213" s="221">
        <v>-0.3</v>
      </c>
      <c r="Y213" s="221">
        <v>-0.4</v>
      </c>
      <c r="Z213" s="221">
        <v>-0.5</v>
      </c>
      <c r="AA213" s="221">
        <v>-0.7</v>
      </c>
      <c r="AB213" s="225" t="s">
        <v>877</v>
      </c>
      <c r="AC213" s="226" t="s">
        <v>947</v>
      </c>
      <c r="AD213" s="221">
        <v>22.9</v>
      </c>
      <c r="AE213" s="221">
        <v>35</v>
      </c>
      <c r="AF213" s="221">
        <v>51.1</v>
      </c>
      <c r="AG213" s="221">
        <v>61.6</v>
      </c>
      <c r="AH213" s="221">
        <v>41.2</v>
      </c>
      <c r="AI213" s="221">
        <v>25.1</v>
      </c>
      <c r="AJ213" s="221">
        <v>18.5</v>
      </c>
    </row>
    <row r="214" spans="1:36" ht="16.2" x14ac:dyDescent="0.35">
      <c r="A214" s="218" t="s">
        <v>168</v>
      </c>
      <c r="B214" s="217" t="s">
        <v>875</v>
      </c>
      <c r="C214" s="219" t="s">
        <v>946</v>
      </c>
      <c r="D214" s="221">
        <v>-2.2999999999999998</v>
      </c>
      <c r="E214" s="221">
        <v>-1.6</v>
      </c>
      <c r="F214" s="221">
        <v>-3</v>
      </c>
      <c r="G214" s="221">
        <v>-3.1</v>
      </c>
      <c r="H214" s="221">
        <v>-2.1</v>
      </c>
      <c r="I214" s="221">
        <v>-3.7</v>
      </c>
      <c r="J214" s="221">
        <v>-3.9</v>
      </c>
      <c r="K214" s="221">
        <v>-2.5</v>
      </c>
      <c r="L214" s="221">
        <v>-2.9</v>
      </c>
      <c r="M214" s="221">
        <v>-1.6</v>
      </c>
      <c r="N214" s="221">
        <v>0.4</v>
      </c>
      <c r="O214" s="221">
        <v>1.4</v>
      </c>
      <c r="P214" s="221">
        <v>2.6</v>
      </c>
      <c r="Q214" s="221">
        <v>3.7</v>
      </c>
      <c r="R214" s="221">
        <v>4.0999999999999996</v>
      </c>
      <c r="S214" s="221">
        <v>3.9</v>
      </c>
      <c r="T214" s="221">
        <v>3.6</v>
      </c>
      <c r="U214" s="221">
        <v>2.4</v>
      </c>
      <c r="V214" s="221">
        <v>1.1000000000000001</v>
      </c>
      <c r="W214" s="221">
        <v>1.1000000000000001</v>
      </c>
      <c r="X214" s="221">
        <v>-0.3</v>
      </c>
      <c r="Y214" s="221">
        <v>-0.7</v>
      </c>
      <c r="Z214" s="221">
        <v>-0.4</v>
      </c>
      <c r="AA214" s="221">
        <v>-2</v>
      </c>
      <c r="AB214" s="225" t="s">
        <v>878</v>
      </c>
      <c r="AC214" s="226" t="s">
        <v>947</v>
      </c>
      <c r="AD214" s="221">
        <v>39.4</v>
      </c>
      <c r="AE214" s="221">
        <v>58.5</v>
      </c>
      <c r="AF214" s="221">
        <v>77.7</v>
      </c>
      <c r="AG214" s="221">
        <v>79.7</v>
      </c>
      <c r="AH214" s="221">
        <v>67.5</v>
      </c>
      <c r="AI214" s="221">
        <v>41</v>
      </c>
      <c r="AJ214" s="221">
        <v>30.6</v>
      </c>
    </row>
    <row r="215" spans="1:36" ht="16.2" x14ac:dyDescent="0.35">
      <c r="A215" s="218" t="s">
        <v>923</v>
      </c>
      <c r="B215" s="217" t="s">
        <v>875</v>
      </c>
      <c r="C215" s="219" t="s">
        <v>946</v>
      </c>
      <c r="D215" s="221">
        <v>3.1</v>
      </c>
      <c r="E215" s="221">
        <v>2.6</v>
      </c>
      <c r="F215" s="221">
        <v>2.2000000000000002</v>
      </c>
      <c r="G215" s="221">
        <v>1.9</v>
      </c>
      <c r="H215" s="221">
        <v>2</v>
      </c>
      <c r="I215" s="221">
        <v>1.8</v>
      </c>
      <c r="J215" s="221">
        <v>1.7</v>
      </c>
      <c r="K215" s="221">
        <v>1.9</v>
      </c>
      <c r="L215" s="221">
        <v>3.1</v>
      </c>
      <c r="M215" s="221">
        <v>4.5</v>
      </c>
      <c r="N215" s="221">
        <v>5.8</v>
      </c>
      <c r="O215" s="221">
        <v>6.7</v>
      </c>
      <c r="P215" s="221">
        <v>7.3</v>
      </c>
      <c r="Q215" s="221">
        <v>8</v>
      </c>
      <c r="R215" s="221">
        <v>8.4</v>
      </c>
      <c r="S215" s="221">
        <v>8.4</v>
      </c>
      <c r="T215" s="221">
        <v>8.4</v>
      </c>
      <c r="U215" s="221">
        <v>7.6</v>
      </c>
      <c r="V215" s="221">
        <v>6.8</v>
      </c>
      <c r="W215" s="221">
        <v>6</v>
      </c>
      <c r="X215" s="221">
        <v>5.2</v>
      </c>
      <c r="Y215" s="221">
        <v>4.5999999999999996</v>
      </c>
      <c r="Z215" s="221">
        <v>4.2</v>
      </c>
      <c r="AA215" s="221">
        <v>3.6</v>
      </c>
      <c r="AB215" s="225" t="s">
        <v>879</v>
      </c>
      <c r="AC215" s="226" t="s">
        <v>947</v>
      </c>
      <c r="AD215" s="221">
        <v>70.099999999999994</v>
      </c>
      <c r="AE215" s="221">
        <v>93.5</v>
      </c>
      <c r="AF215" s="221">
        <v>101.4</v>
      </c>
      <c r="AG215" s="221">
        <v>75.7</v>
      </c>
      <c r="AH215" s="221">
        <v>102.4</v>
      </c>
      <c r="AI215" s="221">
        <v>70.099999999999994</v>
      </c>
      <c r="AJ215" s="221">
        <v>55</v>
      </c>
    </row>
    <row r="216" spans="1:36" ht="16.2" x14ac:dyDescent="0.35">
      <c r="A216" s="218" t="s">
        <v>924</v>
      </c>
      <c r="B216" s="217" t="s">
        <v>875</v>
      </c>
      <c r="C216" s="219" t="s">
        <v>946</v>
      </c>
      <c r="D216" s="221">
        <v>9.1999999999999993</v>
      </c>
      <c r="E216" s="221">
        <v>8.3000000000000007</v>
      </c>
      <c r="F216" s="221">
        <v>8.1</v>
      </c>
      <c r="G216" s="221">
        <v>7.7</v>
      </c>
      <c r="H216" s="221">
        <v>7.3</v>
      </c>
      <c r="I216" s="221">
        <v>7.6</v>
      </c>
      <c r="J216" s="221">
        <v>7.9</v>
      </c>
      <c r="K216" s="221">
        <v>8.1</v>
      </c>
      <c r="L216" s="221">
        <v>8.9</v>
      </c>
      <c r="M216" s="221">
        <v>9.9</v>
      </c>
      <c r="N216" s="221">
        <v>11.6</v>
      </c>
      <c r="O216" s="221">
        <v>12.2</v>
      </c>
      <c r="P216" s="221">
        <v>12.9</v>
      </c>
      <c r="Q216" s="221">
        <v>14</v>
      </c>
      <c r="R216" s="221">
        <v>13.7</v>
      </c>
      <c r="S216" s="221">
        <v>13.5</v>
      </c>
      <c r="T216" s="221">
        <v>13.2</v>
      </c>
      <c r="U216" s="221">
        <v>12.7</v>
      </c>
      <c r="V216" s="221">
        <v>12</v>
      </c>
      <c r="W216" s="221">
        <v>11.1</v>
      </c>
      <c r="X216" s="221">
        <v>10.7</v>
      </c>
      <c r="Y216" s="221">
        <v>10.1</v>
      </c>
      <c r="Z216" s="221">
        <v>9.5</v>
      </c>
      <c r="AA216" s="221">
        <v>9.5</v>
      </c>
      <c r="AB216" s="225" t="s">
        <v>880</v>
      </c>
      <c r="AC216" s="226" t="s">
        <v>947</v>
      </c>
      <c r="AD216" s="221">
        <v>39.4</v>
      </c>
      <c r="AE216" s="221">
        <v>58.5</v>
      </c>
      <c r="AF216" s="221">
        <v>77.7</v>
      </c>
      <c r="AG216" s="221">
        <v>79.7</v>
      </c>
      <c r="AH216" s="221">
        <v>67.5</v>
      </c>
      <c r="AI216" s="221">
        <v>41</v>
      </c>
      <c r="AJ216" s="221">
        <v>30.6</v>
      </c>
    </row>
    <row r="217" spans="1:36" ht="16.2" x14ac:dyDescent="0.35">
      <c r="A217" s="976" t="s">
        <v>169</v>
      </c>
      <c r="B217" s="217" t="s">
        <v>875</v>
      </c>
      <c r="C217" s="219" t="s">
        <v>946</v>
      </c>
      <c r="D217" s="221">
        <v>11.8</v>
      </c>
      <c r="E217" s="221">
        <v>11.2</v>
      </c>
      <c r="F217" s="221">
        <v>10.9</v>
      </c>
      <c r="G217" s="221">
        <v>10.6</v>
      </c>
      <c r="H217" s="221">
        <v>10.3</v>
      </c>
      <c r="I217" s="221">
        <v>10.7</v>
      </c>
      <c r="J217" s="221">
        <v>11.4</v>
      </c>
      <c r="K217" s="221">
        <v>12.2</v>
      </c>
      <c r="L217" s="221">
        <v>13.3</v>
      </c>
      <c r="M217" s="221">
        <v>14.5</v>
      </c>
      <c r="N217" s="221">
        <v>15.5</v>
      </c>
      <c r="O217" s="221">
        <v>16.5</v>
      </c>
      <c r="P217" s="221">
        <v>17.100000000000001</v>
      </c>
      <c r="Q217" s="221">
        <v>17.899999999999999</v>
      </c>
      <c r="R217" s="221">
        <v>18.399999999999999</v>
      </c>
      <c r="S217" s="221">
        <v>18.3</v>
      </c>
      <c r="T217" s="221">
        <v>18.2</v>
      </c>
      <c r="U217" s="221">
        <v>17.899999999999999</v>
      </c>
      <c r="V217" s="221">
        <v>17.2</v>
      </c>
      <c r="W217" s="221">
        <v>16.600000000000001</v>
      </c>
      <c r="X217" s="221">
        <v>15.7</v>
      </c>
      <c r="Y217" s="221">
        <v>14.9</v>
      </c>
      <c r="Z217" s="221">
        <v>13.9</v>
      </c>
      <c r="AA217" s="221">
        <v>13</v>
      </c>
      <c r="AB217" s="225" t="s">
        <v>881</v>
      </c>
      <c r="AC217" s="226" t="s">
        <v>947</v>
      </c>
      <c r="AD217" s="221">
        <v>49.6</v>
      </c>
      <c r="AE217" s="221">
        <v>81</v>
      </c>
      <c r="AF217" s="221">
        <v>122.6</v>
      </c>
      <c r="AG217" s="221">
        <v>140.6</v>
      </c>
      <c r="AH217" s="221">
        <v>97.5</v>
      </c>
      <c r="AI217" s="221">
        <v>53.7</v>
      </c>
      <c r="AJ217" s="221">
        <v>38.1</v>
      </c>
    </row>
    <row r="218" spans="1:36" ht="15.6" x14ac:dyDescent="0.35">
      <c r="A218" s="976"/>
      <c r="B218" s="217" t="s">
        <v>876</v>
      </c>
      <c r="C218" s="219" t="s">
        <v>1</v>
      </c>
      <c r="D218" s="221">
        <v>76.900000000000006</v>
      </c>
      <c r="E218" s="221">
        <v>78.900000000000006</v>
      </c>
      <c r="F218" s="221">
        <v>79.599999999999994</v>
      </c>
      <c r="G218" s="221">
        <v>81.2</v>
      </c>
      <c r="H218" s="221">
        <v>81.900000000000006</v>
      </c>
      <c r="I218" s="221">
        <v>80.7</v>
      </c>
      <c r="J218" s="221">
        <v>79.2</v>
      </c>
      <c r="K218" s="221">
        <v>76.900000000000006</v>
      </c>
      <c r="L218" s="221">
        <v>73.8</v>
      </c>
      <c r="M218" s="221">
        <v>69</v>
      </c>
      <c r="N218" s="221">
        <v>64.400000000000006</v>
      </c>
      <c r="O218" s="221">
        <v>61</v>
      </c>
      <c r="P218" s="221">
        <v>59.3</v>
      </c>
      <c r="Q218" s="221">
        <v>57.2</v>
      </c>
      <c r="R218" s="221">
        <v>53.9</v>
      </c>
      <c r="S218" s="221">
        <v>54.1</v>
      </c>
      <c r="T218" s="221">
        <v>54.7</v>
      </c>
      <c r="U218" s="221">
        <v>55.8</v>
      </c>
      <c r="V218" s="221">
        <v>58.1</v>
      </c>
      <c r="W218" s="221">
        <v>60.5</v>
      </c>
      <c r="X218" s="221">
        <v>63.7</v>
      </c>
      <c r="Y218" s="221">
        <v>67.2</v>
      </c>
      <c r="Z218" s="221">
        <v>70.2</v>
      </c>
      <c r="AA218" s="221">
        <v>74.3</v>
      </c>
      <c r="AB218" s="227"/>
      <c r="AC218" s="443" t="s">
        <v>340</v>
      </c>
      <c r="AD218" s="443">
        <v>-0.4</v>
      </c>
      <c r="AE218" s="443">
        <v>0.2</v>
      </c>
      <c r="AF218" s="443">
        <v>4.5999999999999996</v>
      </c>
      <c r="AG218" s="443">
        <v>10.4</v>
      </c>
      <c r="AH218" s="443">
        <v>11.2</v>
      </c>
      <c r="AI218" s="443">
        <v>5.0999999999999996</v>
      </c>
      <c r="AJ218" s="443">
        <v>0.4</v>
      </c>
    </row>
    <row r="219" spans="1:36" ht="15.6" x14ac:dyDescent="0.35">
      <c r="A219" s="976" t="s">
        <v>170</v>
      </c>
      <c r="B219" s="217" t="s">
        <v>875</v>
      </c>
      <c r="C219" s="219" t="s">
        <v>946</v>
      </c>
      <c r="D219" s="221">
        <v>15.4</v>
      </c>
      <c r="E219" s="221">
        <v>15.7</v>
      </c>
      <c r="F219" s="221">
        <v>14.5</v>
      </c>
      <c r="G219" s="221">
        <v>13.9</v>
      </c>
      <c r="H219" s="221">
        <v>14.3</v>
      </c>
      <c r="I219" s="221">
        <v>13.7</v>
      </c>
      <c r="J219" s="221">
        <v>15.5</v>
      </c>
      <c r="K219" s="221">
        <v>17.2</v>
      </c>
      <c r="L219" s="221">
        <v>18.3</v>
      </c>
      <c r="M219" s="221">
        <v>19.5</v>
      </c>
      <c r="N219" s="221">
        <v>20.7</v>
      </c>
      <c r="O219" s="221">
        <v>22.2</v>
      </c>
      <c r="P219" s="221">
        <v>23.2</v>
      </c>
      <c r="Q219" s="221">
        <v>22.7</v>
      </c>
      <c r="R219" s="221">
        <v>23.7</v>
      </c>
      <c r="S219" s="221">
        <v>23.6</v>
      </c>
      <c r="T219" s="221">
        <v>22.9</v>
      </c>
      <c r="U219" s="221">
        <v>22.5</v>
      </c>
      <c r="V219" s="221">
        <v>21.8</v>
      </c>
      <c r="W219" s="221">
        <v>20.8</v>
      </c>
      <c r="X219" s="221">
        <v>18.7</v>
      </c>
      <c r="Y219" s="221">
        <v>18.100000000000001</v>
      </c>
      <c r="Z219" s="221">
        <v>17.899999999999999</v>
      </c>
      <c r="AA219" s="221">
        <v>16.3</v>
      </c>
      <c r="AB219" s="977" t="s">
        <v>853</v>
      </c>
      <c r="AC219" s="978"/>
      <c r="AD219" s="978"/>
      <c r="AE219" s="978"/>
      <c r="AF219" s="978"/>
      <c r="AG219" s="978"/>
      <c r="AH219" s="978"/>
      <c r="AI219" s="978"/>
      <c r="AJ219" s="978"/>
    </row>
    <row r="220" spans="1:36" ht="16.2" x14ac:dyDescent="0.35">
      <c r="A220" s="976"/>
      <c r="B220" s="217" t="s">
        <v>876</v>
      </c>
      <c r="C220" s="219" t="s">
        <v>1</v>
      </c>
      <c r="D220" s="221">
        <v>85.6</v>
      </c>
      <c r="E220" s="221">
        <v>78.8</v>
      </c>
      <c r="F220" s="221">
        <v>86.4</v>
      </c>
      <c r="G220" s="221">
        <v>89.7</v>
      </c>
      <c r="H220" s="221">
        <v>83.5</v>
      </c>
      <c r="I220" s="221">
        <v>91.8</v>
      </c>
      <c r="J220" s="221">
        <v>86.9</v>
      </c>
      <c r="K220" s="221">
        <v>74.400000000000006</v>
      </c>
      <c r="L220" s="221">
        <v>75.599999999999994</v>
      </c>
      <c r="M220" s="221">
        <v>72.400000000000006</v>
      </c>
      <c r="N220" s="221">
        <v>63.4</v>
      </c>
      <c r="O220" s="221">
        <v>62.2</v>
      </c>
      <c r="P220" s="221">
        <v>59.2</v>
      </c>
      <c r="Q220" s="221">
        <v>56</v>
      </c>
      <c r="R220" s="221">
        <v>56.4</v>
      </c>
      <c r="S220" s="221">
        <v>56.5</v>
      </c>
      <c r="T220" s="221">
        <v>52</v>
      </c>
      <c r="U220" s="221">
        <v>58.6</v>
      </c>
      <c r="V220" s="221">
        <v>62</v>
      </c>
      <c r="W220" s="221">
        <v>61.9</v>
      </c>
      <c r="X220" s="221">
        <v>75.400000000000006</v>
      </c>
      <c r="Y220" s="221">
        <v>75.099999999999994</v>
      </c>
      <c r="Z220" s="221">
        <v>70.2</v>
      </c>
      <c r="AA220" s="221">
        <v>82</v>
      </c>
      <c r="AB220" s="225" t="s">
        <v>877</v>
      </c>
      <c r="AC220" s="226" t="s">
        <v>947</v>
      </c>
      <c r="AD220" s="221">
        <v>76.400000000000006</v>
      </c>
      <c r="AE220" s="221">
        <v>81.8</v>
      </c>
      <c r="AF220" s="221">
        <v>81.3</v>
      </c>
      <c r="AG220" s="221">
        <v>75.3</v>
      </c>
      <c r="AH220" s="221">
        <v>59.9</v>
      </c>
      <c r="AI220" s="227"/>
      <c r="AJ220" s="227"/>
    </row>
    <row r="221" spans="1:36" ht="16.2" x14ac:dyDescent="0.35">
      <c r="A221" s="976" t="s">
        <v>171</v>
      </c>
      <c r="B221" s="217" t="s">
        <v>875</v>
      </c>
      <c r="C221" s="219" t="s">
        <v>946</v>
      </c>
      <c r="D221" s="221">
        <v>17.5</v>
      </c>
      <c r="E221" s="221">
        <v>17.100000000000001</v>
      </c>
      <c r="F221" s="221">
        <v>16.7</v>
      </c>
      <c r="G221" s="221">
        <v>16.3</v>
      </c>
      <c r="H221" s="221">
        <v>15.8</v>
      </c>
      <c r="I221" s="221">
        <v>16.600000000000001</v>
      </c>
      <c r="J221" s="221">
        <v>17.399999999999999</v>
      </c>
      <c r="K221" s="221">
        <v>18.100000000000001</v>
      </c>
      <c r="L221" s="221">
        <v>19.5</v>
      </c>
      <c r="M221" s="221">
        <v>20.8</v>
      </c>
      <c r="N221" s="221">
        <v>22.1</v>
      </c>
      <c r="O221" s="221">
        <v>22.8</v>
      </c>
      <c r="P221" s="221">
        <v>23.4</v>
      </c>
      <c r="Q221" s="221">
        <v>24</v>
      </c>
      <c r="R221" s="221">
        <v>23.9</v>
      </c>
      <c r="S221" s="221">
        <v>23.7</v>
      </c>
      <c r="T221" s="221">
        <v>23.5</v>
      </c>
      <c r="U221" s="221">
        <v>22.9</v>
      </c>
      <c r="V221" s="221">
        <v>22.2</v>
      </c>
      <c r="W221" s="221">
        <v>21.5</v>
      </c>
      <c r="X221" s="221">
        <v>20.5</v>
      </c>
      <c r="Y221" s="221">
        <v>19.5</v>
      </c>
      <c r="Z221" s="221">
        <v>18.600000000000001</v>
      </c>
      <c r="AA221" s="221">
        <v>18.100000000000001</v>
      </c>
      <c r="AB221" s="225" t="s">
        <v>878</v>
      </c>
      <c r="AC221" s="226" t="s">
        <v>947</v>
      </c>
      <c r="AD221" s="221">
        <v>103.9</v>
      </c>
      <c r="AE221" s="221">
        <v>113.4</v>
      </c>
      <c r="AF221" s="221">
        <v>115.9</v>
      </c>
      <c r="AG221" s="221">
        <v>119.4</v>
      </c>
      <c r="AH221" s="221">
        <v>96.7</v>
      </c>
      <c r="AI221" s="227"/>
      <c r="AJ221" s="227"/>
    </row>
    <row r="222" spans="1:36" ht="16.2" x14ac:dyDescent="0.35">
      <c r="A222" s="976"/>
      <c r="B222" s="217" t="s">
        <v>876</v>
      </c>
      <c r="C222" s="219" t="s">
        <v>1</v>
      </c>
      <c r="D222" s="221">
        <v>77.7</v>
      </c>
      <c r="E222" s="221">
        <v>78.5</v>
      </c>
      <c r="F222" s="221">
        <v>80.599999999999994</v>
      </c>
      <c r="G222" s="221">
        <v>82.5</v>
      </c>
      <c r="H222" s="221">
        <v>84.4</v>
      </c>
      <c r="I222" s="221">
        <v>81.900000000000006</v>
      </c>
      <c r="J222" s="221">
        <v>79.2</v>
      </c>
      <c r="K222" s="221">
        <v>76.599999999999994</v>
      </c>
      <c r="L222" s="221">
        <v>71.5</v>
      </c>
      <c r="M222" s="221">
        <v>66.8</v>
      </c>
      <c r="N222" s="221">
        <v>62.6</v>
      </c>
      <c r="O222" s="221">
        <v>59.9</v>
      </c>
      <c r="P222" s="221">
        <v>57.5</v>
      </c>
      <c r="Q222" s="221">
        <v>55</v>
      </c>
      <c r="R222" s="221">
        <v>55.9</v>
      </c>
      <c r="S222" s="221">
        <v>56.7</v>
      </c>
      <c r="T222" s="221">
        <v>57.6</v>
      </c>
      <c r="U222" s="221">
        <v>60</v>
      </c>
      <c r="V222" s="221">
        <v>62.6</v>
      </c>
      <c r="W222" s="221">
        <v>65.2</v>
      </c>
      <c r="X222" s="221">
        <v>68.2</v>
      </c>
      <c r="Y222" s="221">
        <v>71.599999999999994</v>
      </c>
      <c r="Z222" s="221">
        <v>74.7</v>
      </c>
      <c r="AA222" s="221">
        <v>75.8</v>
      </c>
      <c r="AB222" s="225" t="s">
        <v>879</v>
      </c>
      <c r="AC222" s="226" t="s">
        <v>947</v>
      </c>
      <c r="AD222" s="221">
        <v>85.4</v>
      </c>
      <c r="AE222" s="221">
        <v>89.2</v>
      </c>
      <c r="AF222" s="221">
        <v>93.7</v>
      </c>
      <c r="AG222" s="221">
        <v>116</v>
      </c>
      <c r="AH222" s="221">
        <v>119.2</v>
      </c>
      <c r="AI222" s="227"/>
      <c r="AJ222" s="227"/>
    </row>
    <row r="223" spans="1:36" ht="16.2" x14ac:dyDescent="0.35">
      <c r="A223" s="976" t="s">
        <v>172</v>
      </c>
      <c r="B223" s="217" t="s">
        <v>875</v>
      </c>
      <c r="C223" s="219" t="s">
        <v>946</v>
      </c>
      <c r="D223" s="221">
        <v>17.399999999999999</v>
      </c>
      <c r="E223" s="221">
        <v>16.399999999999999</v>
      </c>
      <c r="F223" s="221">
        <v>16.100000000000001</v>
      </c>
      <c r="G223" s="221">
        <v>15.6</v>
      </c>
      <c r="H223" s="221">
        <v>15</v>
      </c>
      <c r="I223" s="221">
        <v>15.6</v>
      </c>
      <c r="J223" s="221">
        <v>16.5</v>
      </c>
      <c r="K223" s="221">
        <v>17.3</v>
      </c>
      <c r="L223" s="221">
        <v>18.399999999999999</v>
      </c>
      <c r="M223" s="221">
        <v>20.2</v>
      </c>
      <c r="N223" s="221">
        <v>22.4</v>
      </c>
      <c r="O223" s="221">
        <v>23</v>
      </c>
      <c r="P223" s="221">
        <v>23.9</v>
      </c>
      <c r="Q223" s="221">
        <v>24.9</v>
      </c>
      <c r="R223" s="221">
        <v>24.8</v>
      </c>
      <c r="S223" s="221">
        <v>24.6</v>
      </c>
      <c r="T223" s="221">
        <v>24.5</v>
      </c>
      <c r="U223" s="221">
        <v>23.6</v>
      </c>
      <c r="V223" s="221">
        <v>22.6</v>
      </c>
      <c r="W223" s="221">
        <v>21.4</v>
      </c>
      <c r="X223" s="221">
        <v>21</v>
      </c>
      <c r="Y223" s="221">
        <v>20.3</v>
      </c>
      <c r="Z223" s="221">
        <v>18.399999999999999</v>
      </c>
      <c r="AA223" s="221">
        <v>18</v>
      </c>
      <c r="AB223" s="225" t="s">
        <v>880</v>
      </c>
      <c r="AC223" s="226" t="s">
        <v>947</v>
      </c>
      <c r="AD223" s="221">
        <v>103.9</v>
      </c>
      <c r="AE223" s="221">
        <v>113.4</v>
      </c>
      <c r="AF223" s="221">
        <v>115.9</v>
      </c>
      <c r="AG223" s="221">
        <v>119.4</v>
      </c>
      <c r="AH223" s="221">
        <v>96.7</v>
      </c>
      <c r="AI223" s="227"/>
      <c r="AJ223" s="227"/>
    </row>
    <row r="224" spans="1:36" ht="16.2" x14ac:dyDescent="0.35">
      <c r="A224" s="976"/>
      <c r="B224" s="217" t="s">
        <v>876</v>
      </c>
      <c r="C224" s="219" t="s">
        <v>1</v>
      </c>
      <c r="D224" s="221">
        <v>69.8</v>
      </c>
      <c r="E224" s="221">
        <v>73.400000000000006</v>
      </c>
      <c r="F224" s="221">
        <v>74.5</v>
      </c>
      <c r="G224" s="221">
        <v>76.5</v>
      </c>
      <c r="H224" s="221">
        <v>79.400000000000006</v>
      </c>
      <c r="I224" s="221">
        <v>77.900000000000006</v>
      </c>
      <c r="J224" s="221">
        <v>75.7</v>
      </c>
      <c r="K224" s="221">
        <v>72.599999999999994</v>
      </c>
      <c r="L224" s="221">
        <v>68.7</v>
      </c>
      <c r="M224" s="221">
        <v>62.7</v>
      </c>
      <c r="N224" s="221">
        <v>55.9</v>
      </c>
      <c r="O224" s="221">
        <v>53.3</v>
      </c>
      <c r="P224" s="221">
        <v>50.2</v>
      </c>
      <c r="Q224" s="221">
        <v>46.5</v>
      </c>
      <c r="R224" s="221">
        <v>46.5</v>
      </c>
      <c r="S224" s="221">
        <v>46.5</v>
      </c>
      <c r="T224" s="221">
        <v>46.3</v>
      </c>
      <c r="U224" s="221">
        <v>49</v>
      </c>
      <c r="V224" s="221">
        <v>53.1</v>
      </c>
      <c r="W224" s="221">
        <v>57.5</v>
      </c>
      <c r="X224" s="221">
        <v>58.7</v>
      </c>
      <c r="Y224" s="221">
        <v>60.2</v>
      </c>
      <c r="Z224" s="221">
        <v>66</v>
      </c>
      <c r="AA224" s="221">
        <v>67.400000000000006</v>
      </c>
      <c r="AB224" s="225" t="s">
        <v>881</v>
      </c>
      <c r="AC224" s="226" t="s">
        <v>947</v>
      </c>
      <c r="AD224" s="221">
        <v>186.2</v>
      </c>
      <c r="AE224" s="221">
        <v>201.9</v>
      </c>
      <c r="AF224" s="221">
        <v>207.5</v>
      </c>
      <c r="AG224" s="221">
        <v>209.6</v>
      </c>
      <c r="AH224" s="221">
        <v>156.80000000000001</v>
      </c>
      <c r="AI224" s="227"/>
      <c r="AJ224" s="227"/>
    </row>
    <row r="225" spans="1:36" ht="15.6" x14ac:dyDescent="0.35">
      <c r="A225" s="976" t="s">
        <v>173</v>
      </c>
      <c r="B225" s="217" t="s">
        <v>875</v>
      </c>
      <c r="C225" s="219" t="s">
        <v>946</v>
      </c>
      <c r="D225" s="221">
        <v>14.1</v>
      </c>
      <c r="E225" s="221">
        <v>13.5</v>
      </c>
      <c r="F225" s="221">
        <v>13.2</v>
      </c>
      <c r="G225" s="221">
        <v>12.8</v>
      </c>
      <c r="H225" s="221">
        <v>12.4</v>
      </c>
      <c r="I225" s="221">
        <v>12.6</v>
      </c>
      <c r="J225" s="221">
        <v>12.8</v>
      </c>
      <c r="K225" s="221">
        <v>13.1</v>
      </c>
      <c r="L225" s="221">
        <v>14.7</v>
      </c>
      <c r="M225" s="221">
        <v>16.5</v>
      </c>
      <c r="N225" s="221">
        <v>18.3</v>
      </c>
      <c r="O225" s="221">
        <v>19.399999999999999</v>
      </c>
      <c r="P225" s="221">
        <v>20.5</v>
      </c>
      <c r="Q225" s="221">
        <v>21.6</v>
      </c>
      <c r="R225" s="221">
        <v>21.4</v>
      </c>
      <c r="S225" s="221">
        <v>21.3</v>
      </c>
      <c r="T225" s="221">
        <v>21.2</v>
      </c>
      <c r="U225" s="221">
        <v>20</v>
      </c>
      <c r="V225" s="221">
        <v>18.8</v>
      </c>
      <c r="W225" s="221">
        <v>17.600000000000001</v>
      </c>
      <c r="X225" s="221">
        <v>16.8</v>
      </c>
      <c r="Y225" s="221">
        <v>16</v>
      </c>
      <c r="Z225" s="221">
        <v>15.2</v>
      </c>
      <c r="AA225" s="221">
        <v>14.6</v>
      </c>
      <c r="AB225" s="227"/>
      <c r="AC225" s="227"/>
      <c r="AD225" s="227">
        <v>15.3</v>
      </c>
      <c r="AE225" s="227">
        <v>18.7</v>
      </c>
      <c r="AF225" s="227">
        <v>21.1</v>
      </c>
      <c r="AG225" s="227">
        <v>20.7</v>
      </c>
      <c r="AH225" s="227">
        <v>16.5</v>
      </c>
      <c r="AI225" s="227"/>
      <c r="AJ225" s="227"/>
    </row>
    <row r="226" spans="1:36" ht="15.6" x14ac:dyDescent="0.35">
      <c r="A226" s="976"/>
      <c r="B226" s="217" t="s">
        <v>876</v>
      </c>
      <c r="C226" s="219" t="s">
        <v>1</v>
      </c>
      <c r="D226" s="221">
        <v>72</v>
      </c>
      <c r="E226" s="221">
        <v>74.3</v>
      </c>
      <c r="F226" s="221">
        <v>75.5</v>
      </c>
      <c r="G226" s="221">
        <v>77</v>
      </c>
      <c r="H226" s="221">
        <v>78.3</v>
      </c>
      <c r="I226" s="221">
        <v>77.7</v>
      </c>
      <c r="J226" s="221">
        <v>77</v>
      </c>
      <c r="K226" s="221">
        <v>76.2</v>
      </c>
      <c r="L226" s="221">
        <v>69.599999999999994</v>
      </c>
      <c r="M226" s="221">
        <v>63</v>
      </c>
      <c r="N226" s="221">
        <v>57.6</v>
      </c>
      <c r="O226" s="221">
        <v>52.8</v>
      </c>
      <c r="P226" s="221">
        <v>48.8</v>
      </c>
      <c r="Q226" s="221">
        <v>45.4</v>
      </c>
      <c r="R226" s="221">
        <v>46</v>
      </c>
      <c r="S226" s="221">
        <v>46.9</v>
      </c>
      <c r="T226" s="221">
        <v>48</v>
      </c>
      <c r="U226" s="221">
        <v>51.6</v>
      </c>
      <c r="V226" s="221">
        <v>55.9</v>
      </c>
      <c r="W226" s="221">
        <v>60.4</v>
      </c>
      <c r="X226" s="221">
        <v>62.9</v>
      </c>
      <c r="Y226" s="221">
        <v>65.3</v>
      </c>
      <c r="Z226" s="221">
        <v>67.7</v>
      </c>
      <c r="AA226" s="221">
        <v>70</v>
      </c>
      <c r="AB226" s="227"/>
      <c r="AC226" s="227"/>
      <c r="AD226" s="227"/>
      <c r="AE226" s="227">
        <v>7</v>
      </c>
      <c r="AF226" s="227" t="s">
        <v>740</v>
      </c>
      <c r="AG226" s="227"/>
      <c r="AH226" s="227"/>
      <c r="AI226" s="227"/>
      <c r="AJ226" s="227"/>
    </row>
    <row r="227" spans="1:36" ht="15.6" x14ac:dyDescent="0.35">
      <c r="A227" s="218" t="s">
        <v>174</v>
      </c>
      <c r="B227" s="217" t="s">
        <v>875</v>
      </c>
      <c r="C227" s="219" t="s">
        <v>946</v>
      </c>
      <c r="D227" s="221">
        <v>8.6</v>
      </c>
      <c r="E227" s="221">
        <v>9.1999999999999993</v>
      </c>
      <c r="F227" s="221">
        <v>7.7</v>
      </c>
      <c r="G227" s="221">
        <v>7.6</v>
      </c>
      <c r="H227" s="221">
        <v>8.1</v>
      </c>
      <c r="I227" s="221">
        <v>6.9</v>
      </c>
      <c r="J227" s="221">
        <v>6.6</v>
      </c>
      <c r="K227" s="221">
        <v>8.4</v>
      </c>
      <c r="L227" s="221">
        <v>9.3000000000000007</v>
      </c>
      <c r="M227" s="221">
        <v>11</v>
      </c>
      <c r="N227" s="221">
        <v>12.5</v>
      </c>
      <c r="O227" s="221">
        <v>14.3</v>
      </c>
      <c r="P227" s="221">
        <v>15.5</v>
      </c>
      <c r="Q227" s="221">
        <v>16</v>
      </c>
      <c r="R227" s="221">
        <v>16.7</v>
      </c>
      <c r="S227" s="221">
        <v>16.399999999999999</v>
      </c>
      <c r="T227" s="221">
        <v>15.6</v>
      </c>
      <c r="U227" s="221">
        <v>13.4</v>
      </c>
      <c r="V227" s="221">
        <v>12.1</v>
      </c>
      <c r="W227" s="221">
        <v>12</v>
      </c>
      <c r="X227" s="221">
        <v>10.5</v>
      </c>
      <c r="Y227" s="221">
        <v>9.8000000000000007</v>
      </c>
      <c r="Z227" s="221">
        <v>10.3</v>
      </c>
      <c r="AA227" s="221">
        <v>8.6</v>
      </c>
      <c r="AB227" s="985" t="s">
        <v>854</v>
      </c>
      <c r="AC227" s="986"/>
      <c r="AD227" s="227"/>
      <c r="AE227" s="237" t="s">
        <v>851</v>
      </c>
      <c r="AF227" s="227">
        <v>-0.4</v>
      </c>
      <c r="AG227" s="227" t="s">
        <v>852</v>
      </c>
      <c r="AH227" s="227"/>
      <c r="AI227" s="227"/>
      <c r="AJ227" s="227"/>
    </row>
    <row r="228" spans="1:36" ht="15.6" x14ac:dyDescent="0.35">
      <c r="A228" s="218" t="s">
        <v>175</v>
      </c>
      <c r="B228" s="217" t="s">
        <v>875</v>
      </c>
      <c r="C228" s="219" t="s">
        <v>946</v>
      </c>
      <c r="D228" s="221">
        <v>3.9</v>
      </c>
      <c r="E228" s="221">
        <v>3.7</v>
      </c>
      <c r="F228" s="221">
        <v>3.2</v>
      </c>
      <c r="G228" s="221">
        <v>3.1</v>
      </c>
      <c r="H228" s="221">
        <v>2.9</v>
      </c>
      <c r="I228" s="221">
        <v>2.6</v>
      </c>
      <c r="J228" s="221">
        <v>2.4</v>
      </c>
      <c r="K228" s="221">
        <v>2.8</v>
      </c>
      <c r="L228" s="221">
        <v>3.6</v>
      </c>
      <c r="M228" s="221">
        <v>4.5999999999999996</v>
      </c>
      <c r="N228" s="221">
        <v>5.7</v>
      </c>
      <c r="O228" s="221">
        <v>6.5</v>
      </c>
      <c r="P228" s="221">
        <v>7.4</v>
      </c>
      <c r="Q228" s="221">
        <v>8.1999999999999993</v>
      </c>
      <c r="R228" s="221">
        <v>8.3000000000000007</v>
      </c>
      <c r="S228" s="221">
        <v>8.1999999999999993</v>
      </c>
      <c r="T228" s="221">
        <v>7.6</v>
      </c>
      <c r="U228" s="221">
        <v>6.5</v>
      </c>
      <c r="V228" s="221">
        <v>6</v>
      </c>
      <c r="W228" s="221">
        <v>5.9</v>
      </c>
      <c r="X228" s="221">
        <v>5.0999999999999996</v>
      </c>
      <c r="Y228" s="221">
        <v>4.8</v>
      </c>
      <c r="Z228" s="221">
        <v>4.8</v>
      </c>
      <c r="AA228" s="221">
        <v>4.0999999999999996</v>
      </c>
      <c r="AB228" s="231">
        <v>2900</v>
      </c>
      <c r="AC228" s="232"/>
      <c r="AD228" s="227"/>
      <c r="AE228" s="227">
        <v>15</v>
      </c>
      <c r="AF228" s="227" t="s">
        <v>478</v>
      </c>
      <c r="AG228" s="227"/>
      <c r="AH228" s="227"/>
      <c r="AI228" s="227"/>
      <c r="AJ228" s="227"/>
    </row>
    <row r="229" spans="1:36" ht="15.6" x14ac:dyDescent="0.35">
      <c r="A229" s="218" t="s">
        <v>176</v>
      </c>
      <c r="B229" s="217" t="s">
        <v>875</v>
      </c>
      <c r="C229" s="219" t="s">
        <v>946</v>
      </c>
      <c r="D229" s="221">
        <v>0.4</v>
      </c>
      <c r="E229" s="221">
        <v>0.1</v>
      </c>
      <c r="F229" s="221">
        <v>0.1</v>
      </c>
      <c r="G229" s="221">
        <v>0</v>
      </c>
      <c r="H229" s="221">
        <v>-0.2</v>
      </c>
      <c r="I229" s="221">
        <v>-0.1</v>
      </c>
      <c r="J229" s="221">
        <v>-0.3</v>
      </c>
      <c r="K229" s="221">
        <v>-0.2</v>
      </c>
      <c r="L229" s="221">
        <v>-0.1</v>
      </c>
      <c r="M229" s="221">
        <v>0.5</v>
      </c>
      <c r="N229" s="221">
        <v>1.3</v>
      </c>
      <c r="O229" s="221">
        <v>2.2000000000000002</v>
      </c>
      <c r="P229" s="221">
        <v>1.8</v>
      </c>
      <c r="Q229" s="221">
        <v>2.7</v>
      </c>
      <c r="R229" s="221">
        <v>3.1</v>
      </c>
      <c r="S229" s="221">
        <v>2.8</v>
      </c>
      <c r="T229" s="221">
        <v>1.9</v>
      </c>
      <c r="U229" s="221">
        <v>1.6</v>
      </c>
      <c r="V229" s="221">
        <v>1.3</v>
      </c>
      <c r="W229" s="221">
        <v>1.1000000000000001</v>
      </c>
      <c r="X229" s="221">
        <v>0.7</v>
      </c>
      <c r="Y229" s="221">
        <v>0.7</v>
      </c>
      <c r="Z229" s="221">
        <v>0.4</v>
      </c>
      <c r="AA229" s="221">
        <v>0.4</v>
      </c>
      <c r="AB229" s="227"/>
      <c r="AC229" s="227"/>
      <c r="AD229" s="227"/>
      <c r="AE229" s="227">
        <v>23</v>
      </c>
      <c r="AF229" s="227" t="s">
        <v>472</v>
      </c>
      <c r="AG229" s="227"/>
      <c r="AH229" s="227"/>
      <c r="AI229" s="227"/>
      <c r="AJ229" s="227"/>
    </row>
    <row r="230" spans="1:36" ht="15.6" x14ac:dyDescent="0.35">
      <c r="A230" s="487" t="s">
        <v>1096</v>
      </c>
      <c r="C230" s="488" t="s">
        <v>12</v>
      </c>
      <c r="D230" s="227">
        <v>-0.4</v>
      </c>
      <c r="E230" s="227">
        <v>0.2</v>
      </c>
      <c r="F230" s="227">
        <v>4.5999999999999996</v>
      </c>
      <c r="G230" s="227">
        <v>10.4</v>
      </c>
      <c r="H230" s="227">
        <v>15.3</v>
      </c>
      <c r="I230" s="227">
        <v>18.7</v>
      </c>
      <c r="J230" s="227">
        <v>21.1</v>
      </c>
      <c r="K230" s="227">
        <v>20.7</v>
      </c>
      <c r="L230" s="227">
        <v>16.5</v>
      </c>
      <c r="M230" s="227">
        <v>11.2</v>
      </c>
      <c r="N230" s="227">
        <v>5.0999999999999996</v>
      </c>
      <c r="O230" s="227">
        <v>0.4</v>
      </c>
      <c r="P230" s="227"/>
      <c r="Q230" s="227"/>
      <c r="R230" s="227"/>
      <c r="S230" s="227"/>
      <c r="T230" s="227"/>
      <c r="U230" s="227"/>
      <c r="V230" s="227"/>
      <c r="W230" s="227"/>
      <c r="X230" s="227" t="s">
        <v>106</v>
      </c>
      <c r="Y230" s="227">
        <v>1.19</v>
      </c>
      <c r="Z230" s="227">
        <v>1.94</v>
      </c>
      <c r="AA230" s="227">
        <v>2.94</v>
      </c>
      <c r="AB230" s="227">
        <v>3.37</v>
      </c>
      <c r="AC230" s="227">
        <v>4.47</v>
      </c>
      <c r="AD230" s="227">
        <v>4.8499999999999996</v>
      </c>
      <c r="AE230" s="227">
        <v>4.9800000000000004</v>
      </c>
      <c r="AF230" s="227">
        <v>5.03</v>
      </c>
      <c r="AG230" s="227">
        <v>3.76</v>
      </c>
      <c r="AH230" s="227">
        <v>2.34</v>
      </c>
      <c r="AI230" s="227">
        <v>1.29</v>
      </c>
      <c r="AJ230" s="227">
        <v>0.91</v>
      </c>
    </row>
    <row r="231" spans="1:36" ht="15.6" x14ac:dyDescent="0.35">
      <c r="D231" s="227"/>
      <c r="E231" s="227"/>
      <c r="F231" s="227"/>
      <c r="G231" s="227"/>
      <c r="H231" s="227"/>
      <c r="I231" s="227"/>
      <c r="J231" s="227"/>
      <c r="K231" s="227"/>
      <c r="L231" s="227"/>
      <c r="M231" s="227"/>
      <c r="N231" s="227"/>
      <c r="O231" s="227"/>
      <c r="P231" s="227"/>
      <c r="Q231" s="227"/>
      <c r="R231" s="227"/>
      <c r="S231" s="227"/>
      <c r="T231" s="227"/>
      <c r="U231" s="227"/>
      <c r="V231" s="227"/>
      <c r="W231" s="227"/>
      <c r="X231" s="227" t="s">
        <v>107</v>
      </c>
      <c r="Y231" s="227">
        <v>0.31</v>
      </c>
      <c r="Z231" s="227">
        <v>0.38</v>
      </c>
      <c r="AA231" s="227">
        <v>0.4</v>
      </c>
      <c r="AB231" s="227">
        <v>0.37</v>
      </c>
      <c r="AC231" s="227">
        <v>0.42</v>
      </c>
      <c r="AD231" s="227">
        <v>0.42</v>
      </c>
      <c r="AE231" s="227">
        <v>0.44</v>
      </c>
      <c r="AF231" s="227">
        <v>0.51</v>
      </c>
      <c r="AG231" s="227">
        <v>0.48</v>
      </c>
      <c r="AH231" s="227">
        <v>0.34</v>
      </c>
      <c r="AI231" s="227">
        <v>0.31</v>
      </c>
      <c r="AJ231" s="227">
        <v>0.28000000000000003</v>
      </c>
    </row>
    <row r="240" spans="1:36" x14ac:dyDescent="0.25">
      <c r="A240" s="975" t="s">
        <v>817</v>
      </c>
      <c r="B240" s="975"/>
      <c r="C240" s="975"/>
      <c r="D240" s="975"/>
      <c r="E240" s="975"/>
      <c r="F240" s="975"/>
      <c r="G240" s="975"/>
      <c r="H240" s="975"/>
      <c r="I240" s="975"/>
      <c r="J240" s="975"/>
      <c r="K240" s="975"/>
      <c r="L240" s="975"/>
      <c r="M240" s="975"/>
      <c r="N240" s="975"/>
      <c r="O240" s="975"/>
      <c r="P240" s="975"/>
      <c r="Q240" s="975"/>
      <c r="R240" s="975"/>
      <c r="S240" s="975"/>
      <c r="T240" s="975"/>
      <c r="U240" s="975"/>
      <c r="V240" s="975"/>
      <c r="W240" s="975"/>
      <c r="X240" s="975"/>
      <c r="Y240" s="975"/>
      <c r="Z240" s="975"/>
      <c r="AA240" s="975"/>
    </row>
    <row r="242" spans="1:36" x14ac:dyDescent="0.25">
      <c r="A242" s="216"/>
      <c r="B242" s="217" t="s">
        <v>466</v>
      </c>
      <c r="C242" s="217" t="s">
        <v>950</v>
      </c>
      <c r="D242" s="195">
        <v>0</v>
      </c>
      <c r="E242" s="195">
        <v>1</v>
      </c>
      <c r="F242" s="195">
        <v>2</v>
      </c>
      <c r="G242" s="195">
        <v>3</v>
      </c>
      <c r="H242" s="195">
        <v>4</v>
      </c>
      <c r="I242" s="195">
        <v>5</v>
      </c>
      <c r="J242" s="195">
        <v>6</v>
      </c>
      <c r="K242" s="195">
        <v>7</v>
      </c>
      <c r="L242" s="195">
        <v>8</v>
      </c>
      <c r="M242" s="195">
        <v>9</v>
      </c>
      <c r="N242" s="195">
        <v>10</v>
      </c>
      <c r="O242" s="195">
        <v>11</v>
      </c>
      <c r="P242" s="195">
        <v>12</v>
      </c>
      <c r="Q242" s="195">
        <v>13</v>
      </c>
      <c r="R242" s="195">
        <v>14</v>
      </c>
      <c r="S242" s="195">
        <v>15</v>
      </c>
      <c r="T242" s="195">
        <v>16</v>
      </c>
      <c r="U242" s="195">
        <v>17</v>
      </c>
      <c r="V242" s="195">
        <v>18</v>
      </c>
      <c r="W242" s="195">
        <v>19</v>
      </c>
      <c r="X242" s="195">
        <v>20</v>
      </c>
      <c r="Y242" s="195">
        <v>21</v>
      </c>
      <c r="Z242" s="195">
        <v>22</v>
      </c>
      <c r="AA242" s="195">
        <v>23</v>
      </c>
      <c r="AB242" s="979" t="s">
        <v>843</v>
      </c>
      <c r="AC242" s="980"/>
      <c r="AD242" s="980"/>
      <c r="AE242" s="980"/>
      <c r="AF242" s="980"/>
      <c r="AG242" s="980"/>
      <c r="AH242" s="980"/>
      <c r="AI242" s="980"/>
      <c r="AJ242" s="980"/>
    </row>
    <row r="243" spans="1:36" ht="16.2" x14ac:dyDescent="0.35">
      <c r="A243" s="218" t="s">
        <v>167</v>
      </c>
      <c r="B243" s="217" t="s">
        <v>875</v>
      </c>
      <c r="C243" s="219" t="s">
        <v>946</v>
      </c>
      <c r="D243" s="236">
        <v>1</v>
      </c>
      <c r="E243" s="236">
        <v>0.9</v>
      </c>
      <c r="F243" s="236">
        <v>0.9</v>
      </c>
      <c r="G243" s="236">
        <v>0.9</v>
      </c>
      <c r="H243" s="236">
        <v>0.2</v>
      </c>
      <c r="I243" s="236">
        <v>0.2</v>
      </c>
      <c r="J243" s="236">
        <v>-0.1</v>
      </c>
      <c r="K243" s="236">
        <v>0</v>
      </c>
      <c r="L243" s="236">
        <v>0.6</v>
      </c>
      <c r="M243" s="236">
        <v>1.7</v>
      </c>
      <c r="N243" s="236">
        <v>2.4</v>
      </c>
      <c r="O243" s="236">
        <v>3.9</v>
      </c>
      <c r="P243" s="236">
        <v>5.2</v>
      </c>
      <c r="Q243" s="236">
        <v>5.9</v>
      </c>
      <c r="R243" s="236">
        <v>6.2</v>
      </c>
      <c r="S243" s="236">
        <v>6.2</v>
      </c>
      <c r="T243" s="236">
        <v>5.9</v>
      </c>
      <c r="U243" s="236">
        <v>3.4</v>
      </c>
      <c r="V243" s="236">
        <v>2.7</v>
      </c>
      <c r="W243" s="236">
        <v>2.4</v>
      </c>
      <c r="X243" s="236">
        <v>2.1</v>
      </c>
      <c r="Y243" s="236">
        <v>2</v>
      </c>
      <c r="Z243" s="236">
        <v>1.3</v>
      </c>
      <c r="AA243" s="236">
        <v>1.1000000000000001</v>
      </c>
      <c r="AB243" s="234" t="s">
        <v>877</v>
      </c>
      <c r="AC243" s="226" t="s">
        <v>947</v>
      </c>
      <c r="AD243" s="221">
        <v>27.7</v>
      </c>
      <c r="AE243" s="221">
        <v>38.5</v>
      </c>
      <c r="AF243" s="221">
        <v>53.3</v>
      </c>
      <c r="AG243" s="221">
        <v>68.099999999999994</v>
      </c>
      <c r="AH243" s="221">
        <v>44</v>
      </c>
      <c r="AI243" s="221">
        <v>29.7</v>
      </c>
      <c r="AJ243" s="221">
        <v>23.5</v>
      </c>
    </row>
    <row r="244" spans="1:36" ht="16.2" x14ac:dyDescent="0.35">
      <c r="A244" s="218" t="s">
        <v>168</v>
      </c>
      <c r="B244" s="217" t="s">
        <v>875</v>
      </c>
      <c r="C244" s="219" t="s">
        <v>946</v>
      </c>
      <c r="D244" s="236">
        <v>0.5</v>
      </c>
      <c r="E244" s="236">
        <v>-0.1</v>
      </c>
      <c r="F244" s="236">
        <v>-0.4</v>
      </c>
      <c r="G244" s="236">
        <v>-0.6</v>
      </c>
      <c r="H244" s="236">
        <v>-0.9</v>
      </c>
      <c r="I244" s="236">
        <v>-1</v>
      </c>
      <c r="J244" s="236">
        <v>-1.1000000000000001</v>
      </c>
      <c r="K244" s="236">
        <v>-1.1000000000000001</v>
      </c>
      <c r="L244" s="236">
        <v>0.2</v>
      </c>
      <c r="M244" s="236">
        <v>1.8</v>
      </c>
      <c r="N244" s="236">
        <v>3.4</v>
      </c>
      <c r="O244" s="236">
        <v>4.7</v>
      </c>
      <c r="P244" s="236">
        <v>6</v>
      </c>
      <c r="Q244" s="236">
        <v>7.4</v>
      </c>
      <c r="R244" s="236">
        <v>7.5</v>
      </c>
      <c r="S244" s="236">
        <v>7.6</v>
      </c>
      <c r="T244" s="236">
        <v>7.7</v>
      </c>
      <c r="U244" s="236">
        <v>6.5</v>
      </c>
      <c r="V244" s="236">
        <v>5.3</v>
      </c>
      <c r="W244" s="236">
        <v>4.0999999999999996</v>
      </c>
      <c r="X244" s="236">
        <v>3.5</v>
      </c>
      <c r="Y244" s="236">
        <v>3</v>
      </c>
      <c r="Z244" s="236">
        <v>1.9</v>
      </c>
      <c r="AA244" s="236">
        <v>1.3</v>
      </c>
      <c r="AB244" s="234" t="s">
        <v>878</v>
      </c>
      <c r="AC244" s="226" t="s">
        <v>947</v>
      </c>
      <c r="AD244" s="221">
        <v>58.5</v>
      </c>
      <c r="AE244" s="221">
        <v>71.8</v>
      </c>
      <c r="AF244" s="221">
        <v>84.5</v>
      </c>
      <c r="AG244" s="221">
        <v>97.9</v>
      </c>
      <c r="AH244" s="221">
        <v>78.2</v>
      </c>
      <c r="AI244" s="221">
        <v>56.4</v>
      </c>
      <c r="AJ244" s="221">
        <v>47</v>
      </c>
    </row>
    <row r="245" spans="1:36" ht="16.2" x14ac:dyDescent="0.35">
      <c r="A245" s="218" t="s">
        <v>923</v>
      </c>
      <c r="B245" s="217" t="s">
        <v>875</v>
      </c>
      <c r="C245" s="219" t="s">
        <v>946</v>
      </c>
      <c r="D245" s="236">
        <v>4.3</v>
      </c>
      <c r="E245" s="236">
        <v>3.7</v>
      </c>
      <c r="F245" s="236">
        <v>3.3</v>
      </c>
      <c r="G245" s="236">
        <v>2.9</v>
      </c>
      <c r="H245" s="236">
        <v>2.5</v>
      </c>
      <c r="I245" s="236">
        <v>2.7</v>
      </c>
      <c r="J245" s="236">
        <v>2.6</v>
      </c>
      <c r="K245" s="236">
        <v>2.6</v>
      </c>
      <c r="L245" s="236">
        <v>4.3</v>
      </c>
      <c r="M245" s="236">
        <v>5.9</v>
      </c>
      <c r="N245" s="236">
        <v>7.6</v>
      </c>
      <c r="O245" s="236">
        <v>8.5</v>
      </c>
      <c r="P245" s="236">
        <v>9.5</v>
      </c>
      <c r="Q245" s="236">
        <v>10.5</v>
      </c>
      <c r="R245" s="236">
        <v>10.4</v>
      </c>
      <c r="S245" s="236">
        <v>10.4</v>
      </c>
      <c r="T245" s="236">
        <v>10.7</v>
      </c>
      <c r="U245" s="236">
        <v>9.6999999999999993</v>
      </c>
      <c r="V245" s="236">
        <v>8.6</v>
      </c>
      <c r="W245" s="236">
        <v>7.5</v>
      </c>
      <c r="X245" s="236">
        <v>6.9</v>
      </c>
      <c r="Y245" s="236">
        <v>6.2</v>
      </c>
      <c r="Z245" s="236">
        <v>5.5</v>
      </c>
      <c r="AA245" s="236">
        <v>5</v>
      </c>
      <c r="AB245" s="234" t="s">
        <v>879</v>
      </c>
      <c r="AC245" s="226" t="s">
        <v>947</v>
      </c>
      <c r="AD245" s="221">
        <v>109.5</v>
      </c>
      <c r="AE245" s="221">
        <v>118.4</v>
      </c>
      <c r="AF245" s="221">
        <v>111.4</v>
      </c>
      <c r="AG245" s="221">
        <v>97.3</v>
      </c>
      <c r="AH245" s="221">
        <v>121</v>
      </c>
      <c r="AI245" s="221">
        <v>100.5</v>
      </c>
      <c r="AJ245" s="221">
        <v>88.5</v>
      </c>
    </row>
    <row r="246" spans="1:36" ht="16.2" x14ac:dyDescent="0.35">
      <c r="A246" s="218" t="s">
        <v>924</v>
      </c>
      <c r="B246" s="217" t="s">
        <v>875</v>
      </c>
      <c r="C246" s="219" t="s">
        <v>946</v>
      </c>
      <c r="D246" s="236">
        <v>9.9</v>
      </c>
      <c r="E246" s="236">
        <v>9.1999999999999993</v>
      </c>
      <c r="F246" s="236">
        <v>8.8000000000000007</v>
      </c>
      <c r="G246" s="236">
        <v>7.9</v>
      </c>
      <c r="H246" s="236">
        <v>7.1</v>
      </c>
      <c r="I246" s="236">
        <v>7.8</v>
      </c>
      <c r="J246" s="236">
        <v>8.6999999999999993</v>
      </c>
      <c r="K246" s="236">
        <v>9.5</v>
      </c>
      <c r="L246" s="236">
        <v>10.4</v>
      </c>
      <c r="M246" s="236">
        <v>11.9</v>
      </c>
      <c r="N246" s="236">
        <v>13.6</v>
      </c>
      <c r="O246" s="236">
        <v>14.6</v>
      </c>
      <c r="P246" s="236">
        <v>15.6</v>
      </c>
      <c r="Q246" s="236">
        <v>16.8</v>
      </c>
      <c r="R246" s="236">
        <v>17.2</v>
      </c>
      <c r="S246" s="236">
        <v>17.3</v>
      </c>
      <c r="T246" s="236">
        <v>17.600000000000001</v>
      </c>
      <c r="U246" s="236">
        <v>16.5</v>
      </c>
      <c r="V246" s="236">
        <v>15.4</v>
      </c>
      <c r="W246" s="236">
        <v>14.3</v>
      </c>
      <c r="X246" s="236">
        <v>13.5</v>
      </c>
      <c r="Y246" s="236">
        <v>12.4</v>
      </c>
      <c r="Z246" s="236">
        <v>11.2</v>
      </c>
      <c r="AA246" s="236">
        <v>10.6</v>
      </c>
      <c r="AB246" s="234" t="s">
        <v>880</v>
      </c>
      <c r="AC246" s="226" t="s">
        <v>947</v>
      </c>
      <c r="AD246" s="221">
        <v>58.5</v>
      </c>
      <c r="AE246" s="221">
        <v>71.8</v>
      </c>
      <c r="AF246" s="221">
        <v>84.5</v>
      </c>
      <c r="AG246" s="221">
        <v>97.9</v>
      </c>
      <c r="AH246" s="221">
        <v>78.2</v>
      </c>
      <c r="AI246" s="221">
        <v>56.4</v>
      </c>
      <c r="AJ246" s="221">
        <v>47</v>
      </c>
    </row>
    <row r="247" spans="1:36" ht="16.2" x14ac:dyDescent="0.35">
      <c r="A247" s="976" t="s">
        <v>169</v>
      </c>
      <c r="B247" s="217" t="s">
        <v>875</v>
      </c>
      <c r="C247" s="219" t="s">
        <v>946</v>
      </c>
      <c r="D247" s="236">
        <v>14.9</v>
      </c>
      <c r="E247" s="236">
        <v>14.3</v>
      </c>
      <c r="F247" s="236">
        <v>13.8</v>
      </c>
      <c r="G247" s="236">
        <v>13.3</v>
      </c>
      <c r="H247" s="236">
        <v>12.7</v>
      </c>
      <c r="I247" s="236">
        <v>13.3</v>
      </c>
      <c r="J247" s="236">
        <v>13.9</v>
      </c>
      <c r="K247" s="236">
        <v>14.4</v>
      </c>
      <c r="L247" s="236">
        <v>16</v>
      </c>
      <c r="M247" s="236">
        <v>17.5</v>
      </c>
      <c r="N247" s="236">
        <v>19.100000000000001</v>
      </c>
      <c r="O247" s="236">
        <v>19.899999999999999</v>
      </c>
      <c r="P247" s="236">
        <v>20.7</v>
      </c>
      <c r="Q247" s="236">
        <v>21.6</v>
      </c>
      <c r="R247" s="236">
        <v>21.9</v>
      </c>
      <c r="S247" s="236">
        <v>22.1</v>
      </c>
      <c r="T247" s="236">
        <v>22.4</v>
      </c>
      <c r="U247" s="236">
        <v>21.2</v>
      </c>
      <c r="V247" s="236">
        <v>20</v>
      </c>
      <c r="W247" s="236">
        <v>18.899999999999999</v>
      </c>
      <c r="X247" s="236">
        <v>18</v>
      </c>
      <c r="Y247" s="236">
        <v>17.2</v>
      </c>
      <c r="Z247" s="236">
        <v>16.399999999999999</v>
      </c>
      <c r="AA247" s="236">
        <v>15.7</v>
      </c>
      <c r="AB247" s="234" t="s">
        <v>881</v>
      </c>
      <c r="AC247" s="226" t="s">
        <v>947</v>
      </c>
      <c r="AD247" s="221">
        <v>69.5</v>
      </c>
      <c r="AE247" s="221">
        <v>96.9</v>
      </c>
      <c r="AF247" s="221">
        <v>132.80000000000001</v>
      </c>
      <c r="AG247" s="221">
        <v>171</v>
      </c>
      <c r="AH247" s="221">
        <v>111.1</v>
      </c>
      <c r="AI247" s="221">
        <v>70.900000000000006</v>
      </c>
      <c r="AJ247" s="221">
        <v>55.3</v>
      </c>
    </row>
    <row r="248" spans="1:36" ht="15.6" x14ac:dyDescent="0.35">
      <c r="A248" s="976"/>
      <c r="B248" s="217" t="s">
        <v>876</v>
      </c>
      <c r="C248" s="219" t="s">
        <v>1</v>
      </c>
      <c r="D248" s="236">
        <v>73</v>
      </c>
      <c r="E248" s="236">
        <v>75</v>
      </c>
      <c r="F248" s="236">
        <v>77</v>
      </c>
      <c r="G248" s="236">
        <v>79</v>
      </c>
      <c r="H248" s="236">
        <v>81</v>
      </c>
      <c r="I248" s="236">
        <v>80</v>
      </c>
      <c r="J248" s="236">
        <v>77</v>
      </c>
      <c r="K248" s="236">
        <v>75</v>
      </c>
      <c r="L248" s="236">
        <v>70</v>
      </c>
      <c r="M248" s="236">
        <v>65</v>
      </c>
      <c r="N248" s="236">
        <v>61</v>
      </c>
      <c r="O248" s="236">
        <v>57</v>
      </c>
      <c r="P248" s="236">
        <v>54</v>
      </c>
      <c r="Q248" s="236">
        <v>52</v>
      </c>
      <c r="R248" s="236">
        <v>52</v>
      </c>
      <c r="S248" s="236">
        <v>51</v>
      </c>
      <c r="T248" s="236">
        <v>51</v>
      </c>
      <c r="U248" s="236">
        <v>55</v>
      </c>
      <c r="V248" s="236">
        <v>60</v>
      </c>
      <c r="W248" s="236">
        <v>65</v>
      </c>
      <c r="X248" s="236">
        <v>66</v>
      </c>
      <c r="Y248" s="236">
        <v>68</v>
      </c>
      <c r="Z248" s="236">
        <v>70</v>
      </c>
      <c r="AA248" s="236">
        <v>71</v>
      </c>
      <c r="AB248" s="227"/>
      <c r="AC248" s="443" t="s">
        <v>340</v>
      </c>
      <c r="AD248" s="443">
        <v>0.6</v>
      </c>
      <c r="AE248" s="443">
        <v>2.4</v>
      </c>
      <c r="AF248" s="443">
        <v>6.9</v>
      </c>
      <c r="AG248" s="443">
        <v>12.4</v>
      </c>
      <c r="AH248" s="443">
        <v>13.6</v>
      </c>
      <c r="AI248" s="443">
        <v>7.9</v>
      </c>
      <c r="AJ248" s="443">
        <v>2.8</v>
      </c>
    </row>
    <row r="249" spans="1:36" ht="15.6" x14ac:dyDescent="0.35">
      <c r="A249" s="976" t="s">
        <v>170</v>
      </c>
      <c r="B249" s="217" t="s">
        <v>875</v>
      </c>
      <c r="C249" s="219" t="s">
        <v>946</v>
      </c>
      <c r="D249" s="236">
        <v>19.600000000000001</v>
      </c>
      <c r="E249" s="236">
        <v>18.899999999999999</v>
      </c>
      <c r="F249" s="236">
        <v>18.100000000000001</v>
      </c>
      <c r="G249" s="236">
        <v>17.3</v>
      </c>
      <c r="H249" s="236">
        <v>16.5</v>
      </c>
      <c r="I249" s="236">
        <v>17.3</v>
      </c>
      <c r="J249" s="236">
        <v>18.2</v>
      </c>
      <c r="K249" s="236">
        <v>19.100000000000001</v>
      </c>
      <c r="L249" s="236">
        <v>20.8</v>
      </c>
      <c r="M249" s="236">
        <v>22.4</v>
      </c>
      <c r="N249" s="236">
        <v>24</v>
      </c>
      <c r="O249" s="236">
        <v>24.9</v>
      </c>
      <c r="P249" s="236">
        <v>25.9</v>
      </c>
      <c r="Q249" s="236">
        <v>26.8</v>
      </c>
      <c r="R249" s="236">
        <v>26.7</v>
      </c>
      <c r="S249" s="236">
        <v>26.6</v>
      </c>
      <c r="T249" s="236">
        <v>26.5</v>
      </c>
      <c r="U249" s="236">
        <v>25.6</v>
      </c>
      <c r="V249" s="236">
        <v>24.7</v>
      </c>
      <c r="W249" s="236">
        <v>23.8</v>
      </c>
      <c r="X249" s="236">
        <v>22.9</v>
      </c>
      <c r="Y249" s="236">
        <v>22</v>
      </c>
      <c r="Z249" s="236">
        <v>21</v>
      </c>
      <c r="AA249" s="236">
        <v>20.3</v>
      </c>
      <c r="AB249" s="978" t="s">
        <v>853</v>
      </c>
      <c r="AC249" s="978"/>
      <c r="AD249" s="978"/>
      <c r="AE249" s="978"/>
      <c r="AF249" s="978"/>
      <c r="AG249" s="978"/>
      <c r="AH249" s="978"/>
      <c r="AI249" s="978"/>
      <c r="AJ249" s="978"/>
    </row>
    <row r="250" spans="1:36" ht="16.2" x14ac:dyDescent="0.35">
      <c r="A250" s="976"/>
      <c r="B250" s="217" t="s">
        <v>876</v>
      </c>
      <c r="C250" s="219" t="s">
        <v>1</v>
      </c>
      <c r="D250" s="236">
        <v>76</v>
      </c>
      <c r="E250" s="236">
        <v>78</v>
      </c>
      <c r="F250" s="236">
        <v>79</v>
      </c>
      <c r="G250" s="236">
        <v>81</v>
      </c>
      <c r="H250" s="236">
        <v>83</v>
      </c>
      <c r="I250" s="236">
        <v>81</v>
      </c>
      <c r="J250" s="236">
        <v>78</v>
      </c>
      <c r="K250" s="236">
        <v>76</v>
      </c>
      <c r="L250" s="236">
        <v>69</v>
      </c>
      <c r="M250" s="236">
        <v>64</v>
      </c>
      <c r="N250" s="236">
        <v>59</v>
      </c>
      <c r="O250" s="236">
        <v>56</v>
      </c>
      <c r="P250" s="236">
        <v>53</v>
      </c>
      <c r="Q250" s="236">
        <v>50</v>
      </c>
      <c r="R250" s="236">
        <v>51</v>
      </c>
      <c r="S250" s="236">
        <v>53</v>
      </c>
      <c r="T250" s="236">
        <v>54</v>
      </c>
      <c r="U250" s="236">
        <v>57</v>
      </c>
      <c r="V250" s="236">
        <v>60</v>
      </c>
      <c r="W250" s="236">
        <v>63</v>
      </c>
      <c r="X250" s="236">
        <v>66</v>
      </c>
      <c r="Y250" s="236">
        <v>69</v>
      </c>
      <c r="Z250" s="236">
        <v>72</v>
      </c>
      <c r="AA250" s="236">
        <v>74</v>
      </c>
      <c r="AB250" s="234" t="s">
        <v>877</v>
      </c>
      <c r="AC250" s="226" t="s">
        <v>947</v>
      </c>
      <c r="AD250" s="221">
        <v>78.7</v>
      </c>
      <c r="AE250" s="221">
        <v>86.1</v>
      </c>
      <c r="AF250" s="221">
        <v>83.8</v>
      </c>
      <c r="AG250" s="221">
        <v>76.7</v>
      </c>
      <c r="AH250" s="221">
        <v>61.8</v>
      </c>
      <c r="AI250" s="227"/>
      <c r="AJ250" s="227"/>
    </row>
    <row r="251" spans="1:36" ht="16.2" x14ac:dyDescent="0.35">
      <c r="A251" s="976" t="s">
        <v>171</v>
      </c>
      <c r="B251" s="217" t="s">
        <v>875</v>
      </c>
      <c r="C251" s="219" t="s">
        <v>946</v>
      </c>
      <c r="D251" s="236">
        <v>19.899999999999999</v>
      </c>
      <c r="E251" s="236">
        <v>19.100000000000001</v>
      </c>
      <c r="F251" s="236">
        <v>18.600000000000001</v>
      </c>
      <c r="G251" s="236">
        <v>18</v>
      </c>
      <c r="H251" s="236">
        <v>17.5</v>
      </c>
      <c r="I251" s="236">
        <v>18.3</v>
      </c>
      <c r="J251" s="236">
        <v>19.100000000000001</v>
      </c>
      <c r="K251" s="236">
        <v>20</v>
      </c>
      <c r="L251" s="236">
        <v>21.3</v>
      </c>
      <c r="M251" s="236">
        <v>23.1</v>
      </c>
      <c r="N251" s="236">
        <v>25.1</v>
      </c>
      <c r="O251" s="236">
        <v>26</v>
      </c>
      <c r="P251" s="236">
        <v>26.9</v>
      </c>
      <c r="Q251" s="236">
        <v>27.9</v>
      </c>
      <c r="R251" s="236">
        <v>28</v>
      </c>
      <c r="S251" s="236">
        <v>28</v>
      </c>
      <c r="T251" s="236">
        <v>28.1</v>
      </c>
      <c r="U251" s="236">
        <v>27</v>
      </c>
      <c r="V251" s="236">
        <v>25.8</v>
      </c>
      <c r="W251" s="236">
        <v>24.6</v>
      </c>
      <c r="X251" s="236">
        <v>23.7</v>
      </c>
      <c r="Y251" s="236">
        <v>22.8</v>
      </c>
      <c r="Z251" s="236">
        <v>21.4</v>
      </c>
      <c r="AA251" s="236">
        <v>20.7</v>
      </c>
      <c r="AB251" s="234" t="s">
        <v>878</v>
      </c>
      <c r="AC251" s="226" t="s">
        <v>947</v>
      </c>
      <c r="AD251" s="221">
        <v>111.1</v>
      </c>
      <c r="AE251" s="221">
        <v>130.19999999999999</v>
      </c>
      <c r="AF251" s="221">
        <v>126.6</v>
      </c>
      <c r="AG251" s="221">
        <v>130.69999999999999</v>
      </c>
      <c r="AH251" s="221">
        <v>111.1</v>
      </c>
      <c r="AI251" s="227"/>
      <c r="AJ251" s="227"/>
    </row>
    <row r="252" spans="1:36" ht="16.2" x14ac:dyDescent="0.35">
      <c r="A252" s="976"/>
      <c r="B252" s="217" t="s">
        <v>876</v>
      </c>
      <c r="C252" s="219" t="s">
        <v>1</v>
      </c>
      <c r="D252" s="236">
        <v>78</v>
      </c>
      <c r="E252" s="236">
        <v>81</v>
      </c>
      <c r="F252" s="236">
        <v>83</v>
      </c>
      <c r="G252" s="236">
        <v>85</v>
      </c>
      <c r="H252" s="236">
        <v>86</v>
      </c>
      <c r="I252" s="236">
        <v>84</v>
      </c>
      <c r="J252" s="236">
        <v>82</v>
      </c>
      <c r="K252" s="236">
        <v>78</v>
      </c>
      <c r="L252" s="236">
        <v>73</v>
      </c>
      <c r="M252" s="236">
        <v>67</v>
      </c>
      <c r="N252" s="236">
        <v>60</v>
      </c>
      <c r="O252" s="236">
        <v>57</v>
      </c>
      <c r="P252" s="236">
        <v>55</v>
      </c>
      <c r="Q252" s="236">
        <v>52</v>
      </c>
      <c r="R252" s="236">
        <v>52</v>
      </c>
      <c r="S252" s="236">
        <v>52</v>
      </c>
      <c r="T252" s="236">
        <v>51</v>
      </c>
      <c r="U252" s="236">
        <v>55</v>
      </c>
      <c r="V252" s="236">
        <v>59</v>
      </c>
      <c r="W252" s="236">
        <v>64</v>
      </c>
      <c r="X252" s="236">
        <v>67</v>
      </c>
      <c r="Y252" s="236">
        <v>69</v>
      </c>
      <c r="Z252" s="236">
        <v>73</v>
      </c>
      <c r="AA252" s="236">
        <v>75</v>
      </c>
      <c r="AB252" s="234" t="s">
        <v>879</v>
      </c>
      <c r="AC252" s="226" t="s">
        <v>947</v>
      </c>
      <c r="AD252" s="221">
        <v>91.8</v>
      </c>
      <c r="AE252" s="221">
        <v>103.9</v>
      </c>
      <c r="AF252" s="221">
        <v>103.5</v>
      </c>
      <c r="AG252" s="221">
        <v>129.6</v>
      </c>
      <c r="AH252" s="221">
        <v>142</v>
      </c>
      <c r="AI252" s="227"/>
      <c r="AJ252" s="227"/>
    </row>
    <row r="253" spans="1:36" ht="16.2" x14ac:dyDescent="0.35">
      <c r="A253" s="976" t="s">
        <v>172</v>
      </c>
      <c r="B253" s="217" t="s">
        <v>875</v>
      </c>
      <c r="C253" s="219" t="s">
        <v>946</v>
      </c>
      <c r="D253" s="236">
        <v>20.100000000000001</v>
      </c>
      <c r="E253" s="236">
        <v>19.3</v>
      </c>
      <c r="F253" s="236">
        <v>18.8</v>
      </c>
      <c r="G253" s="236">
        <v>18.3</v>
      </c>
      <c r="H253" s="236">
        <v>17.399999999999999</v>
      </c>
      <c r="I253" s="236">
        <v>18.100000000000001</v>
      </c>
      <c r="J253" s="236">
        <v>18.899999999999999</v>
      </c>
      <c r="K253" s="236">
        <v>19.7</v>
      </c>
      <c r="L253" s="236">
        <v>21.5</v>
      </c>
      <c r="M253" s="236">
        <v>23.4</v>
      </c>
      <c r="N253" s="236">
        <v>25.3</v>
      </c>
      <c r="O253" s="236">
        <v>26.5</v>
      </c>
      <c r="P253" s="236">
        <v>27.7</v>
      </c>
      <c r="Q253" s="236">
        <v>28.9</v>
      </c>
      <c r="R253" s="236">
        <v>28.8</v>
      </c>
      <c r="S253" s="236">
        <v>28.8</v>
      </c>
      <c r="T253" s="236">
        <v>28.7</v>
      </c>
      <c r="U253" s="236">
        <v>27.4</v>
      </c>
      <c r="V253" s="236">
        <v>26.1</v>
      </c>
      <c r="W253" s="236">
        <v>24.7</v>
      </c>
      <c r="X253" s="236">
        <v>23.7</v>
      </c>
      <c r="Y253" s="236">
        <v>22.5</v>
      </c>
      <c r="Z253" s="236">
        <v>21.4</v>
      </c>
      <c r="AA253" s="236">
        <v>20.7</v>
      </c>
      <c r="AB253" s="234" t="s">
        <v>880</v>
      </c>
      <c r="AC253" s="226" t="s">
        <v>947</v>
      </c>
      <c r="AD253" s="221">
        <v>111.1</v>
      </c>
      <c r="AE253" s="221">
        <v>130.19999999999999</v>
      </c>
      <c r="AF253" s="221">
        <v>126.6</v>
      </c>
      <c r="AG253" s="221">
        <v>130.69999999999999</v>
      </c>
      <c r="AH253" s="221">
        <v>111.1</v>
      </c>
      <c r="AI253" s="227"/>
      <c r="AJ253" s="227"/>
    </row>
    <row r="254" spans="1:36" ht="16.2" x14ac:dyDescent="0.35">
      <c r="A254" s="976"/>
      <c r="B254" s="217" t="s">
        <v>876</v>
      </c>
      <c r="C254" s="219" t="s">
        <v>1</v>
      </c>
      <c r="D254" s="236">
        <v>69</v>
      </c>
      <c r="E254" s="236">
        <v>71</v>
      </c>
      <c r="F254" s="236">
        <v>73</v>
      </c>
      <c r="G254" s="236">
        <v>76</v>
      </c>
      <c r="H254" s="236">
        <v>78</v>
      </c>
      <c r="I254" s="236">
        <v>75</v>
      </c>
      <c r="J254" s="236">
        <v>72</v>
      </c>
      <c r="K254" s="236">
        <v>69</v>
      </c>
      <c r="L254" s="236">
        <v>62</v>
      </c>
      <c r="M254" s="236">
        <v>56</v>
      </c>
      <c r="N254" s="236">
        <v>50</v>
      </c>
      <c r="O254" s="236">
        <v>47</v>
      </c>
      <c r="P254" s="236">
        <v>44</v>
      </c>
      <c r="Q254" s="236">
        <v>41</v>
      </c>
      <c r="R254" s="236">
        <v>40</v>
      </c>
      <c r="S254" s="236">
        <v>39</v>
      </c>
      <c r="T254" s="236">
        <v>39</v>
      </c>
      <c r="U254" s="236">
        <v>43</v>
      </c>
      <c r="V254" s="236">
        <v>47</v>
      </c>
      <c r="W254" s="236">
        <v>52</v>
      </c>
      <c r="X254" s="236">
        <v>56</v>
      </c>
      <c r="Y254" s="236">
        <v>59</v>
      </c>
      <c r="Z254" s="236">
        <v>63</v>
      </c>
      <c r="AA254" s="236">
        <v>66</v>
      </c>
      <c r="AB254" s="234" t="s">
        <v>881</v>
      </c>
      <c r="AC254" s="226" t="s">
        <v>947</v>
      </c>
      <c r="AD254" s="221">
        <v>199.1</v>
      </c>
      <c r="AE254" s="221">
        <v>232.7</v>
      </c>
      <c r="AF254" s="221">
        <v>226.8</v>
      </c>
      <c r="AG254" s="221">
        <v>228.2</v>
      </c>
      <c r="AH254" s="221">
        <v>177.3</v>
      </c>
      <c r="AI254" s="227"/>
      <c r="AJ254" s="227"/>
    </row>
    <row r="255" spans="1:36" ht="15.6" x14ac:dyDescent="0.35">
      <c r="A255" s="976" t="s">
        <v>173</v>
      </c>
      <c r="B255" s="217" t="s">
        <v>875</v>
      </c>
      <c r="C255" s="219" t="s">
        <v>946</v>
      </c>
      <c r="D255" s="236">
        <v>16.7</v>
      </c>
      <c r="E255" s="236">
        <v>16</v>
      </c>
      <c r="F255" s="236">
        <v>15.4</v>
      </c>
      <c r="G255" s="236">
        <v>14.8</v>
      </c>
      <c r="H255" s="236">
        <v>14.2</v>
      </c>
      <c r="I255" s="236">
        <v>14.6</v>
      </c>
      <c r="J255" s="236">
        <v>15.1</v>
      </c>
      <c r="K255" s="236">
        <v>15.6</v>
      </c>
      <c r="L255" s="236">
        <v>17.600000000000001</v>
      </c>
      <c r="M255" s="236">
        <v>19.5</v>
      </c>
      <c r="N255" s="236">
        <v>21.5</v>
      </c>
      <c r="O255" s="236">
        <v>22.9</v>
      </c>
      <c r="P255" s="236">
        <v>24.2</v>
      </c>
      <c r="Q255" s="236">
        <v>25.6</v>
      </c>
      <c r="R255" s="236">
        <v>25.6</v>
      </c>
      <c r="S255" s="236">
        <v>25.6</v>
      </c>
      <c r="T255" s="236">
        <v>25.7</v>
      </c>
      <c r="U255" s="236">
        <v>24</v>
      </c>
      <c r="V255" s="236">
        <v>22.4</v>
      </c>
      <c r="W255" s="236">
        <v>20.9</v>
      </c>
      <c r="X255" s="236">
        <v>19.899999999999999</v>
      </c>
      <c r="Y255" s="236">
        <v>19</v>
      </c>
      <c r="Z255" s="236">
        <v>18</v>
      </c>
      <c r="AA255" s="236">
        <v>17.3</v>
      </c>
      <c r="AB255" s="227"/>
      <c r="AC255" s="227"/>
      <c r="AD255" s="227">
        <v>16.399999999999999</v>
      </c>
      <c r="AE255" s="227">
        <v>21</v>
      </c>
      <c r="AF255" s="227">
        <v>23.8</v>
      </c>
      <c r="AG255" s="227">
        <v>23.5</v>
      </c>
      <c r="AH255" s="227">
        <v>19.399999999999999</v>
      </c>
      <c r="AI255" s="227"/>
      <c r="AJ255" s="227"/>
    </row>
    <row r="256" spans="1:36" ht="15.6" x14ac:dyDescent="0.35">
      <c r="A256" s="976"/>
      <c r="B256" s="217" t="s">
        <v>876</v>
      </c>
      <c r="C256" s="219" t="s">
        <v>1</v>
      </c>
      <c r="D256" s="236">
        <v>76</v>
      </c>
      <c r="E256" s="236">
        <v>78</v>
      </c>
      <c r="F256" s="236">
        <v>81</v>
      </c>
      <c r="G256" s="236">
        <v>83</v>
      </c>
      <c r="H256" s="236">
        <v>86</v>
      </c>
      <c r="I256" s="236">
        <v>86</v>
      </c>
      <c r="J256" s="236">
        <v>85</v>
      </c>
      <c r="K256" s="236">
        <v>84</v>
      </c>
      <c r="L256" s="236">
        <v>76</v>
      </c>
      <c r="M256" s="236">
        <v>69</v>
      </c>
      <c r="N256" s="236">
        <v>63</v>
      </c>
      <c r="O256" s="236">
        <v>58</v>
      </c>
      <c r="P256" s="236">
        <v>54</v>
      </c>
      <c r="Q256" s="236">
        <v>50</v>
      </c>
      <c r="R256" s="236">
        <v>50</v>
      </c>
      <c r="S256" s="236">
        <v>50</v>
      </c>
      <c r="T256" s="236">
        <v>50</v>
      </c>
      <c r="U256" s="236">
        <v>54</v>
      </c>
      <c r="V256" s="236">
        <v>59</v>
      </c>
      <c r="W256" s="236">
        <v>64</v>
      </c>
      <c r="X256" s="236">
        <v>67</v>
      </c>
      <c r="Y256" s="236">
        <v>70</v>
      </c>
      <c r="Z256" s="236">
        <v>73</v>
      </c>
      <c r="AA256" s="236">
        <v>75</v>
      </c>
      <c r="AB256" s="227"/>
      <c r="AC256" s="227"/>
      <c r="AD256" s="227"/>
      <c r="AE256" s="227">
        <v>8</v>
      </c>
      <c r="AF256" s="227" t="s">
        <v>740</v>
      </c>
      <c r="AG256" s="227"/>
      <c r="AH256" s="227"/>
      <c r="AI256" s="227"/>
      <c r="AJ256" s="227"/>
    </row>
    <row r="257" spans="1:36" ht="15.6" x14ac:dyDescent="0.35">
      <c r="A257" s="218" t="s">
        <v>174</v>
      </c>
      <c r="B257" s="217" t="s">
        <v>875</v>
      </c>
      <c r="C257" s="219" t="s">
        <v>946</v>
      </c>
      <c r="D257" s="236">
        <v>12</v>
      </c>
      <c r="E257" s="236">
        <v>11.4</v>
      </c>
      <c r="F257" s="236">
        <v>10.8</v>
      </c>
      <c r="G257" s="236">
        <v>10.6</v>
      </c>
      <c r="H257" s="236">
        <v>10.3</v>
      </c>
      <c r="I257" s="236">
        <v>10</v>
      </c>
      <c r="J257" s="236">
        <v>10.1</v>
      </c>
      <c r="K257" s="236">
        <v>10.6</v>
      </c>
      <c r="L257" s="236">
        <v>12.7</v>
      </c>
      <c r="M257" s="236">
        <v>14.3</v>
      </c>
      <c r="N257" s="236">
        <v>15.3</v>
      </c>
      <c r="O257" s="236">
        <v>16.7</v>
      </c>
      <c r="P257" s="236">
        <v>17.600000000000001</v>
      </c>
      <c r="Q257" s="236">
        <v>18.3</v>
      </c>
      <c r="R257" s="236">
        <v>18.399999999999999</v>
      </c>
      <c r="S257" s="236">
        <v>18.399999999999999</v>
      </c>
      <c r="T257" s="236">
        <v>18.2</v>
      </c>
      <c r="U257" s="236">
        <v>15.7</v>
      </c>
      <c r="V257" s="236">
        <v>14.6</v>
      </c>
      <c r="W257" s="236">
        <v>14.4</v>
      </c>
      <c r="X257" s="236">
        <v>13.1</v>
      </c>
      <c r="Y257" s="236">
        <v>12.5</v>
      </c>
      <c r="Z257" s="236">
        <v>12.5</v>
      </c>
      <c r="AA257" s="236">
        <v>12.1</v>
      </c>
      <c r="AB257" s="985" t="s">
        <v>854</v>
      </c>
      <c r="AC257" s="986"/>
      <c r="AD257" s="227"/>
      <c r="AE257" s="237" t="s">
        <v>851</v>
      </c>
      <c r="AF257" s="227">
        <v>0.6</v>
      </c>
      <c r="AG257" s="227" t="s">
        <v>852</v>
      </c>
      <c r="AH257" s="227"/>
      <c r="AI257" s="227"/>
      <c r="AJ257" s="227"/>
    </row>
    <row r="258" spans="1:36" ht="15.6" x14ac:dyDescent="0.35">
      <c r="A258" s="218" t="s">
        <v>175</v>
      </c>
      <c r="B258" s="217" t="s">
        <v>875</v>
      </c>
      <c r="C258" s="219" t="s">
        <v>946</v>
      </c>
      <c r="D258" s="236">
        <v>5.5</v>
      </c>
      <c r="E258" s="236">
        <v>5</v>
      </c>
      <c r="F258" s="236">
        <v>5.0999999999999996</v>
      </c>
      <c r="G258" s="236">
        <v>4.7</v>
      </c>
      <c r="H258" s="236">
        <v>4.3</v>
      </c>
      <c r="I258" s="236">
        <v>4.2</v>
      </c>
      <c r="J258" s="236">
        <v>4.0999999999999996</v>
      </c>
      <c r="K258" s="236">
        <v>4</v>
      </c>
      <c r="L258" s="236">
        <v>4.3</v>
      </c>
      <c r="M258" s="236">
        <v>5</v>
      </c>
      <c r="N258" s="236">
        <v>7.1</v>
      </c>
      <c r="O258" s="236">
        <v>7.7</v>
      </c>
      <c r="P258" s="236">
        <v>8.6</v>
      </c>
      <c r="Q258" s="236">
        <v>9.9</v>
      </c>
      <c r="R258" s="236">
        <v>9.6999999999999993</v>
      </c>
      <c r="S258" s="236">
        <v>9.3000000000000007</v>
      </c>
      <c r="T258" s="236">
        <v>9</v>
      </c>
      <c r="U258" s="236">
        <v>8.4</v>
      </c>
      <c r="V258" s="236">
        <v>7.4</v>
      </c>
      <c r="W258" s="236">
        <v>6.4</v>
      </c>
      <c r="X258" s="236">
        <v>6.6</v>
      </c>
      <c r="Y258" s="236">
        <v>6.2</v>
      </c>
      <c r="Z258" s="236">
        <v>5.5</v>
      </c>
      <c r="AA258" s="236">
        <v>5.5</v>
      </c>
      <c r="AB258" s="235">
        <v>2300</v>
      </c>
      <c r="AC258" s="232"/>
      <c r="AD258" s="227"/>
      <c r="AE258" s="227">
        <v>28</v>
      </c>
      <c r="AF258" s="227" t="s">
        <v>478</v>
      </c>
      <c r="AG258" s="227"/>
      <c r="AH258" s="227"/>
      <c r="AI258" s="227"/>
      <c r="AJ258" s="227"/>
    </row>
    <row r="259" spans="1:36" ht="15.6" x14ac:dyDescent="0.35">
      <c r="A259" s="218" t="s">
        <v>176</v>
      </c>
      <c r="B259" s="217" t="s">
        <v>875</v>
      </c>
      <c r="C259" s="219" t="s">
        <v>946</v>
      </c>
      <c r="D259" s="236">
        <v>1</v>
      </c>
      <c r="E259" s="236">
        <v>0.5</v>
      </c>
      <c r="F259" s="236">
        <v>0.7</v>
      </c>
      <c r="G259" s="236">
        <v>0.6</v>
      </c>
      <c r="H259" s="236">
        <v>-0.3</v>
      </c>
      <c r="I259" s="236">
        <v>0.5</v>
      </c>
      <c r="J259" s="236">
        <v>0.5</v>
      </c>
      <c r="K259" s="236">
        <v>0.6</v>
      </c>
      <c r="L259" s="236">
        <v>1.3</v>
      </c>
      <c r="M259" s="236">
        <v>2.6</v>
      </c>
      <c r="N259" s="236">
        <v>3.1</v>
      </c>
      <c r="O259" s="236">
        <v>4.7</v>
      </c>
      <c r="P259" s="236">
        <v>5.4</v>
      </c>
      <c r="Q259" s="236">
        <v>6.1</v>
      </c>
      <c r="R259" s="236">
        <v>6.3</v>
      </c>
      <c r="S259" s="236">
        <v>5.8</v>
      </c>
      <c r="T259" s="236">
        <v>5.9</v>
      </c>
      <c r="U259" s="236">
        <v>3.3</v>
      </c>
      <c r="V259" s="236">
        <v>2.2999999999999998</v>
      </c>
      <c r="W259" s="236">
        <v>2.2999999999999998</v>
      </c>
      <c r="X259" s="236">
        <v>2.2000000000000002</v>
      </c>
      <c r="Y259" s="236">
        <v>2</v>
      </c>
      <c r="Z259" s="236">
        <v>1.6</v>
      </c>
      <c r="AA259" s="236">
        <v>1</v>
      </c>
      <c r="AB259" s="227"/>
      <c r="AC259" s="227"/>
      <c r="AD259" s="227"/>
      <c r="AE259" s="227">
        <v>6</v>
      </c>
      <c r="AF259" s="227" t="s">
        <v>472</v>
      </c>
      <c r="AG259" s="227"/>
      <c r="AH259" s="227"/>
      <c r="AI259" s="227"/>
      <c r="AJ259" s="227"/>
    </row>
    <row r="260" spans="1:36" ht="15.6" x14ac:dyDescent="0.35">
      <c r="A260" s="487" t="s">
        <v>1096</v>
      </c>
      <c r="C260" s="488" t="s">
        <v>12</v>
      </c>
      <c r="D260" s="227">
        <v>0.6</v>
      </c>
      <c r="E260" s="227">
        <v>2.4</v>
      </c>
      <c r="F260" s="227">
        <v>6.9</v>
      </c>
      <c r="G260" s="227">
        <v>12.4</v>
      </c>
      <c r="H260" s="227">
        <v>16.399999999999999</v>
      </c>
      <c r="I260" s="227">
        <v>21</v>
      </c>
      <c r="J260" s="227">
        <v>23.8</v>
      </c>
      <c r="K260" s="227">
        <v>23.5</v>
      </c>
      <c r="L260" s="227">
        <v>19.399999999999999</v>
      </c>
      <c r="M260" s="227">
        <v>13.6</v>
      </c>
      <c r="N260" s="227">
        <v>7.9</v>
      </c>
      <c r="O260" s="227">
        <v>2.8</v>
      </c>
      <c r="P260" s="227"/>
      <c r="Q260" s="227"/>
      <c r="R260" s="227"/>
      <c r="S260" s="227"/>
      <c r="T260" s="227"/>
      <c r="U260" s="227"/>
      <c r="V260" s="227"/>
      <c r="W260" s="227"/>
      <c r="X260" s="227" t="s">
        <v>106</v>
      </c>
      <c r="Y260" s="227">
        <v>1.67</v>
      </c>
      <c r="Z260" s="227">
        <v>2.33</v>
      </c>
      <c r="AA260" s="227">
        <v>3.19</v>
      </c>
      <c r="AB260" s="227">
        <v>4.0999999999999996</v>
      </c>
      <c r="AC260" s="227">
        <v>4.78</v>
      </c>
      <c r="AD260" s="227">
        <v>5.58</v>
      </c>
      <c r="AE260" s="227">
        <v>5.44</v>
      </c>
      <c r="AF260" s="227">
        <v>5.48</v>
      </c>
      <c r="AG260" s="227">
        <v>4.26</v>
      </c>
      <c r="AH260" s="227">
        <v>2.67</v>
      </c>
      <c r="AI260" s="227">
        <v>1.7</v>
      </c>
      <c r="AJ260" s="227">
        <v>1.33</v>
      </c>
    </row>
    <row r="261" spans="1:36" ht="15.6" x14ac:dyDescent="0.35">
      <c r="D261" s="227"/>
      <c r="E261" s="227"/>
      <c r="F261" s="227"/>
      <c r="G261" s="227"/>
      <c r="H261" s="227"/>
      <c r="I261" s="227"/>
      <c r="J261" s="227"/>
      <c r="K261" s="227"/>
      <c r="L261" s="227"/>
      <c r="M261" s="227"/>
      <c r="N261" s="227"/>
      <c r="O261" s="227"/>
      <c r="P261" s="227"/>
      <c r="Q261" s="227"/>
      <c r="R261" s="227"/>
      <c r="S261" s="227"/>
      <c r="T261" s="227"/>
      <c r="U261" s="227"/>
      <c r="V261" s="227"/>
      <c r="W261" s="227"/>
      <c r="X261" s="227" t="s">
        <v>107</v>
      </c>
      <c r="Y261" s="227">
        <v>0.43</v>
      </c>
      <c r="Z261" s="227">
        <v>0.44</v>
      </c>
      <c r="AA261" s="227">
        <v>0.44</v>
      </c>
      <c r="AB261" s="227">
        <v>0.44</v>
      </c>
      <c r="AC261" s="227">
        <v>0.44</v>
      </c>
      <c r="AD261" s="227">
        <v>0.48</v>
      </c>
      <c r="AE261" s="227">
        <v>0.49</v>
      </c>
      <c r="AF261" s="227">
        <v>0.55000000000000004</v>
      </c>
      <c r="AG261" s="227">
        <v>0.53</v>
      </c>
      <c r="AH261" s="227">
        <v>0.46</v>
      </c>
      <c r="AI261" s="227">
        <v>0.41</v>
      </c>
      <c r="AJ261" s="227">
        <v>0.39</v>
      </c>
    </row>
    <row r="270" spans="1:36" x14ac:dyDescent="0.25">
      <c r="A270" s="975" t="s">
        <v>816</v>
      </c>
      <c r="B270" s="975"/>
      <c r="C270" s="975"/>
      <c r="D270" s="975"/>
      <c r="E270" s="975"/>
      <c r="F270" s="975"/>
      <c r="G270" s="975"/>
      <c r="H270" s="975"/>
      <c r="I270" s="975"/>
      <c r="J270" s="975"/>
      <c r="K270" s="975"/>
      <c r="L270" s="975"/>
      <c r="M270" s="975"/>
      <c r="N270" s="975"/>
      <c r="O270" s="975"/>
      <c r="P270" s="975"/>
      <c r="Q270" s="975"/>
      <c r="R270" s="975"/>
      <c r="S270" s="975"/>
      <c r="T270" s="975"/>
      <c r="U270" s="975"/>
      <c r="V270" s="975"/>
      <c r="W270" s="975"/>
      <c r="X270" s="975"/>
      <c r="Y270" s="975"/>
      <c r="Z270" s="975"/>
      <c r="AA270" s="975"/>
    </row>
    <row r="272" spans="1:36" x14ac:dyDescent="0.25">
      <c r="A272" s="216"/>
      <c r="B272" s="217" t="s">
        <v>466</v>
      </c>
      <c r="C272" s="217" t="s">
        <v>950</v>
      </c>
      <c r="D272" s="195">
        <v>0</v>
      </c>
      <c r="E272" s="195">
        <v>1</v>
      </c>
      <c r="F272" s="195">
        <v>2</v>
      </c>
      <c r="G272" s="195">
        <v>3</v>
      </c>
      <c r="H272" s="195">
        <v>4</v>
      </c>
      <c r="I272" s="195">
        <v>5</v>
      </c>
      <c r="J272" s="195">
        <v>6</v>
      </c>
      <c r="K272" s="195">
        <v>7</v>
      </c>
      <c r="L272" s="195">
        <v>8</v>
      </c>
      <c r="M272" s="195">
        <v>9</v>
      </c>
      <c r="N272" s="195">
        <v>10</v>
      </c>
      <c r="O272" s="195">
        <v>11</v>
      </c>
      <c r="P272" s="195">
        <v>12</v>
      </c>
      <c r="Q272" s="195">
        <v>13</v>
      </c>
      <c r="R272" s="195">
        <v>14</v>
      </c>
      <c r="S272" s="195">
        <v>15</v>
      </c>
      <c r="T272" s="195">
        <v>16</v>
      </c>
      <c r="U272" s="195">
        <v>17</v>
      </c>
      <c r="V272" s="195">
        <v>18</v>
      </c>
      <c r="W272" s="195">
        <v>19</v>
      </c>
      <c r="X272" s="195">
        <v>20</v>
      </c>
      <c r="Y272" s="195">
        <v>21</v>
      </c>
      <c r="Z272" s="195">
        <v>22</v>
      </c>
      <c r="AA272" s="195">
        <v>23</v>
      </c>
      <c r="AB272" s="979" t="s">
        <v>843</v>
      </c>
      <c r="AC272" s="980"/>
      <c r="AD272" s="980"/>
      <c r="AE272" s="980"/>
      <c r="AF272" s="980"/>
      <c r="AG272" s="980"/>
      <c r="AH272" s="980"/>
      <c r="AI272" s="980"/>
      <c r="AJ272" s="980"/>
    </row>
    <row r="273" spans="1:36" ht="16.2" x14ac:dyDescent="0.35">
      <c r="A273" s="218" t="s">
        <v>167</v>
      </c>
      <c r="B273" s="217" t="s">
        <v>875</v>
      </c>
      <c r="C273" s="219" t="s">
        <v>946</v>
      </c>
      <c r="D273" s="236">
        <v>1</v>
      </c>
      <c r="E273" s="236">
        <v>0.9</v>
      </c>
      <c r="F273" s="236">
        <v>0.9</v>
      </c>
      <c r="G273" s="236">
        <v>0.9</v>
      </c>
      <c r="H273" s="236">
        <v>0.2</v>
      </c>
      <c r="I273" s="236">
        <v>0.2</v>
      </c>
      <c r="J273" s="236">
        <v>-0.1</v>
      </c>
      <c r="K273" s="236">
        <v>0</v>
      </c>
      <c r="L273" s="236">
        <v>0.6</v>
      </c>
      <c r="M273" s="236">
        <v>1.7</v>
      </c>
      <c r="N273" s="236">
        <v>2.4</v>
      </c>
      <c r="O273" s="236">
        <v>3.9</v>
      </c>
      <c r="P273" s="236">
        <v>5.2</v>
      </c>
      <c r="Q273" s="236">
        <v>5.9</v>
      </c>
      <c r="R273" s="236">
        <v>6.2</v>
      </c>
      <c r="S273" s="236">
        <v>6.2</v>
      </c>
      <c r="T273" s="236">
        <v>5.9</v>
      </c>
      <c r="U273" s="236">
        <v>3.4</v>
      </c>
      <c r="V273" s="236">
        <v>2.7</v>
      </c>
      <c r="W273" s="236">
        <v>2.4</v>
      </c>
      <c r="X273" s="236">
        <v>2.1</v>
      </c>
      <c r="Y273" s="236">
        <v>2</v>
      </c>
      <c r="Z273" s="236">
        <v>1.3</v>
      </c>
      <c r="AA273" s="236">
        <v>1.1000000000000001</v>
      </c>
      <c r="AB273" s="225" t="s">
        <v>877</v>
      </c>
      <c r="AC273" s="226" t="s">
        <v>947</v>
      </c>
      <c r="AD273" s="221">
        <v>28.6</v>
      </c>
      <c r="AE273" s="221">
        <v>39.299999999999997</v>
      </c>
      <c r="AF273" s="221">
        <v>53.6</v>
      </c>
      <c r="AG273" s="221">
        <v>68.599999999999994</v>
      </c>
      <c r="AH273" s="221">
        <v>43.9</v>
      </c>
      <c r="AI273" s="221">
        <v>30.3</v>
      </c>
      <c r="AJ273" s="221">
        <v>24.6</v>
      </c>
    </row>
    <row r="274" spans="1:36" ht="16.2" x14ac:dyDescent="0.35">
      <c r="A274" s="218" t="s">
        <v>168</v>
      </c>
      <c r="B274" s="217" t="s">
        <v>875</v>
      </c>
      <c r="C274" s="219" t="s">
        <v>946</v>
      </c>
      <c r="D274" s="236">
        <v>0.5</v>
      </c>
      <c r="E274" s="236">
        <v>-0.1</v>
      </c>
      <c r="F274" s="236">
        <v>-0.4</v>
      </c>
      <c r="G274" s="236">
        <v>-0.6</v>
      </c>
      <c r="H274" s="236">
        <v>-0.9</v>
      </c>
      <c r="I274" s="236">
        <v>-1</v>
      </c>
      <c r="J274" s="236">
        <v>-1.1000000000000001</v>
      </c>
      <c r="K274" s="236">
        <v>-1.1000000000000001</v>
      </c>
      <c r="L274" s="236">
        <v>0.2</v>
      </c>
      <c r="M274" s="236">
        <v>1.8</v>
      </c>
      <c r="N274" s="236">
        <v>3.4</v>
      </c>
      <c r="O274" s="236">
        <v>4.7</v>
      </c>
      <c r="P274" s="236">
        <v>6</v>
      </c>
      <c r="Q274" s="236">
        <v>7.4</v>
      </c>
      <c r="R274" s="236">
        <v>7.5</v>
      </c>
      <c r="S274" s="236">
        <v>7.6</v>
      </c>
      <c r="T274" s="236">
        <v>7.7</v>
      </c>
      <c r="U274" s="236">
        <v>6.5</v>
      </c>
      <c r="V274" s="236">
        <v>5.3</v>
      </c>
      <c r="W274" s="236">
        <v>4.0999999999999996</v>
      </c>
      <c r="X274" s="236">
        <v>3.5</v>
      </c>
      <c r="Y274" s="236">
        <v>3</v>
      </c>
      <c r="Z274" s="236">
        <v>1.9</v>
      </c>
      <c r="AA274" s="236">
        <v>1.3</v>
      </c>
      <c r="AB274" s="225" t="s">
        <v>878</v>
      </c>
      <c r="AC274" s="226" t="s">
        <v>947</v>
      </c>
      <c r="AD274" s="221">
        <v>63.1</v>
      </c>
      <c r="AE274" s="221">
        <v>75.8</v>
      </c>
      <c r="AF274" s="221">
        <v>89.3</v>
      </c>
      <c r="AG274" s="221">
        <v>102.7</v>
      </c>
      <c r="AH274" s="221">
        <v>83.1</v>
      </c>
      <c r="AI274" s="221">
        <v>61.1</v>
      </c>
      <c r="AJ274" s="221">
        <v>51.8</v>
      </c>
    </row>
    <row r="275" spans="1:36" ht="16.2" x14ac:dyDescent="0.35">
      <c r="A275" s="218" t="s">
        <v>923</v>
      </c>
      <c r="B275" s="217" t="s">
        <v>875</v>
      </c>
      <c r="C275" s="219" t="s">
        <v>946</v>
      </c>
      <c r="D275" s="236">
        <v>4.3</v>
      </c>
      <c r="E275" s="236">
        <v>3.7</v>
      </c>
      <c r="F275" s="236">
        <v>3.3</v>
      </c>
      <c r="G275" s="236">
        <v>2.9</v>
      </c>
      <c r="H275" s="236">
        <v>2.5</v>
      </c>
      <c r="I275" s="236">
        <v>2.7</v>
      </c>
      <c r="J275" s="236">
        <v>2.6</v>
      </c>
      <c r="K275" s="236">
        <v>2.6</v>
      </c>
      <c r="L275" s="236">
        <v>4.3</v>
      </c>
      <c r="M275" s="236">
        <v>5.9</v>
      </c>
      <c r="N275" s="236">
        <v>7.6</v>
      </c>
      <c r="O275" s="236">
        <v>8.5</v>
      </c>
      <c r="P275" s="236">
        <v>9.5</v>
      </c>
      <c r="Q275" s="236">
        <v>10.5</v>
      </c>
      <c r="R275" s="236">
        <v>10.4</v>
      </c>
      <c r="S275" s="236">
        <v>10.4</v>
      </c>
      <c r="T275" s="236">
        <v>10.7</v>
      </c>
      <c r="U275" s="236">
        <v>9.6999999999999993</v>
      </c>
      <c r="V275" s="236">
        <v>8.6</v>
      </c>
      <c r="W275" s="236">
        <v>7.5</v>
      </c>
      <c r="X275" s="236">
        <v>6.9</v>
      </c>
      <c r="Y275" s="236">
        <v>6.2</v>
      </c>
      <c r="Z275" s="236">
        <v>5.5</v>
      </c>
      <c r="AA275" s="236">
        <v>5</v>
      </c>
      <c r="AB275" s="225" t="s">
        <v>879</v>
      </c>
      <c r="AC275" s="226" t="s">
        <v>947</v>
      </c>
      <c r="AD275" s="221">
        <v>118.8</v>
      </c>
      <c r="AE275" s="221">
        <v>125.5</v>
      </c>
      <c r="AF275" s="221">
        <v>119.2</v>
      </c>
      <c r="AG275" s="221">
        <v>103</v>
      </c>
      <c r="AH275" s="221">
        <v>130.6</v>
      </c>
      <c r="AI275" s="221">
        <v>109.9</v>
      </c>
      <c r="AJ275" s="221">
        <v>98.5</v>
      </c>
    </row>
    <row r="276" spans="1:36" ht="16.2" x14ac:dyDescent="0.35">
      <c r="A276" s="218" t="s">
        <v>924</v>
      </c>
      <c r="B276" s="217" t="s">
        <v>875</v>
      </c>
      <c r="C276" s="219" t="s">
        <v>946</v>
      </c>
      <c r="D276" s="236">
        <v>9.9</v>
      </c>
      <c r="E276" s="236">
        <v>9.1999999999999993</v>
      </c>
      <c r="F276" s="236">
        <v>8.8000000000000007</v>
      </c>
      <c r="G276" s="236">
        <v>7.9</v>
      </c>
      <c r="H276" s="236">
        <v>7.1</v>
      </c>
      <c r="I276" s="236">
        <v>7.8</v>
      </c>
      <c r="J276" s="236">
        <v>8.6999999999999993</v>
      </c>
      <c r="K276" s="236">
        <v>9.5</v>
      </c>
      <c r="L276" s="236">
        <v>10.4</v>
      </c>
      <c r="M276" s="236">
        <v>11.9</v>
      </c>
      <c r="N276" s="236">
        <v>13.6</v>
      </c>
      <c r="O276" s="236">
        <v>14.6</v>
      </c>
      <c r="P276" s="236">
        <v>15.6</v>
      </c>
      <c r="Q276" s="236">
        <v>16.8</v>
      </c>
      <c r="R276" s="236">
        <v>17.2</v>
      </c>
      <c r="S276" s="236">
        <v>17.3</v>
      </c>
      <c r="T276" s="236">
        <v>17.600000000000001</v>
      </c>
      <c r="U276" s="236">
        <v>16.5</v>
      </c>
      <c r="V276" s="236">
        <v>15.4</v>
      </c>
      <c r="W276" s="236">
        <v>14.3</v>
      </c>
      <c r="X276" s="236">
        <v>13.5</v>
      </c>
      <c r="Y276" s="236">
        <v>12.4</v>
      </c>
      <c r="Z276" s="236">
        <v>11.2</v>
      </c>
      <c r="AA276" s="236">
        <v>10.6</v>
      </c>
      <c r="AB276" s="225" t="s">
        <v>880</v>
      </c>
      <c r="AC276" s="226" t="s">
        <v>947</v>
      </c>
      <c r="AD276" s="221">
        <v>63.1</v>
      </c>
      <c r="AE276" s="221">
        <v>75.8</v>
      </c>
      <c r="AF276" s="221">
        <v>89.3</v>
      </c>
      <c r="AG276" s="221">
        <v>102.7</v>
      </c>
      <c r="AH276" s="221">
        <v>83.1</v>
      </c>
      <c r="AI276" s="221">
        <v>61.1</v>
      </c>
      <c r="AJ276" s="221">
        <v>51.8</v>
      </c>
    </row>
    <row r="277" spans="1:36" ht="16.2" x14ac:dyDescent="0.35">
      <c r="A277" s="976" t="s">
        <v>169</v>
      </c>
      <c r="B277" s="217" t="s">
        <v>875</v>
      </c>
      <c r="C277" s="219" t="s">
        <v>946</v>
      </c>
      <c r="D277" s="236">
        <v>14.9</v>
      </c>
      <c r="E277" s="236">
        <v>14.3</v>
      </c>
      <c r="F277" s="236">
        <v>13.8</v>
      </c>
      <c r="G277" s="236">
        <v>13.3</v>
      </c>
      <c r="H277" s="236">
        <v>12.7</v>
      </c>
      <c r="I277" s="236">
        <v>13.3</v>
      </c>
      <c r="J277" s="236">
        <v>13.9</v>
      </c>
      <c r="K277" s="236">
        <v>14.4</v>
      </c>
      <c r="L277" s="236">
        <v>16</v>
      </c>
      <c r="M277" s="236">
        <v>17.5</v>
      </c>
      <c r="N277" s="236">
        <v>19.100000000000001</v>
      </c>
      <c r="O277" s="236">
        <v>19.899999999999999</v>
      </c>
      <c r="P277" s="236">
        <v>20.7</v>
      </c>
      <c r="Q277" s="236">
        <v>21.6</v>
      </c>
      <c r="R277" s="236">
        <v>21.9</v>
      </c>
      <c r="S277" s="236">
        <v>22.1</v>
      </c>
      <c r="T277" s="236">
        <v>22.4</v>
      </c>
      <c r="U277" s="236">
        <v>21.2</v>
      </c>
      <c r="V277" s="236">
        <v>20</v>
      </c>
      <c r="W277" s="236">
        <v>18.899999999999999</v>
      </c>
      <c r="X277" s="236">
        <v>18</v>
      </c>
      <c r="Y277" s="236">
        <v>17.2</v>
      </c>
      <c r="Z277" s="236">
        <v>16.399999999999999</v>
      </c>
      <c r="AA277" s="236">
        <v>15.7</v>
      </c>
      <c r="AB277" s="225" t="s">
        <v>881</v>
      </c>
      <c r="AC277" s="226" t="s">
        <v>947</v>
      </c>
      <c r="AD277" s="221">
        <v>74.400000000000006</v>
      </c>
      <c r="AE277" s="221">
        <v>102.1</v>
      </c>
      <c r="AF277" s="221">
        <v>139.4</v>
      </c>
      <c r="AG277" s="221">
        <v>178.8</v>
      </c>
      <c r="AH277" s="221">
        <v>116.8</v>
      </c>
      <c r="AI277" s="221">
        <v>75.8</v>
      </c>
      <c r="AJ277" s="221">
        <v>60.5</v>
      </c>
    </row>
    <row r="278" spans="1:36" ht="15.6" x14ac:dyDescent="0.35">
      <c r="A278" s="976"/>
      <c r="B278" s="217" t="s">
        <v>876</v>
      </c>
      <c r="C278" s="219" t="s">
        <v>1</v>
      </c>
      <c r="D278" s="236">
        <v>73</v>
      </c>
      <c r="E278" s="236">
        <v>75</v>
      </c>
      <c r="F278" s="236">
        <v>77</v>
      </c>
      <c r="G278" s="236">
        <v>79</v>
      </c>
      <c r="H278" s="236">
        <v>81</v>
      </c>
      <c r="I278" s="236">
        <v>80</v>
      </c>
      <c r="J278" s="236">
        <v>77</v>
      </c>
      <c r="K278" s="236">
        <v>75</v>
      </c>
      <c r="L278" s="236">
        <v>70</v>
      </c>
      <c r="M278" s="236">
        <v>65</v>
      </c>
      <c r="N278" s="236">
        <v>61</v>
      </c>
      <c r="O278" s="236">
        <v>57</v>
      </c>
      <c r="P278" s="236">
        <v>54</v>
      </c>
      <c r="Q278" s="236">
        <v>52</v>
      </c>
      <c r="R278" s="236">
        <v>52</v>
      </c>
      <c r="S278" s="236">
        <v>51</v>
      </c>
      <c r="T278" s="236">
        <v>51</v>
      </c>
      <c r="U278" s="236">
        <v>55</v>
      </c>
      <c r="V278" s="236">
        <v>60</v>
      </c>
      <c r="W278" s="236">
        <v>65</v>
      </c>
      <c r="X278" s="236">
        <v>66</v>
      </c>
      <c r="Y278" s="236">
        <v>68</v>
      </c>
      <c r="Z278" s="236">
        <v>70</v>
      </c>
      <c r="AA278" s="236">
        <v>71</v>
      </c>
      <c r="AB278" s="227"/>
      <c r="AC278" s="443" t="s">
        <v>340</v>
      </c>
      <c r="AD278" s="443">
        <v>2.2000000000000002</v>
      </c>
      <c r="AE278" s="443">
        <v>3.9</v>
      </c>
      <c r="AF278" s="443">
        <v>8.1</v>
      </c>
      <c r="AG278" s="443">
        <v>13.4</v>
      </c>
      <c r="AH278" s="443">
        <v>13.8</v>
      </c>
      <c r="AI278" s="443">
        <v>8.6999999999999993</v>
      </c>
      <c r="AJ278" s="443">
        <v>4</v>
      </c>
    </row>
    <row r="279" spans="1:36" ht="15.6" x14ac:dyDescent="0.35">
      <c r="A279" s="976" t="s">
        <v>170</v>
      </c>
      <c r="B279" s="217" t="s">
        <v>875</v>
      </c>
      <c r="C279" s="219" t="s">
        <v>946</v>
      </c>
      <c r="D279" s="236">
        <v>19.600000000000001</v>
      </c>
      <c r="E279" s="236">
        <v>18.899999999999999</v>
      </c>
      <c r="F279" s="236">
        <v>18.100000000000001</v>
      </c>
      <c r="G279" s="236">
        <v>17.3</v>
      </c>
      <c r="H279" s="236">
        <v>16.5</v>
      </c>
      <c r="I279" s="236">
        <v>17.3</v>
      </c>
      <c r="J279" s="236">
        <v>18.2</v>
      </c>
      <c r="K279" s="236">
        <v>19.100000000000001</v>
      </c>
      <c r="L279" s="236">
        <v>20.8</v>
      </c>
      <c r="M279" s="236">
        <v>22.4</v>
      </c>
      <c r="N279" s="236">
        <v>24</v>
      </c>
      <c r="O279" s="236">
        <v>24.9</v>
      </c>
      <c r="P279" s="236">
        <v>25.9</v>
      </c>
      <c r="Q279" s="236">
        <v>26.8</v>
      </c>
      <c r="R279" s="236">
        <v>26.7</v>
      </c>
      <c r="S279" s="236">
        <v>26.6</v>
      </c>
      <c r="T279" s="236">
        <v>26.5</v>
      </c>
      <c r="U279" s="236">
        <v>25.6</v>
      </c>
      <c r="V279" s="236">
        <v>24.7</v>
      </c>
      <c r="W279" s="236">
        <v>23.8</v>
      </c>
      <c r="X279" s="236">
        <v>22.9</v>
      </c>
      <c r="Y279" s="236">
        <v>22</v>
      </c>
      <c r="Z279" s="236">
        <v>21</v>
      </c>
      <c r="AA279" s="236">
        <v>20.3</v>
      </c>
      <c r="AB279" s="977" t="s">
        <v>853</v>
      </c>
      <c r="AC279" s="978"/>
      <c r="AD279" s="978"/>
      <c r="AE279" s="978"/>
      <c r="AF279" s="978"/>
      <c r="AG279" s="978"/>
      <c r="AH279" s="978"/>
      <c r="AI279" s="978"/>
      <c r="AJ279" s="978"/>
    </row>
    <row r="280" spans="1:36" ht="16.2" x14ac:dyDescent="0.35">
      <c r="A280" s="976"/>
      <c r="B280" s="217" t="s">
        <v>876</v>
      </c>
      <c r="C280" s="219" t="s">
        <v>1</v>
      </c>
      <c r="D280" s="236">
        <v>76</v>
      </c>
      <c r="E280" s="236">
        <v>78</v>
      </c>
      <c r="F280" s="236">
        <v>79</v>
      </c>
      <c r="G280" s="236">
        <v>81</v>
      </c>
      <c r="H280" s="236">
        <v>83</v>
      </c>
      <c r="I280" s="236">
        <v>81</v>
      </c>
      <c r="J280" s="236">
        <v>78</v>
      </c>
      <c r="K280" s="236">
        <v>76</v>
      </c>
      <c r="L280" s="236">
        <v>69</v>
      </c>
      <c r="M280" s="236">
        <v>64</v>
      </c>
      <c r="N280" s="236">
        <v>59</v>
      </c>
      <c r="O280" s="236">
        <v>56</v>
      </c>
      <c r="P280" s="236">
        <v>53</v>
      </c>
      <c r="Q280" s="236">
        <v>50</v>
      </c>
      <c r="R280" s="236">
        <v>51</v>
      </c>
      <c r="S280" s="236">
        <v>53</v>
      </c>
      <c r="T280" s="236">
        <v>54</v>
      </c>
      <c r="U280" s="236">
        <v>57</v>
      </c>
      <c r="V280" s="236">
        <v>60</v>
      </c>
      <c r="W280" s="236">
        <v>63</v>
      </c>
      <c r="X280" s="236">
        <v>66</v>
      </c>
      <c r="Y280" s="236">
        <v>69</v>
      </c>
      <c r="Z280" s="236">
        <v>72</v>
      </c>
      <c r="AA280" s="236">
        <v>74</v>
      </c>
      <c r="AB280" s="225" t="s">
        <v>877</v>
      </c>
      <c r="AC280" s="226" t="s">
        <v>947</v>
      </c>
      <c r="AD280" s="221">
        <v>79.400000000000006</v>
      </c>
      <c r="AE280" s="221">
        <v>86</v>
      </c>
      <c r="AF280" s="221">
        <v>83.7</v>
      </c>
      <c r="AG280" s="221">
        <v>76</v>
      </c>
      <c r="AH280" s="221">
        <v>61.5</v>
      </c>
      <c r="AI280" s="227"/>
      <c r="AJ280" s="227"/>
    </row>
    <row r="281" spans="1:36" ht="16.2" x14ac:dyDescent="0.35">
      <c r="A281" s="976" t="s">
        <v>171</v>
      </c>
      <c r="B281" s="217" t="s">
        <v>875</v>
      </c>
      <c r="C281" s="219" t="s">
        <v>946</v>
      </c>
      <c r="D281" s="236">
        <v>19.899999999999999</v>
      </c>
      <c r="E281" s="236">
        <v>19.100000000000001</v>
      </c>
      <c r="F281" s="236">
        <v>18.600000000000001</v>
      </c>
      <c r="G281" s="236">
        <v>18</v>
      </c>
      <c r="H281" s="236">
        <v>17.5</v>
      </c>
      <c r="I281" s="236">
        <v>18.3</v>
      </c>
      <c r="J281" s="236">
        <v>19.100000000000001</v>
      </c>
      <c r="K281" s="236">
        <v>20</v>
      </c>
      <c r="L281" s="236">
        <v>21.3</v>
      </c>
      <c r="M281" s="236">
        <v>23.1</v>
      </c>
      <c r="N281" s="236">
        <v>25.1</v>
      </c>
      <c r="O281" s="236">
        <v>26</v>
      </c>
      <c r="P281" s="236">
        <v>26.9</v>
      </c>
      <c r="Q281" s="236">
        <v>27.9</v>
      </c>
      <c r="R281" s="236">
        <v>28</v>
      </c>
      <c r="S281" s="236">
        <v>28</v>
      </c>
      <c r="T281" s="236">
        <v>28.1</v>
      </c>
      <c r="U281" s="236">
        <v>27</v>
      </c>
      <c r="V281" s="236">
        <v>25.8</v>
      </c>
      <c r="W281" s="236">
        <v>24.6</v>
      </c>
      <c r="X281" s="236">
        <v>23.7</v>
      </c>
      <c r="Y281" s="236">
        <v>22.8</v>
      </c>
      <c r="Z281" s="236">
        <v>21.4</v>
      </c>
      <c r="AA281" s="236">
        <v>20.7</v>
      </c>
      <c r="AB281" s="225" t="s">
        <v>878</v>
      </c>
      <c r="AC281" s="226" t="s">
        <v>947</v>
      </c>
      <c r="AD281" s="221">
        <v>115.3</v>
      </c>
      <c r="AE281" s="221">
        <v>132.9</v>
      </c>
      <c r="AF281" s="221">
        <v>129.69999999999999</v>
      </c>
      <c r="AG281" s="221">
        <v>133.9</v>
      </c>
      <c r="AH281" s="221">
        <v>116.8</v>
      </c>
      <c r="AI281" s="227"/>
      <c r="AJ281" s="227"/>
    </row>
    <row r="282" spans="1:36" ht="16.2" x14ac:dyDescent="0.35">
      <c r="A282" s="976"/>
      <c r="B282" s="217" t="s">
        <v>876</v>
      </c>
      <c r="C282" s="219" t="s">
        <v>1</v>
      </c>
      <c r="D282" s="236">
        <v>78</v>
      </c>
      <c r="E282" s="236">
        <v>81</v>
      </c>
      <c r="F282" s="236">
        <v>83</v>
      </c>
      <c r="G282" s="236">
        <v>85</v>
      </c>
      <c r="H282" s="236">
        <v>86</v>
      </c>
      <c r="I282" s="236">
        <v>84</v>
      </c>
      <c r="J282" s="236">
        <v>82</v>
      </c>
      <c r="K282" s="236">
        <v>78</v>
      </c>
      <c r="L282" s="236">
        <v>73</v>
      </c>
      <c r="M282" s="236">
        <v>67</v>
      </c>
      <c r="N282" s="236">
        <v>60</v>
      </c>
      <c r="O282" s="236">
        <v>57</v>
      </c>
      <c r="P282" s="236">
        <v>55</v>
      </c>
      <c r="Q282" s="236">
        <v>52</v>
      </c>
      <c r="R282" s="236">
        <v>52</v>
      </c>
      <c r="S282" s="236">
        <v>52</v>
      </c>
      <c r="T282" s="236">
        <v>51</v>
      </c>
      <c r="U282" s="236">
        <v>55</v>
      </c>
      <c r="V282" s="236">
        <v>59</v>
      </c>
      <c r="W282" s="236">
        <v>64</v>
      </c>
      <c r="X282" s="236">
        <v>67</v>
      </c>
      <c r="Y282" s="236">
        <v>69</v>
      </c>
      <c r="Z282" s="236">
        <v>73</v>
      </c>
      <c r="AA282" s="236">
        <v>75</v>
      </c>
      <c r="AB282" s="225" t="s">
        <v>879</v>
      </c>
      <c r="AC282" s="226" t="s">
        <v>947</v>
      </c>
      <c r="AD282" s="221">
        <v>95.5</v>
      </c>
      <c r="AE282" s="221">
        <v>106.1</v>
      </c>
      <c r="AF282" s="221">
        <v>106.1</v>
      </c>
      <c r="AG282" s="221">
        <v>133.30000000000001</v>
      </c>
      <c r="AH282" s="221">
        <v>151</v>
      </c>
      <c r="AI282" s="227"/>
      <c r="AJ282" s="227"/>
    </row>
    <row r="283" spans="1:36" ht="16.2" x14ac:dyDescent="0.35">
      <c r="A283" s="976" t="s">
        <v>172</v>
      </c>
      <c r="B283" s="217" t="s">
        <v>875</v>
      </c>
      <c r="C283" s="219" t="s">
        <v>946</v>
      </c>
      <c r="D283" s="236">
        <v>20.100000000000001</v>
      </c>
      <c r="E283" s="236">
        <v>19.3</v>
      </c>
      <c r="F283" s="236">
        <v>18.8</v>
      </c>
      <c r="G283" s="236">
        <v>18.3</v>
      </c>
      <c r="H283" s="236">
        <v>17.399999999999999</v>
      </c>
      <c r="I283" s="236">
        <v>18.100000000000001</v>
      </c>
      <c r="J283" s="236">
        <v>18.899999999999999</v>
      </c>
      <c r="K283" s="236">
        <v>19.7</v>
      </c>
      <c r="L283" s="236">
        <v>21.5</v>
      </c>
      <c r="M283" s="236">
        <v>23.4</v>
      </c>
      <c r="N283" s="236">
        <v>25.3</v>
      </c>
      <c r="O283" s="236">
        <v>26.5</v>
      </c>
      <c r="P283" s="236">
        <v>27.7</v>
      </c>
      <c r="Q283" s="236">
        <v>28.9</v>
      </c>
      <c r="R283" s="236">
        <v>28.8</v>
      </c>
      <c r="S283" s="236">
        <v>28.8</v>
      </c>
      <c r="T283" s="236">
        <v>28.7</v>
      </c>
      <c r="U283" s="236">
        <v>27.4</v>
      </c>
      <c r="V283" s="236">
        <v>26.1</v>
      </c>
      <c r="W283" s="236">
        <v>24.7</v>
      </c>
      <c r="X283" s="236">
        <v>23.7</v>
      </c>
      <c r="Y283" s="236">
        <v>22.5</v>
      </c>
      <c r="Z283" s="236">
        <v>21.4</v>
      </c>
      <c r="AA283" s="236">
        <v>20.7</v>
      </c>
      <c r="AB283" s="225" t="s">
        <v>880</v>
      </c>
      <c r="AC283" s="226" t="s">
        <v>947</v>
      </c>
      <c r="AD283" s="221">
        <v>115.3</v>
      </c>
      <c r="AE283" s="221">
        <v>132.9</v>
      </c>
      <c r="AF283" s="221">
        <v>129.69999999999999</v>
      </c>
      <c r="AG283" s="221">
        <v>133.9</v>
      </c>
      <c r="AH283" s="221">
        <v>116.8</v>
      </c>
      <c r="AI283" s="227"/>
      <c r="AJ283" s="227"/>
    </row>
    <row r="284" spans="1:36" ht="16.2" x14ac:dyDescent="0.35">
      <c r="A284" s="976"/>
      <c r="B284" s="217" t="s">
        <v>876</v>
      </c>
      <c r="C284" s="219" t="s">
        <v>1</v>
      </c>
      <c r="D284" s="236">
        <v>69</v>
      </c>
      <c r="E284" s="236">
        <v>71</v>
      </c>
      <c r="F284" s="236">
        <v>73</v>
      </c>
      <c r="G284" s="236">
        <v>76</v>
      </c>
      <c r="H284" s="236">
        <v>78</v>
      </c>
      <c r="I284" s="236">
        <v>75</v>
      </c>
      <c r="J284" s="236">
        <v>72</v>
      </c>
      <c r="K284" s="236">
        <v>69</v>
      </c>
      <c r="L284" s="236">
        <v>62</v>
      </c>
      <c r="M284" s="236">
        <v>56</v>
      </c>
      <c r="N284" s="236">
        <v>50</v>
      </c>
      <c r="O284" s="236">
        <v>47</v>
      </c>
      <c r="P284" s="236">
        <v>44</v>
      </c>
      <c r="Q284" s="236">
        <v>41</v>
      </c>
      <c r="R284" s="236">
        <v>40</v>
      </c>
      <c r="S284" s="236">
        <v>39</v>
      </c>
      <c r="T284" s="236">
        <v>39</v>
      </c>
      <c r="U284" s="236">
        <v>43</v>
      </c>
      <c r="V284" s="236">
        <v>47</v>
      </c>
      <c r="W284" s="236">
        <v>52</v>
      </c>
      <c r="X284" s="236">
        <v>56</v>
      </c>
      <c r="Y284" s="236">
        <v>59</v>
      </c>
      <c r="Z284" s="236">
        <v>63</v>
      </c>
      <c r="AA284" s="236">
        <v>66</v>
      </c>
      <c r="AB284" s="225" t="s">
        <v>881</v>
      </c>
      <c r="AC284" s="226" t="s">
        <v>947</v>
      </c>
      <c r="AD284" s="221">
        <v>206.6</v>
      </c>
      <c r="AE284" s="221">
        <v>237.6</v>
      </c>
      <c r="AF284" s="221">
        <v>232.4</v>
      </c>
      <c r="AG284" s="221">
        <v>233.6</v>
      </c>
      <c r="AH284" s="221">
        <v>185.1</v>
      </c>
      <c r="AI284" s="227"/>
      <c r="AJ284" s="227"/>
    </row>
    <row r="285" spans="1:36" ht="15.6" x14ac:dyDescent="0.35">
      <c r="A285" s="976" t="s">
        <v>173</v>
      </c>
      <c r="B285" s="217" t="s">
        <v>875</v>
      </c>
      <c r="C285" s="219" t="s">
        <v>946</v>
      </c>
      <c r="D285" s="236">
        <v>16.7</v>
      </c>
      <c r="E285" s="236">
        <v>16</v>
      </c>
      <c r="F285" s="236">
        <v>15.4</v>
      </c>
      <c r="G285" s="236">
        <v>14.8</v>
      </c>
      <c r="H285" s="236">
        <v>14.2</v>
      </c>
      <c r="I285" s="236">
        <v>14.6</v>
      </c>
      <c r="J285" s="236">
        <v>15.1</v>
      </c>
      <c r="K285" s="236">
        <v>15.6</v>
      </c>
      <c r="L285" s="236">
        <v>17.600000000000001</v>
      </c>
      <c r="M285" s="236">
        <v>19.5</v>
      </c>
      <c r="N285" s="236">
        <v>21.5</v>
      </c>
      <c r="O285" s="236">
        <v>22.9</v>
      </c>
      <c r="P285" s="236">
        <v>24.2</v>
      </c>
      <c r="Q285" s="236">
        <v>25.6</v>
      </c>
      <c r="R285" s="236">
        <v>25.6</v>
      </c>
      <c r="S285" s="236">
        <v>25.6</v>
      </c>
      <c r="T285" s="236">
        <v>25.7</v>
      </c>
      <c r="U285" s="236">
        <v>24</v>
      </c>
      <c r="V285" s="236">
        <v>22.4</v>
      </c>
      <c r="W285" s="236">
        <v>20.9</v>
      </c>
      <c r="X285" s="236">
        <v>19.899999999999999</v>
      </c>
      <c r="Y285" s="236">
        <v>19</v>
      </c>
      <c r="Z285" s="236">
        <v>18</v>
      </c>
      <c r="AA285" s="236">
        <v>17.3</v>
      </c>
      <c r="AB285" s="227"/>
      <c r="AC285" s="227"/>
      <c r="AD285" s="227">
        <v>18.100000000000001</v>
      </c>
      <c r="AE285" s="227">
        <v>22.1</v>
      </c>
      <c r="AF285" s="227">
        <v>24.6</v>
      </c>
      <c r="AG285" s="227">
        <v>24.6</v>
      </c>
      <c r="AH285" s="227">
        <v>20.8</v>
      </c>
      <c r="AI285" s="227"/>
      <c r="AJ285" s="227"/>
    </row>
    <row r="286" spans="1:36" ht="15.6" x14ac:dyDescent="0.35">
      <c r="A286" s="976"/>
      <c r="B286" s="217" t="s">
        <v>876</v>
      </c>
      <c r="C286" s="219" t="s">
        <v>1</v>
      </c>
      <c r="D286" s="236">
        <v>76</v>
      </c>
      <c r="E286" s="236">
        <v>78</v>
      </c>
      <c r="F286" s="236">
        <v>81</v>
      </c>
      <c r="G286" s="236">
        <v>83</v>
      </c>
      <c r="H286" s="236">
        <v>86</v>
      </c>
      <c r="I286" s="236">
        <v>86</v>
      </c>
      <c r="J286" s="236">
        <v>85</v>
      </c>
      <c r="K286" s="236">
        <v>84</v>
      </c>
      <c r="L286" s="236">
        <v>76</v>
      </c>
      <c r="M286" s="236">
        <v>69</v>
      </c>
      <c r="N286" s="236">
        <v>63</v>
      </c>
      <c r="O286" s="236">
        <v>58</v>
      </c>
      <c r="P286" s="236">
        <v>54</v>
      </c>
      <c r="Q286" s="236">
        <v>50</v>
      </c>
      <c r="R286" s="236">
        <v>50</v>
      </c>
      <c r="S286" s="236">
        <v>50</v>
      </c>
      <c r="T286" s="236">
        <v>50</v>
      </c>
      <c r="U286" s="236">
        <v>54</v>
      </c>
      <c r="V286" s="236">
        <v>59</v>
      </c>
      <c r="W286" s="236">
        <v>64</v>
      </c>
      <c r="X286" s="236">
        <v>67</v>
      </c>
      <c r="Y286" s="236">
        <v>70</v>
      </c>
      <c r="Z286" s="236">
        <v>73</v>
      </c>
      <c r="AA286" s="236">
        <v>75</v>
      </c>
      <c r="AB286" s="227"/>
      <c r="AC286" s="227"/>
      <c r="AD286" s="227"/>
      <c r="AE286" s="227">
        <v>9</v>
      </c>
      <c r="AF286" s="227" t="s">
        <v>740</v>
      </c>
      <c r="AG286" s="227"/>
      <c r="AH286" s="227"/>
      <c r="AI286" s="227"/>
      <c r="AJ286" s="227"/>
    </row>
    <row r="287" spans="1:36" ht="15.6" x14ac:dyDescent="0.35">
      <c r="A287" s="218" t="s">
        <v>174</v>
      </c>
      <c r="B287" s="217" t="s">
        <v>875</v>
      </c>
      <c r="C287" s="219" t="s">
        <v>946</v>
      </c>
      <c r="D287" s="236">
        <v>12</v>
      </c>
      <c r="E287" s="236">
        <v>11.4</v>
      </c>
      <c r="F287" s="236">
        <v>10.8</v>
      </c>
      <c r="G287" s="236">
        <v>10.6</v>
      </c>
      <c r="H287" s="236">
        <v>10.3</v>
      </c>
      <c r="I287" s="236">
        <v>10</v>
      </c>
      <c r="J287" s="236">
        <v>10.1</v>
      </c>
      <c r="K287" s="236">
        <v>10.6</v>
      </c>
      <c r="L287" s="236">
        <v>12.7</v>
      </c>
      <c r="M287" s="236">
        <v>14.3</v>
      </c>
      <c r="N287" s="236">
        <v>15.3</v>
      </c>
      <c r="O287" s="236">
        <v>16.7</v>
      </c>
      <c r="P287" s="236">
        <v>17.600000000000001</v>
      </c>
      <c r="Q287" s="236">
        <v>18.3</v>
      </c>
      <c r="R287" s="236">
        <v>18.399999999999999</v>
      </c>
      <c r="S287" s="236">
        <v>18.399999999999999</v>
      </c>
      <c r="T287" s="236">
        <v>18.2</v>
      </c>
      <c r="U287" s="236">
        <v>15.7</v>
      </c>
      <c r="V287" s="236">
        <v>14.6</v>
      </c>
      <c r="W287" s="236">
        <v>14.4</v>
      </c>
      <c r="X287" s="236">
        <v>13.1</v>
      </c>
      <c r="Y287" s="236">
        <v>12.5</v>
      </c>
      <c r="Z287" s="236">
        <v>12.5</v>
      </c>
      <c r="AA287" s="236">
        <v>12.1</v>
      </c>
      <c r="AB287" s="985" t="s">
        <v>854</v>
      </c>
      <c r="AC287" s="986"/>
      <c r="AD287" s="227"/>
      <c r="AE287" s="237" t="s">
        <v>851</v>
      </c>
      <c r="AF287" s="227">
        <v>2.2000000000000002</v>
      </c>
      <c r="AG287" s="227" t="s">
        <v>852</v>
      </c>
      <c r="AH287" s="227"/>
      <c r="AI287" s="227"/>
      <c r="AJ287" s="227"/>
    </row>
    <row r="288" spans="1:36" ht="15.6" x14ac:dyDescent="0.35">
      <c r="A288" s="218" t="s">
        <v>175</v>
      </c>
      <c r="B288" s="217" t="s">
        <v>875</v>
      </c>
      <c r="C288" s="219" t="s">
        <v>946</v>
      </c>
      <c r="D288" s="236">
        <v>5.5</v>
      </c>
      <c r="E288" s="236">
        <v>5</v>
      </c>
      <c r="F288" s="236">
        <v>5.0999999999999996</v>
      </c>
      <c r="G288" s="236">
        <v>4.7</v>
      </c>
      <c r="H288" s="236">
        <v>4.3</v>
      </c>
      <c r="I288" s="236">
        <v>4.2</v>
      </c>
      <c r="J288" s="236">
        <v>4.0999999999999996</v>
      </c>
      <c r="K288" s="236">
        <v>4</v>
      </c>
      <c r="L288" s="236">
        <v>4.3</v>
      </c>
      <c r="M288" s="236">
        <v>5</v>
      </c>
      <c r="N288" s="236">
        <v>7.1</v>
      </c>
      <c r="O288" s="236">
        <v>7.7</v>
      </c>
      <c r="P288" s="236">
        <v>8.6</v>
      </c>
      <c r="Q288" s="236">
        <v>9.9</v>
      </c>
      <c r="R288" s="236">
        <v>9.6999999999999993</v>
      </c>
      <c r="S288" s="236">
        <v>9.3000000000000007</v>
      </c>
      <c r="T288" s="236">
        <v>9</v>
      </c>
      <c r="U288" s="236">
        <v>8.4</v>
      </c>
      <c r="V288" s="236">
        <v>7.4</v>
      </c>
      <c r="W288" s="236">
        <v>6.4</v>
      </c>
      <c r="X288" s="236">
        <v>6.6</v>
      </c>
      <c r="Y288" s="236">
        <v>6.2</v>
      </c>
      <c r="Z288" s="236">
        <v>5.5</v>
      </c>
      <c r="AA288" s="236">
        <v>5.5</v>
      </c>
      <c r="AB288" s="231">
        <v>2100</v>
      </c>
      <c r="AC288" s="232"/>
      <c r="AD288" s="227"/>
      <c r="AE288" s="227">
        <v>28</v>
      </c>
      <c r="AF288" s="227" t="s">
        <v>478</v>
      </c>
      <c r="AG288" s="227"/>
      <c r="AH288" s="227"/>
      <c r="AI288" s="227"/>
      <c r="AJ288" s="227"/>
    </row>
    <row r="289" spans="1:36" ht="15.6" x14ac:dyDescent="0.35">
      <c r="A289" s="218" t="s">
        <v>176</v>
      </c>
      <c r="B289" s="217" t="s">
        <v>875</v>
      </c>
      <c r="C289" s="219" t="s">
        <v>946</v>
      </c>
      <c r="D289" s="236">
        <v>1</v>
      </c>
      <c r="E289" s="236">
        <v>0.5</v>
      </c>
      <c r="F289" s="236">
        <v>0.7</v>
      </c>
      <c r="G289" s="236">
        <v>0.6</v>
      </c>
      <c r="H289" s="236">
        <v>-0.3</v>
      </c>
      <c r="I289" s="236">
        <v>0.5</v>
      </c>
      <c r="J289" s="236">
        <v>0.5</v>
      </c>
      <c r="K289" s="236">
        <v>0.6</v>
      </c>
      <c r="L289" s="236">
        <v>1.3</v>
      </c>
      <c r="M289" s="236">
        <v>2.6</v>
      </c>
      <c r="N289" s="236">
        <v>3.1</v>
      </c>
      <c r="O289" s="236">
        <v>4.7</v>
      </c>
      <c r="P289" s="236">
        <v>5.4</v>
      </c>
      <c r="Q289" s="236">
        <v>6.1</v>
      </c>
      <c r="R289" s="236">
        <v>6.3</v>
      </c>
      <c r="S289" s="236">
        <v>5.8</v>
      </c>
      <c r="T289" s="236">
        <v>5.9</v>
      </c>
      <c r="U289" s="236">
        <v>3.3</v>
      </c>
      <c r="V289" s="236">
        <v>2.2999999999999998</v>
      </c>
      <c r="W289" s="236">
        <v>2.2999999999999998</v>
      </c>
      <c r="X289" s="236">
        <v>2.2000000000000002</v>
      </c>
      <c r="Y289" s="236">
        <v>2</v>
      </c>
      <c r="Z289" s="236">
        <v>1.6</v>
      </c>
      <c r="AA289" s="236">
        <v>1</v>
      </c>
      <c r="AB289" s="227"/>
      <c r="AC289" s="227"/>
      <c r="AD289" s="227"/>
      <c r="AE289" s="227">
        <v>5</v>
      </c>
      <c r="AF289" s="227" t="s">
        <v>472</v>
      </c>
      <c r="AG289" s="227"/>
      <c r="AH289" s="227"/>
      <c r="AI289" s="227"/>
      <c r="AJ289" s="227"/>
    </row>
    <row r="290" spans="1:36" ht="15.6" x14ac:dyDescent="0.35">
      <c r="A290" s="487" t="s">
        <v>1096</v>
      </c>
      <c r="C290" s="488" t="s">
        <v>12</v>
      </c>
      <c r="D290" s="227">
        <v>2.2000000000000002</v>
      </c>
      <c r="E290" s="227">
        <v>3.9</v>
      </c>
      <c r="F290" s="227">
        <v>8.1</v>
      </c>
      <c r="G290" s="227">
        <v>13.4</v>
      </c>
      <c r="H290" s="227">
        <v>18.100000000000001</v>
      </c>
      <c r="I290" s="227">
        <v>22.1</v>
      </c>
      <c r="J290" s="227">
        <v>24.6</v>
      </c>
      <c r="K290" s="227">
        <v>24.6</v>
      </c>
      <c r="L290" s="227">
        <v>20.8</v>
      </c>
      <c r="M290" s="227">
        <v>13.8</v>
      </c>
      <c r="N290" s="227">
        <v>8.6999999999999993</v>
      </c>
      <c r="O290" s="227">
        <v>4</v>
      </c>
      <c r="P290" s="227"/>
      <c r="Q290" s="227"/>
      <c r="R290" s="227"/>
      <c r="S290" s="227"/>
      <c r="T290" s="227"/>
      <c r="U290" s="227"/>
      <c r="V290" s="227"/>
      <c r="W290" s="227"/>
      <c r="X290" s="227" t="s">
        <v>106</v>
      </c>
      <c r="Y290" s="227">
        <v>1.79</v>
      </c>
      <c r="Z290" s="227">
        <v>2.4500000000000002</v>
      </c>
      <c r="AA290" s="227">
        <v>3.35</v>
      </c>
      <c r="AB290" s="227">
        <v>4.29</v>
      </c>
      <c r="AC290" s="227">
        <v>4.96</v>
      </c>
      <c r="AD290" s="227">
        <v>5.7</v>
      </c>
      <c r="AE290" s="227">
        <v>5.58</v>
      </c>
      <c r="AF290" s="227">
        <v>5.61</v>
      </c>
      <c r="AG290" s="227">
        <v>4.4400000000000004</v>
      </c>
      <c r="AH290" s="227">
        <v>2.8</v>
      </c>
      <c r="AI290" s="227">
        <v>1.82</v>
      </c>
      <c r="AJ290" s="227">
        <v>1.45</v>
      </c>
    </row>
    <row r="291" spans="1:36" ht="15.6" x14ac:dyDescent="0.35">
      <c r="D291" s="227"/>
      <c r="E291" s="227"/>
      <c r="F291" s="227"/>
      <c r="G291" s="227"/>
      <c r="H291" s="227"/>
      <c r="I291" s="227"/>
      <c r="J291" s="227"/>
      <c r="K291" s="227"/>
      <c r="L291" s="227"/>
      <c r="M291" s="227"/>
      <c r="N291" s="227"/>
      <c r="O291" s="227"/>
      <c r="P291" s="227"/>
      <c r="Q291" s="227"/>
      <c r="R291" s="227"/>
      <c r="S291" s="227"/>
      <c r="T291" s="227"/>
      <c r="U291" s="227"/>
      <c r="V291" s="227"/>
      <c r="W291" s="227"/>
      <c r="X291" s="227" t="s">
        <v>107</v>
      </c>
      <c r="Y291" s="227">
        <v>0.51</v>
      </c>
      <c r="Z291" s="227">
        <v>0.46</v>
      </c>
      <c r="AA291" s="227">
        <v>0.46</v>
      </c>
      <c r="AB291" s="227">
        <v>0.46</v>
      </c>
      <c r="AC291" s="227">
        <v>0.45</v>
      </c>
      <c r="AD291" s="227">
        <v>0.5</v>
      </c>
      <c r="AE291" s="227">
        <v>0.5</v>
      </c>
      <c r="AF291" s="227">
        <v>0.56999999999999995</v>
      </c>
      <c r="AG291" s="227">
        <v>0.56000000000000005</v>
      </c>
      <c r="AH291" s="227">
        <v>0.47</v>
      </c>
      <c r="AI291" s="227">
        <v>0.43</v>
      </c>
      <c r="AJ291" s="227">
        <v>0.41</v>
      </c>
    </row>
  </sheetData>
  <mergeCells count="90">
    <mergeCell ref="AB287:AC287"/>
    <mergeCell ref="AB167:AC167"/>
    <mergeCell ref="AB197:AC197"/>
    <mergeCell ref="AB77:AC77"/>
    <mergeCell ref="AB107:AC107"/>
    <mergeCell ref="AB279:AJ279"/>
    <mergeCell ref="AB249:AJ249"/>
    <mergeCell ref="AB219:AJ219"/>
    <mergeCell ref="AB189:AJ189"/>
    <mergeCell ref="AB227:AC227"/>
    <mergeCell ref="AB137:AC137"/>
    <mergeCell ref="AB92:AJ92"/>
    <mergeCell ref="AB272:AJ272"/>
    <mergeCell ref="AB159:AJ159"/>
    <mergeCell ref="AB257:AC257"/>
    <mergeCell ref="AB182:AJ182"/>
    <mergeCell ref="AB212:AJ212"/>
    <mergeCell ref="AB242:AJ242"/>
    <mergeCell ref="A1:AA1"/>
    <mergeCell ref="A8:A9"/>
    <mergeCell ref="A10:A11"/>
    <mergeCell ref="AB152:AJ152"/>
    <mergeCell ref="AB122:AJ122"/>
    <mergeCell ref="AB10:AJ10"/>
    <mergeCell ref="AB18:AC18"/>
    <mergeCell ref="AB47:AC47"/>
    <mergeCell ref="A71:A72"/>
    <mergeCell ref="AB62:AJ62"/>
    <mergeCell ref="AB3:AJ3"/>
    <mergeCell ref="A12:A13"/>
    <mergeCell ref="A14:A15"/>
    <mergeCell ref="A16:A17"/>
    <mergeCell ref="A60:AA60"/>
    <mergeCell ref="A67:A68"/>
    <mergeCell ref="A30:AA30"/>
    <mergeCell ref="A37:A38"/>
    <mergeCell ref="A39:A40"/>
    <mergeCell ref="A41:A42"/>
    <mergeCell ref="A69:A70"/>
    <mergeCell ref="AB129:AJ129"/>
    <mergeCell ref="AB99:AJ99"/>
    <mergeCell ref="AB32:AJ32"/>
    <mergeCell ref="AB39:AJ39"/>
    <mergeCell ref="A43:A44"/>
    <mergeCell ref="A45:A46"/>
    <mergeCell ref="A129:A130"/>
    <mergeCell ref="A127:A128"/>
    <mergeCell ref="AB69:AJ69"/>
    <mergeCell ref="A131:A132"/>
    <mergeCell ref="A73:A74"/>
    <mergeCell ref="A75:A76"/>
    <mergeCell ref="A90:AA90"/>
    <mergeCell ref="A97:A98"/>
    <mergeCell ref="A99:A100"/>
    <mergeCell ref="A101:A102"/>
    <mergeCell ref="A103:A104"/>
    <mergeCell ref="A105:A106"/>
    <mergeCell ref="A120:AA120"/>
    <mergeCell ref="A189:A190"/>
    <mergeCell ref="A191:A192"/>
    <mergeCell ref="A133:A134"/>
    <mergeCell ref="A135:A136"/>
    <mergeCell ref="A150:AA150"/>
    <mergeCell ref="A157:A158"/>
    <mergeCell ref="A159:A160"/>
    <mergeCell ref="A161:A162"/>
    <mergeCell ref="A163:A164"/>
    <mergeCell ref="A165:A166"/>
    <mergeCell ref="A180:AA180"/>
    <mergeCell ref="A187:A188"/>
    <mergeCell ref="A223:A224"/>
    <mergeCell ref="A225:A226"/>
    <mergeCell ref="A193:A194"/>
    <mergeCell ref="A195:A196"/>
    <mergeCell ref="A210:AA210"/>
    <mergeCell ref="A217:A218"/>
    <mergeCell ref="A219:A220"/>
    <mergeCell ref="A221:A222"/>
    <mergeCell ref="A240:AA240"/>
    <mergeCell ref="A247:A248"/>
    <mergeCell ref="A253:A254"/>
    <mergeCell ref="A255:A256"/>
    <mergeCell ref="A249:A250"/>
    <mergeCell ref="A251:A252"/>
    <mergeCell ref="A270:AA270"/>
    <mergeCell ref="A285:A286"/>
    <mergeCell ref="A277:A278"/>
    <mergeCell ref="A279:A280"/>
    <mergeCell ref="A281:A282"/>
    <mergeCell ref="A283:A284"/>
  </mergeCells>
  <phoneticPr fontId="4" type="noConversion"/>
  <pageMargins left="0.75" right="0.75" top="1" bottom="1" header="0.5" footer="0.5"/>
  <pageSetup paperSize="9" orientation="portrait" horizontalDpi="4294967295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6E91B-999B-45B7-BB22-42AEA79E6D43}">
  <sheetPr>
    <tabColor indexed="51"/>
  </sheetPr>
  <dimension ref="A2:V40"/>
  <sheetViews>
    <sheetView workbookViewId="0"/>
  </sheetViews>
  <sheetFormatPr defaultColWidth="9.109375" defaultRowHeight="15" x14ac:dyDescent="0.25"/>
  <cols>
    <col min="1" max="21" width="9.109375" style="53"/>
    <col min="22" max="22" width="6.109375" style="53" customWidth="1"/>
    <col min="23" max="16384" width="9.109375" style="53"/>
  </cols>
  <sheetData>
    <row r="2" spans="1:21" ht="15.6" x14ac:dyDescent="0.25">
      <c r="A2" s="990" t="s">
        <v>824</v>
      </c>
      <c r="B2" s="990"/>
      <c r="C2" s="990"/>
      <c r="D2" s="990"/>
      <c r="E2" s="990"/>
      <c r="F2" s="990"/>
      <c r="G2" s="990"/>
      <c r="H2" s="990"/>
      <c r="I2" s="990"/>
      <c r="J2" s="990"/>
      <c r="K2" s="990"/>
      <c r="L2" s="990"/>
      <c r="M2" s="990"/>
      <c r="N2" s="990"/>
      <c r="O2" s="990"/>
      <c r="P2" s="990"/>
      <c r="Q2" s="990"/>
      <c r="R2" s="990"/>
      <c r="S2" s="990"/>
      <c r="T2" s="990"/>
      <c r="U2" s="990"/>
    </row>
    <row r="3" spans="1:21" x14ac:dyDescent="0.25">
      <c r="A3" s="987"/>
      <c r="B3" s="987"/>
      <c r="C3" s="987"/>
      <c r="D3" s="987"/>
      <c r="E3" s="987"/>
      <c r="F3" s="987"/>
      <c r="G3" s="987"/>
      <c r="H3" s="987"/>
      <c r="I3" s="987"/>
      <c r="J3" s="987"/>
      <c r="K3" s="987"/>
      <c r="L3" s="987"/>
      <c r="M3" s="987"/>
      <c r="N3" s="987"/>
      <c r="O3" s="987"/>
      <c r="P3" s="987"/>
      <c r="Q3" s="987"/>
      <c r="R3" s="987"/>
      <c r="S3" s="987"/>
      <c r="T3" s="987"/>
      <c r="U3" s="987"/>
    </row>
    <row r="4" spans="1:21" x14ac:dyDescent="0.25">
      <c r="A4" s="987" t="s">
        <v>825</v>
      </c>
      <c r="B4" s="987"/>
      <c r="C4" s="987"/>
      <c r="D4" s="987"/>
      <c r="E4" s="987"/>
      <c r="F4" s="987"/>
      <c r="G4" s="987"/>
      <c r="H4" s="987"/>
      <c r="I4" s="987"/>
      <c r="J4" s="987"/>
      <c r="K4" s="987"/>
      <c r="L4" s="987"/>
      <c r="M4" s="987"/>
      <c r="N4" s="987"/>
      <c r="O4" s="987"/>
      <c r="P4" s="987"/>
      <c r="Q4" s="987"/>
      <c r="R4" s="987"/>
      <c r="S4" s="987"/>
      <c r="T4" s="987"/>
      <c r="U4" s="987"/>
    </row>
    <row r="5" spans="1:21" ht="30" customHeight="1" x14ac:dyDescent="0.25">
      <c r="A5" s="987" t="s">
        <v>848</v>
      </c>
      <c r="B5" s="987"/>
      <c r="C5" s="987"/>
      <c r="D5" s="987"/>
      <c r="E5" s="987"/>
      <c r="F5" s="987"/>
      <c r="G5" s="987"/>
      <c r="H5" s="987"/>
      <c r="I5" s="987"/>
      <c r="J5" s="987"/>
      <c r="K5" s="987"/>
      <c r="L5" s="987"/>
      <c r="M5" s="987"/>
      <c r="N5" s="987"/>
      <c r="O5" s="987"/>
      <c r="P5" s="987"/>
      <c r="Q5" s="987"/>
      <c r="R5" s="987"/>
      <c r="S5" s="987"/>
      <c r="T5" s="987"/>
      <c r="U5" s="987"/>
    </row>
    <row r="6" spans="1:21" x14ac:dyDescent="0.25">
      <c r="A6" s="987"/>
      <c r="B6" s="987"/>
      <c r="C6" s="987"/>
      <c r="D6" s="987"/>
      <c r="E6" s="987"/>
      <c r="F6" s="987"/>
      <c r="G6" s="987"/>
      <c r="H6" s="987"/>
      <c r="I6" s="987"/>
      <c r="J6" s="987"/>
      <c r="K6" s="987"/>
      <c r="L6" s="987"/>
      <c r="M6" s="987"/>
      <c r="N6" s="987"/>
      <c r="O6" s="987"/>
      <c r="P6" s="987"/>
      <c r="Q6" s="987"/>
      <c r="R6" s="987"/>
      <c r="S6" s="987"/>
      <c r="T6" s="987"/>
      <c r="U6" s="987"/>
    </row>
    <row r="7" spans="1:21" x14ac:dyDescent="0.25">
      <c r="A7" s="987" t="s">
        <v>826</v>
      </c>
      <c r="B7" s="987"/>
      <c r="C7" s="987"/>
      <c r="D7" s="987"/>
      <c r="E7" s="987"/>
      <c r="F7" s="987"/>
      <c r="G7" s="987"/>
      <c r="H7" s="987"/>
      <c r="I7" s="987"/>
      <c r="J7" s="987"/>
      <c r="K7" s="987"/>
      <c r="L7" s="987"/>
      <c r="M7" s="987"/>
      <c r="N7" s="987"/>
      <c r="O7" s="987"/>
      <c r="P7" s="987"/>
      <c r="Q7" s="987"/>
      <c r="R7" s="987"/>
      <c r="S7" s="987"/>
      <c r="T7" s="987"/>
      <c r="U7" s="987"/>
    </row>
    <row r="8" spans="1:21" x14ac:dyDescent="0.25">
      <c r="A8" s="987" t="s">
        <v>827</v>
      </c>
      <c r="B8" s="987"/>
      <c r="C8" s="987"/>
      <c r="D8" s="987"/>
      <c r="E8" s="987"/>
      <c r="F8" s="987"/>
      <c r="G8" s="987"/>
      <c r="H8" s="987"/>
      <c r="I8" s="987"/>
      <c r="J8" s="987"/>
      <c r="K8" s="987"/>
      <c r="L8" s="987"/>
      <c r="M8" s="987"/>
      <c r="N8" s="987"/>
      <c r="O8" s="987"/>
      <c r="P8" s="987"/>
      <c r="Q8" s="987"/>
      <c r="R8" s="987"/>
      <c r="S8" s="987"/>
      <c r="T8" s="987"/>
      <c r="U8" s="987"/>
    </row>
    <row r="9" spans="1:21" x14ac:dyDescent="0.25">
      <c r="A9" s="987"/>
      <c r="B9" s="987"/>
      <c r="C9" s="987"/>
      <c r="D9" s="987"/>
      <c r="E9" s="987"/>
      <c r="F9" s="987"/>
      <c r="G9" s="987"/>
      <c r="H9" s="987"/>
      <c r="I9" s="987"/>
      <c r="J9" s="987"/>
      <c r="K9" s="987"/>
      <c r="L9" s="987"/>
      <c r="M9" s="987"/>
      <c r="N9" s="987"/>
      <c r="O9" s="987"/>
      <c r="P9" s="987"/>
      <c r="Q9" s="987"/>
      <c r="R9" s="987"/>
      <c r="S9" s="987"/>
      <c r="T9" s="987"/>
      <c r="U9" s="987"/>
    </row>
    <row r="10" spans="1:21" x14ac:dyDescent="0.25">
      <c r="A10" s="987" t="s">
        <v>828</v>
      </c>
      <c r="B10" s="987"/>
      <c r="C10" s="987"/>
      <c r="D10" s="987"/>
      <c r="E10" s="987"/>
      <c r="F10" s="987"/>
      <c r="G10" s="987"/>
      <c r="H10" s="987"/>
      <c r="I10" s="987"/>
      <c r="J10" s="987"/>
      <c r="K10" s="987"/>
      <c r="L10" s="987"/>
      <c r="M10" s="987"/>
      <c r="N10" s="987"/>
      <c r="O10" s="987"/>
      <c r="P10" s="987"/>
      <c r="Q10" s="987"/>
      <c r="R10" s="987"/>
      <c r="S10" s="987"/>
      <c r="T10" s="987"/>
      <c r="U10" s="987"/>
    </row>
    <row r="11" spans="1:21" x14ac:dyDescent="0.25">
      <c r="A11" s="987" t="s">
        <v>849</v>
      </c>
      <c r="B11" s="987"/>
      <c r="C11" s="987"/>
      <c r="D11" s="987"/>
      <c r="E11" s="987"/>
      <c r="F11" s="987"/>
      <c r="G11" s="987"/>
      <c r="H11" s="987"/>
      <c r="I11" s="987"/>
      <c r="J11" s="987"/>
      <c r="K11" s="987"/>
      <c r="L11" s="987"/>
      <c r="M11" s="987"/>
      <c r="N11" s="987"/>
      <c r="O11" s="987"/>
      <c r="P11" s="987"/>
      <c r="Q11" s="987"/>
      <c r="R11" s="987"/>
      <c r="S11" s="987"/>
      <c r="T11" s="987"/>
      <c r="U11" s="987"/>
    </row>
    <row r="12" spans="1:21" x14ac:dyDescent="0.25">
      <c r="A12" s="987"/>
      <c r="B12" s="987"/>
      <c r="C12" s="987"/>
      <c r="D12" s="987"/>
      <c r="E12" s="987"/>
      <c r="F12" s="987"/>
      <c r="G12" s="987"/>
      <c r="H12" s="987"/>
      <c r="I12" s="987"/>
      <c r="J12" s="987"/>
      <c r="K12" s="987"/>
      <c r="L12" s="987"/>
      <c r="M12" s="987"/>
      <c r="N12" s="987"/>
      <c r="O12" s="987"/>
      <c r="P12" s="987"/>
      <c r="Q12" s="987"/>
      <c r="R12" s="987"/>
      <c r="S12" s="987"/>
      <c r="T12" s="987"/>
      <c r="U12" s="987"/>
    </row>
    <row r="13" spans="1:21" x14ac:dyDescent="0.25">
      <c r="A13" s="987" t="s">
        <v>829</v>
      </c>
      <c r="B13" s="987"/>
      <c r="C13" s="987"/>
      <c r="D13" s="987"/>
      <c r="E13" s="987"/>
      <c r="F13" s="987"/>
      <c r="G13" s="987"/>
      <c r="H13" s="987"/>
      <c r="I13" s="987"/>
      <c r="J13" s="987"/>
      <c r="K13" s="987"/>
      <c r="L13" s="987"/>
      <c r="M13" s="987"/>
      <c r="N13" s="987"/>
      <c r="O13" s="987"/>
      <c r="P13" s="987"/>
      <c r="Q13" s="987"/>
      <c r="R13" s="987"/>
      <c r="S13" s="987"/>
      <c r="T13" s="987"/>
      <c r="U13" s="987"/>
    </row>
    <row r="14" spans="1:21" x14ac:dyDescent="0.25">
      <c r="A14" s="987" t="s">
        <v>341</v>
      </c>
      <c r="B14" s="987"/>
      <c r="C14" s="987"/>
      <c r="D14" s="987"/>
      <c r="E14" s="987"/>
      <c r="F14" s="987"/>
      <c r="G14" s="987"/>
      <c r="H14" s="987"/>
      <c r="I14" s="987"/>
      <c r="J14" s="987"/>
      <c r="K14" s="987"/>
      <c r="L14" s="987"/>
      <c r="M14" s="987"/>
      <c r="N14" s="987"/>
      <c r="O14" s="987"/>
      <c r="P14" s="987"/>
      <c r="Q14" s="987"/>
      <c r="R14" s="987"/>
      <c r="S14" s="987"/>
      <c r="T14" s="987"/>
      <c r="U14" s="987"/>
    </row>
    <row r="15" spans="1:21" x14ac:dyDescent="0.25">
      <c r="A15" s="987"/>
      <c r="B15" s="987"/>
      <c r="C15" s="987"/>
      <c r="D15" s="987"/>
      <c r="E15" s="987"/>
      <c r="F15" s="987"/>
      <c r="G15" s="987"/>
      <c r="H15" s="987"/>
      <c r="I15" s="987"/>
      <c r="J15" s="987"/>
      <c r="K15" s="987"/>
      <c r="L15" s="987"/>
      <c r="M15" s="987"/>
      <c r="N15" s="987"/>
      <c r="O15" s="987"/>
      <c r="P15" s="987"/>
      <c r="Q15" s="987"/>
      <c r="R15" s="987"/>
      <c r="S15" s="987"/>
      <c r="T15" s="987"/>
      <c r="U15" s="987"/>
    </row>
    <row r="16" spans="1:21" x14ac:dyDescent="0.25">
      <c r="A16" s="987" t="s">
        <v>830</v>
      </c>
      <c r="B16" s="987"/>
      <c r="C16" s="987"/>
      <c r="D16" s="987"/>
      <c r="E16" s="987"/>
      <c r="F16" s="987"/>
      <c r="G16" s="987"/>
      <c r="H16" s="987"/>
      <c r="I16" s="987"/>
      <c r="J16" s="987"/>
      <c r="K16" s="987"/>
      <c r="L16" s="987"/>
      <c r="M16" s="987"/>
      <c r="N16" s="987"/>
      <c r="O16" s="987"/>
      <c r="P16" s="987"/>
      <c r="Q16" s="987"/>
      <c r="R16" s="987"/>
      <c r="S16" s="987"/>
      <c r="T16" s="987"/>
      <c r="U16" s="987"/>
    </row>
    <row r="17" spans="1:22" x14ac:dyDescent="0.25">
      <c r="A17" s="987" t="s">
        <v>831</v>
      </c>
      <c r="B17" s="987"/>
      <c r="C17" s="987"/>
      <c r="D17" s="987"/>
      <c r="E17" s="987"/>
      <c r="F17" s="987"/>
      <c r="G17" s="987"/>
      <c r="H17" s="987"/>
      <c r="I17" s="987"/>
      <c r="J17" s="987"/>
      <c r="K17" s="987"/>
      <c r="L17" s="987"/>
      <c r="M17" s="987"/>
      <c r="N17" s="987"/>
      <c r="O17" s="987"/>
      <c r="P17" s="987"/>
      <c r="Q17" s="987"/>
      <c r="R17" s="987"/>
      <c r="S17" s="987"/>
      <c r="T17" s="987"/>
      <c r="U17" s="987"/>
    </row>
    <row r="18" spans="1:22" x14ac:dyDescent="0.25">
      <c r="A18" s="987"/>
      <c r="B18" s="987"/>
      <c r="C18" s="987"/>
      <c r="D18" s="987"/>
      <c r="E18" s="987"/>
      <c r="F18" s="987"/>
      <c r="G18" s="987"/>
      <c r="H18" s="987"/>
      <c r="I18" s="987"/>
      <c r="J18" s="987"/>
      <c r="K18" s="987"/>
      <c r="L18" s="987"/>
      <c r="M18" s="987"/>
      <c r="N18" s="987"/>
      <c r="O18" s="987"/>
      <c r="P18" s="987"/>
      <c r="Q18" s="987"/>
      <c r="R18" s="987"/>
      <c r="S18" s="987"/>
      <c r="T18" s="987"/>
      <c r="U18" s="987"/>
    </row>
    <row r="19" spans="1:22" x14ac:dyDescent="0.25">
      <c r="A19" s="987" t="s">
        <v>832</v>
      </c>
      <c r="B19" s="987"/>
      <c r="C19" s="987"/>
      <c r="D19" s="987"/>
      <c r="E19" s="987"/>
      <c r="F19" s="987"/>
      <c r="G19" s="987"/>
      <c r="H19" s="987"/>
      <c r="I19" s="987"/>
      <c r="J19" s="987"/>
      <c r="K19" s="987"/>
      <c r="L19" s="987"/>
      <c r="M19" s="987"/>
      <c r="N19" s="987"/>
      <c r="O19" s="987"/>
      <c r="P19" s="987"/>
      <c r="Q19" s="987"/>
      <c r="R19" s="987"/>
      <c r="S19" s="987"/>
      <c r="T19" s="987"/>
      <c r="U19" s="987"/>
    </row>
    <row r="20" spans="1:22" ht="30" customHeight="1" x14ac:dyDescent="0.25">
      <c r="A20" s="987" t="s">
        <v>837</v>
      </c>
      <c r="B20" s="987"/>
      <c r="C20" s="987"/>
      <c r="D20" s="987"/>
      <c r="E20" s="987"/>
      <c r="F20" s="987"/>
      <c r="G20" s="987"/>
      <c r="H20" s="987"/>
      <c r="I20" s="987"/>
      <c r="J20" s="987"/>
      <c r="K20" s="987"/>
      <c r="L20" s="987"/>
      <c r="M20" s="987"/>
      <c r="N20" s="987"/>
      <c r="O20" s="987"/>
      <c r="P20" s="987"/>
      <c r="Q20" s="987"/>
      <c r="R20" s="987"/>
      <c r="S20" s="987"/>
      <c r="T20" s="987"/>
      <c r="U20" s="987"/>
    </row>
    <row r="21" spans="1:22" x14ac:dyDescent="0.25">
      <c r="A21" s="987"/>
      <c r="B21" s="987"/>
      <c r="C21" s="987"/>
      <c r="D21" s="987"/>
      <c r="E21" s="987"/>
      <c r="F21" s="987"/>
      <c r="G21" s="987"/>
      <c r="H21" s="987"/>
      <c r="I21" s="987"/>
      <c r="J21" s="987"/>
      <c r="K21" s="987"/>
      <c r="L21" s="987"/>
      <c r="M21" s="987"/>
      <c r="N21" s="987"/>
      <c r="O21" s="987"/>
      <c r="P21" s="987"/>
      <c r="Q21" s="987"/>
      <c r="R21" s="987"/>
      <c r="S21" s="987"/>
      <c r="T21" s="987"/>
      <c r="U21" s="987"/>
    </row>
    <row r="22" spans="1:22" x14ac:dyDescent="0.25">
      <c r="A22" s="987" t="s">
        <v>838</v>
      </c>
      <c r="B22" s="987"/>
      <c r="C22" s="987"/>
      <c r="D22" s="987"/>
      <c r="E22" s="987"/>
      <c r="F22" s="987"/>
      <c r="G22" s="987"/>
      <c r="H22" s="987"/>
      <c r="I22" s="987"/>
      <c r="J22" s="987"/>
      <c r="K22" s="987"/>
      <c r="L22" s="987"/>
      <c r="M22" s="987"/>
      <c r="N22" s="987"/>
      <c r="O22" s="987"/>
      <c r="P22" s="987"/>
      <c r="Q22" s="987"/>
      <c r="R22" s="987"/>
      <c r="S22" s="987"/>
      <c r="T22" s="987"/>
      <c r="U22" s="987"/>
    </row>
    <row r="23" spans="1:22" ht="30" customHeight="1" x14ac:dyDescent="0.25">
      <c r="A23" s="987" t="s">
        <v>850</v>
      </c>
      <c r="B23" s="987"/>
      <c r="C23" s="987"/>
      <c r="D23" s="987"/>
      <c r="E23" s="987"/>
      <c r="F23" s="987"/>
      <c r="G23" s="987"/>
      <c r="H23" s="987"/>
      <c r="I23" s="987"/>
      <c r="J23" s="987"/>
      <c r="K23" s="987"/>
      <c r="L23" s="987"/>
      <c r="M23" s="987"/>
      <c r="N23" s="987"/>
      <c r="O23" s="987"/>
      <c r="P23" s="987"/>
      <c r="Q23" s="987"/>
      <c r="R23" s="987"/>
      <c r="S23" s="987"/>
      <c r="T23" s="987"/>
      <c r="U23" s="987"/>
    </row>
    <row r="24" spans="1:22" x14ac:dyDescent="0.25">
      <c r="A24" s="987"/>
      <c r="B24" s="987"/>
      <c r="C24" s="987"/>
      <c r="D24" s="987"/>
      <c r="E24" s="987"/>
      <c r="F24" s="987"/>
      <c r="G24" s="987"/>
      <c r="H24" s="987"/>
      <c r="I24" s="987"/>
      <c r="J24" s="987"/>
      <c r="K24" s="987"/>
      <c r="L24" s="987"/>
      <c r="M24" s="987"/>
      <c r="N24" s="987"/>
      <c r="O24" s="987"/>
      <c r="P24" s="987"/>
      <c r="Q24" s="987"/>
      <c r="R24" s="987"/>
      <c r="S24" s="987"/>
      <c r="T24" s="987"/>
      <c r="U24" s="987"/>
    </row>
    <row r="25" spans="1:22" x14ac:dyDescent="0.25">
      <c r="A25" s="987" t="s">
        <v>839</v>
      </c>
      <c r="B25" s="987"/>
      <c r="C25" s="987"/>
      <c r="D25" s="987"/>
      <c r="E25" s="987"/>
      <c r="F25" s="987"/>
      <c r="G25" s="987"/>
      <c r="H25" s="987"/>
      <c r="I25" s="987"/>
      <c r="J25" s="987"/>
      <c r="K25" s="987"/>
      <c r="L25" s="987"/>
      <c r="M25" s="987"/>
      <c r="N25" s="987"/>
      <c r="O25" s="987"/>
      <c r="P25" s="987"/>
      <c r="Q25" s="987"/>
      <c r="R25" s="987"/>
      <c r="S25" s="987"/>
      <c r="T25" s="987"/>
      <c r="U25" s="987"/>
    </row>
    <row r="26" spans="1:22" ht="30.75" customHeight="1" x14ac:dyDescent="0.25">
      <c r="A26" s="987" t="s">
        <v>863</v>
      </c>
      <c r="B26" s="987"/>
      <c r="C26" s="987"/>
      <c r="D26" s="987"/>
      <c r="E26" s="987"/>
      <c r="F26" s="987"/>
      <c r="G26" s="987"/>
      <c r="H26" s="987"/>
      <c r="I26" s="987"/>
      <c r="J26" s="987"/>
      <c r="K26" s="987"/>
      <c r="L26" s="987"/>
      <c r="M26" s="987"/>
      <c r="N26" s="987"/>
      <c r="O26" s="987"/>
      <c r="P26" s="987"/>
      <c r="Q26" s="987"/>
      <c r="R26" s="987"/>
      <c r="S26" s="987"/>
      <c r="T26" s="987"/>
      <c r="U26" s="987"/>
    </row>
    <row r="27" spans="1:22" x14ac:dyDescent="0.25">
      <c r="A27" s="987"/>
      <c r="B27" s="987"/>
      <c r="C27" s="987"/>
      <c r="D27" s="987"/>
      <c r="E27" s="987"/>
      <c r="F27" s="987"/>
      <c r="G27" s="987"/>
      <c r="H27" s="987"/>
      <c r="I27" s="987"/>
      <c r="J27" s="987"/>
      <c r="K27" s="987"/>
      <c r="L27" s="987"/>
      <c r="M27" s="987"/>
      <c r="N27" s="987"/>
      <c r="O27" s="987"/>
      <c r="P27" s="987"/>
      <c r="Q27" s="987"/>
      <c r="R27" s="987"/>
      <c r="S27" s="987"/>
      <c r="T27" s="987"/>
      <c r="U27" s="987"/>
      <c r="V27" s="989" t="s">
        <v>874</v>
      </c>
    </row>
    <row r="28" spans="1:22" x14ac:dyDescent="0.25">
      <c r="A28" s="987" t="s">
        <v>864</v>
      </c>
      <c r="B28" s="987"/>
      <c r="C28" s="987"/>
      <c r="D28" s="987"/>
      <c r="E28" s="987"/>
      <c r="F28" s="987"/>
      <c r="G28" s="987"/>
      <c r="H28" s="987"/>
      <c r="I28" s="987"/>
      <c r="J28" s="987"/>
      <c r="K28" s="987"/>
      <c r="L28" s="987"/>
      <c r="M28" s="987"/>
      <c r="N28" s="987"/>
      <c r="O28" s="987"/>
      <c r="P28" s="987"/>
      <c r="Q28" s="987"/>
      <c r="R28" s="987"/>
      <c r="S28" s="987"/>
      <c r="T28" s="987"/>
      <c r="U28" s="987"/>
      <c r="V28" s="989"/>
    </row>
    <row r="29" spans="1:22" ht="30.75" customHeight="1" x14ac:dyDescent="0.25">
      <c r="A29" s="987" t="s">
        <v>870</v>
      </c>
      <c r="B29" s="987"/>
      <c r="C29" s="987"/>
      <c r="D29" s="987"/>
      <c r="E29" s="987"/>
      <c r="F29" s="987"/>
      <c r="G29" s="987"/>
      <c r="H29" s="987"/>
      <c r="I29" s="987"/>
      <c r="J29" s="987"/>
      <c r="K29" s="987"/>
      <c r="L29" s="987"/>
      <c r="M29" s="987"/>
      <c r="N29" s="987"/>
      <c r="O29" s="987"/>
      <c r="P29" s="987"/>
      <c r="Q29" s="987"/>
      <c r="R29" s="987"/>
      <c r="S29" s="987"/>
      <c r="T29" s="987"/>
      <c r="U29" s="987"/>
      <c r="V29" s="989"/>
    </row>
    <row r="30" spans="1:22" x14ac:dyDescent="0.25">
      <c r="A30" s="988" t="s">
        <v>865</v>
      </c>
      <c r="B30" s="987"/>
      <c r="C30" s="987"/>
      <c r="D30" s="987"/>
      <c r="E30" s="987"/>
      <c r="F30" s="987"/>
      <c r="G30" s="987"/>
      <c r="H30" s="987"/>
      <c r="I30" s="987"/>
      <c r="J30" s="987"/>
      <c r="K30" s="987"/>
      <c r="L30" s="987"/>
      <c r="M30" s="987"/>
      <c r="N30" s="987"/>
      <c r="O30" s="987"/>
      <c r="P30" s="987"/>
      <c r="Q30" s="987"/>
      <c r="R30" s="987"/>
      <c r="S30" s="987"/>
      <c r="T30" s="987"/>
      <c r="U30" s="987"/>
    </row>
    <row r="31" spans="1:22" x14ac:dyDescent="0.25">
      <c r="A31" s="987"/>
      <c r="B31" s="987"/>
      <c r="C31" s="987"/>
      <c r="D31" s="987"/>
      <c r="E31" s="987"/>
      <c r="F31" s="987"/>
      <c r="G31" s="987"/>
      <c r="H31" s="987"/>
      <c r="I31" s="987"/>
      <c r="J31" s="987"/>
      <c r="K31" s="987"/>
      <c r="L31" s="987"/>
      <c r="M31" s="987"/>
      <c r="N31" s="987"/>
      <c r="O31" s="987"/>
      <c r="P31" s="987"/>
      <c r="Q31" s="987"/>
      <c r="R31" s="987"/>
      <c r="S31" s="987"/>
      <c r="T31" s="987"/>
      <c r="U31" s="987"/>
    </row>
    <row r="32" spans="1:22" x14ac:dyDescent="0.25">
      <c r="A32" s="987" t="s">
        <v>873</v>
      </c>
      <c r="B32" s="987"/>
      <c r="C32" s="987"/>
      <c r="D32" s="987"/>
      <c r="E32" s="987"/>
      <c r="F32" s="987"/>
      <c r="G32" s="987"/>
      <c r="H32" s="987"/>
      <c r="I32" s="987"/>
      <c r="J32" s="987"/>
      <c r="K32" s="987"/>
      <c r="L32" s="987"/>
      <c r="M32" s="987"/>
      <c r="N32" s="987"/>
      <c r="O32" s="987"/>
      <c r="P32" s="987"/>
      <c r="Q32" s="987"/>
      <c r="R32" s="987"/>
      <c r="S32" s="987"/>
      <c r="T32" s="987"/>
      <c r="U32" s="987"/>
    </row>
    <row r="33" spans="1:21" x14ac:dyDescent="0.25">
      <c r="A33" s="987" t="s">
        <v>846</v>
      </c>
      <c r="B33" s="987"/>
      <c r="C33" s="987"/>
      <c r="D33" s="987"/>
      <c r="E33" s="987"/>
      <c r="F33" s="987"/>
      <c r="G33" s="987"/>
      <c r="H33" s="987"/>
      <c r="I33" s="987"/>
      <c r="J33" s="987"/>
      <c r="K33" s="987"/>
      <c r="L33" s="987"/>
      <c r="M33" s="987"/>
      <c r="N33" s="987"/>
      <c r="O33" s="987"/>
      <c r="P33" s="987"/>
      <c r="Q33" s="987"/>
      <c r="R33" s="987"/>
      <c r="S33" s="987"/>
      <c r="T33" s="987"/>
      <c r="U33" s="987"/>
    </row>
    <row r="34" spans="1:21" x14ac:dyDescent="0.25">
      <c r="A34" s="987"/>
      <c r="B34" s="987"/>
      <c r="C34" s="987"/>
      <c r="D34" s="987"/>
      <c r="E34" s="987"/>
      <c r="F34" s="987"/>
      <c r="G34" s="987"/>
      <c r="H34" s="987"/>
      <c r="I34" s="987"/>
      <c r="J34" s="987"/>
      <c r="K34" s="987"/>
      <c r="L34" s="987"/>
      <c r="M34" s="987"/>
      <c r="N34" s="987"/>
      <c r="O34" s="987"/>
      <c r="P34" s="987"/>
      <c r="Q34" s="987"/>
      <c r="R34" s="987"/>
      <c r="S34" s="987"/>
      <c r="T34" s="987"/>
      <c r="U34" s="987"/>
    </row>
    <row r="35" spans="1:21" x14ac:dyDescent="0.25">
      <c r="A35" s="987" t="s">
        <v>844</v>
      </c>
      <c r="B35" s="987"/>
      <c r="C35" s="987"/>
      <c r="D35" s="987"/>
      <c r="E35" s="987"/>
      <c r="F35" s="987"/>
      <c r="G35" s="987"/>
      <c r="H35" s="987"/>
      <c r="I35" s="987"/>
      <c r="J35" s="987"/>
      <c r="K35" s="987"/>
      <c r="L35" s="987"/>
      <c r="M35" s="987"/>
      <c r="N35" s="987"/>
      <c r="O35" s="987"/>
      <c r="P35" s="987"/>
      <c r="Q35" s="987"/>
      <c r="R35" s="987"/>
      <c r="S35" s="987"/>
      <c r="T35" s="987"/>
      <c r="U35" s="987"/>
    </row>
    <row r="36" spans="1:21" x14ac:dyDescent="0.25">
      <c r="A36" s="987" t="s">
        <v>845</v>
      </c>
      <c r="B36" s="987"/>
      <c r="C36" s="987"/>
      <c r="D36" s="987"/>
      <c r="E36" s="987"/>
      <c r="F36" s="987"/>
      <c r="G36" s="987"/>
      <c r="H36" s="987"/>
      <c r="I36" s="987"/>
      <c r="J36" s="987"/>
      <c r="K36" s="987"/>
      <c r="L36" s="987"/>
      <c r="M36" s="987"/>
      <c r="N36" s="987"/>
      <c r="O36" s="987"/>
      <c r="P36" s="987"/>
      <c r="Q36" s="987"/>
      <c r="R36" s="987"/>
      <c r="S36" s="987"/>
      <c r="T36" s="987"/>
      <c r="U36" s="987"/>
    </row>
    <row r="37" spans="1:21" x14ac:dyDescent="0.25">
      <c r="A37" s="987"/>
      <c r="B37" s="987"/>
      <c r="C37" s="987"/>
      <c r="D37" s="987"/>
      <c r="E37" s="987"/>
      <c r="F37" s="987"/>
      <c r="G37" s="987"/>
      <c r="H37" s="987"/>
      <c r="I37" s="987"/>
      <c r="J37" s="987"/>
      <c r="K37" s="987"/>
      <c r="L37" s="987"/>
      <c r="M37" s="987"/>
      <c r="N37" s="987"/>
      <c r="O37" s="987"/>
      <c r="P37" s="987"/>
      <c r="Q37" s="987"/>
      <c r="R37" s="987"/>
      <c r="S37" s="987"/>
      <c r="T37" s="987"/>
      <c r="U37" s="987"/>
    </row>
    <row r="38" spans="1:21" x14ac:dyDescent="0.25">
      <c r="A38" s="987"/>
      <c r="B38" s="987"/>
      <c r="C38" s="987"/>
      <c r="D38" s="987"/>
      <c r="E38" s="987"/>
      <c r="F38" s="987"/>
      <c r="G38" s="987"/>
      <c r="H38" s="987"/>
      <c r="I38" s="987"/>
      <c r="J38" s="987"/>
      <c r="K38" s="987"/>
      <c r="L38" s="987"/>
      <c r="M38" s="987"/>
      <c r="N38" s="987"/>
      <c r="O38" s="987"/>
      <c r="P38" s="987"/>
      <c r="Q38" s="987"/>
      <c r="R38" s="987"/>
      <c r="S38" s="987"/>
      <c r="T38" s="987"/>
      <c r="U38" s="987"/>
    </row>
    <row r="39" spans="1:21" x14ac:dyDescent="0.25">
      <c r="A39" s="987"/>
      <c r="B39" s="987"/>
      <c r="C39" s="987"/>
      <c r="D39" s="987"/>
      <c r="E39" s="987"/>
      <c r="F39" s="987"/>
      <c r="G39" s="987"/>
      <c r="H39" s="987"/>
      <c r="I39" s="987"/>
      <c r="J39" s="987"/>
      <c r="K39" s="987"/>
      <c r="L39" s="987"/>
      <c r="M39" s="987"/>
      <c r="N39" s="987"/>
      <c r="O39" s="987"/>
      <c r="P39" s="987"/>
      <c r="Q39" s="987"/>
      <c r="R39" s="987"/>
      <c r="S39" s="987"/>
      <c r="T39" s="987"/>
      <c r="U39" s="987"/>
    </row>
    <row r="40" spans="1:21" x14ac:dyDescent="0.25">
      <c r="A40" s="987"/>
      <c r="B40" s="987"/>
      <c r="C40" s="987"/>
      <c r="D40" s="987"/>
      <c r="E40" s="987"/>
      <c r="F40" s="987"/>
      <c r="G40" s="987"/>
      <c r="H40" s="987"/>
      <c r="I40" s="987"/>
      <c r="J40" s="987"/>
      <c r="K40" s="987"/>
      <c r="L40" s="987"/>
      <c r="M40" s="987"/>
      <c r="N40" s="987"/>
      <c r="O40" s="987"/>
      <c r="P40" s="987"/>
      <c r="Q40" s="987"/>
      <c r="R40" s="987"/>
      <c r="S40" s="987"/>
      <c r="T40" s="987"/>
      <c r="U40" s="987"/>
    </row>
  </sheetData>
  <mergeCells count="40">
    <mergeCell ref="A40:U40"/>
    <mergeCell ref="A36:U36"/>
    <mergeCell ref="A37:U37"/>
    <mergeCell ref="A38:U38"/>
    <mergeCell ref="A39:U39"/>
    <mergeCell ref="A6:U6"/>
    <mergeCell ref="A11:U11"/>
    <mergeCell ref="A12:U12"/>
    <mergeCell ref="A13:U13"/>
    <mergeCell ref="A14:U14"/>
    <mergeCell ref="A2:U2"/>
    <mergeCell ref="A3:U3"/>
    <mergeCell ref="A4:U4"/>
    <mergeCell ref="A5:U5"/>
    <mergeCell ref="A17:U17"/>
    <mergeCell ref="A18:U18"/>
    <mergeCell ref="A7:U7"/>
    <mergeCell ref="A8:U8"/>
    <mergeCell ref="A9:U9"/>
    <mergeCell ref="A10:U10"/>
    <mergeCell ref="A15:U15"/>
    <mergeCell ref="A16:U16"/>
    <mergeCell ref="A29:U29"/>
    <mergeCell ref="V27:V29"/>
    <mergeCell ref="A19:U19"/>
    <mergeCell ref="A20:U20"/>
    <mergeCell ref="A21:U21"/>
    <mergeCell ref="A22:U22"/>
    <mergeCell ref="A23:U23"/>
    <mergeCell ref="A24:U24"/>
    <mergeCell ref="A25:U25"/>
    <mergeCell ref="A26:U26"/>
    <mergeCell ref="A27:U27"/>
    <mergeCell ref="A28:U28"/>
    <mergeCell ref="A34:U34"/>
    <mergeCell ref="A35:U35"/>
    <mergeCell ref="A30:U30"/>
    <mergeCell ref="A31:U31"/>
    <mergeCell ref="A32:U32"/>
    <mergeCell ref="A33:U33"/>
  </mergeCells>
  <phoneticPr fontId="4" type="noConversion"/>
  <hyperlinks>
    <hyperlink ref="A30" r:id="rId1" xr:uid="{50470FF8-BBD5-45E4-ACE8-47BB1569D6C2}"/>
  </hyperlink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Изчисления</vt:lpstr>
      <vt:lpstr>Стойности</vt:lpstr>
      <vt:lpstr>Климатични зони</vt:lpstr>
      <vt:lpstr>Как да ползваме</vt:lpstr>
      <vt:lpstr>Изчисления!Print_Area</vt:lpstr>
    </vt:vector>
  </TitlesOfParts>
  <Company>Екотермал ООД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Милен</dc:creator>
  <cp:lastModifiedBy>Ivan Zlatinov</cp:lastModifiedBy>
  <cp:lastPrinted>2024-05-28T07:52:42Z</cp:lastPrinted>
  <dcterms:created xsi:type="dcterms:W3CDTF">2009-11-13T12:49:44Z</dcterms:created>
  <dcterms:modified xsi:type="dcterms:W3CDTF">2026-08-14T16:15:11Z</dcterms:modified>
</cp:coreProperties>
</file>